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D:\tipgo from nimrod\main report\tedi report\Students\Dashboard Projects\"/>
    </mc:Choice>
  </mc:AlternateContent>
  <xr:revisionPtr revIDLastSave="0" documentId="13_ncr:1_{9D711F02-6F2C-4277-A4C4-F694253CAE0E}" xr6:coauthVersionLast="47" xr6:coauthVersionMax="47" xr10:uidLastSave="{00000000-0000-0000-0000-000000000000}"/>
  <bookViews>
    <workbookView xWindow="19090" yWindow="-110" windowWidth="38620" windowHeight="21100" activeTab="2" xr2:uid="{5649B720-EB9B-47E3-8D28-AC53051FD1B2}"/>
  </bookViews>
  <sheets>
    <sheet name="Total Monthly" sheetId="16" r:id="rId1"/>
    <sheet name="Portfolio Raw Data" sheetId="17" r:id="rId2"/>
    <sheet name="SPY Raw Data" sheetId="24" r:id="rId3"/>
  </sheets>
  <definedNames>
    <definedName name="_xlnm._FilterDatabase" localSheetId="1" hidden="1">'Portfolio Raw Data'!$A$2:$AC$6627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16" l="1"/>
  <c r="C13" i="16"/>
  <c r="D13" i="16"/>
  <c r="F13" i="16"/>
  <c r="G13" i="16"/>
  <c r="H13" i="16"/>
  <c r="I13" i="16"/>
  <c r="J13" i="16"/>
  <c r="N13" i="16"/>
  <c r="O13" i="16"/>
  <c r="V13" i="16"/>
  <c r="C14" i="16"/>
  <c r="D14" i="16"/>
  <c r="F14" i="16"/>
  <c r="G14" i="16"/>
  <c r="H14" i="16"/>
  <c r="I14" i="16"/>
  <c r="J14" i="16"/>
  <c r="N14" i="16"/>
  <c r="O14" i="16"/>
  <c r="V14" i="16"/>
  <c r="V4" i="16"/>
  <c r="V5" i="16"/>
  <c r="V6" i="16"/>
  <c r="V7" i="16"/>
  <c r="V8" i="16"/>
  <c r="V9" i="16"/>
  <c r="V10" i="16"/>
  <c r="V11" i="16"/>
  <c r="V12" i="16"/>
  <c r="V3" i="16"/>
  <c r="P13" i="16" l="1"/>
  <c r="K13" i="16"/>
  <c r="P14" i="16"/>
  <c r="W13" i="16" a="1"/>
  <c r="W13" i="16" s="1"/>
  <c r="W14" i="16" a="1"/>
  <c r="W14" i="16" s="1"/>
  <c r="K14" i="16"/>
  <c r="C11" i="16"/>
  <c r="D11" i="16"/>
  <c r="F11" i="16"/>
  <c r="G11" i="16"/>
  <c r="H11" i="16"/>
  <c r="I11" i="16"/>
  <c r="J11" i="16"/>
  <c r="N11" i="16"/>
  <c r="O11" i="16"/>
  <c r="C12" i="16"/>
  <c r="D12" i="16"/>
  <c r="F12" i="16"/>
  <c r="G12" i="16"/>
  <c r="H12" i="16"/>
  <c r="I12" i="16"/>
  <c r="J12" i="16"/>
  <c r="N12" i="16"/>
  <c r="O12" i="16"/>
  <c r="E7" i="16"/>
  <c r="S14" i="16" l="1"/>
  <c r="S13" i="16"/>
  <c r="K11" i="16"/>
  <c r="K12" i="16"/>
  <c r="P12" i="16"/>
  <c r="P11" i="16"/>
  <c r="J4" i="16"/>
  <c r="J5" i="16"/>
  <c r="J6" i="16"/>
  <c r="J7" i="16"/>
  <c r="J8" i="16"/>
  <c r="J9" i="16"/>
  <c r="J10" i="16"/>
  <c r="J3" i="16"/>
  <c r="C4" i="16"/>
  <c r="D4" i="16"/>
  <c r="C5" i="16"/>
  <c r="D5" i="16"/>
  <c r="C6" i="16"/>
  <c r="D6" i="16"/>
  <c r="C7" i="16"/>
  <c r="D7" i="16"/>
  <c r="C8" i="16"/>
  <c r="D8" i="16"/>
  <c r="C9" i="16"/>
  <c r="D9" i="16"/>
  <c r="D10" i="16"/>
  <c r="D3" i="16"/>
  <c r="C3" i="16"/>
  <c r="G4" i="16"/>
  <c r="G5" i="16"/>
  <c r="G6" i="16"/>
  <c r="G7" i="16"/>
  <c r="G8" i="16"/>
  <c r="G9" i="16"/>
  <c r="G10" i="16"/>
  <c r="G3" i="16"/>
  <c r="F4" i="16"/>
  <c r="F5" i="16"/>
  <c r="F6" i="16"/>
  <c r="F7" i="16"/>
  <c r="F8" i="16"/>
  <c r="F9" i="16"/>
  <c r="F10" i="16"/>
  <c r="F3" i="16"/>
  <c r="N4" i="16"/>
  <c r="N5" i="16"/>
  <c r="N6" i="16"/>
  <c r="N7" i="16"/>
  <c r="N8" i="16"/>
  <c r="N9" i="16"/>
  <c r="N10" i="16"/>
  <c r="O4" i="16"/>
  <c r="O5" i="16"/>
  <c r="O6" i="16"/>
  <c r="O7" i="16"/>
  <c r="O8" i="16"/>
  <c r="O9" i="16"/>
  <c r="O10" i="16"/>
  <c r="I4" i="16"/>
  <c r="I5" i="16"/>
  <c r="I6" i="16"/>
  <c r="I7" i="16"/>
  <c r="I8" i="16"/>
  <c r="I9" i="16"/>
  <c r="I10" i="16"/>
  <c r="O3" i="16"/>
  <c r="I3" i="16"/>
  <c r="H4" i="16"/>
  <c r="H5" i="16"/>
  <c r="H6" i="16"/>
  <c r="H7" i="16"/>
  <c r="H8" i="16"/>
  <c r="H9" i="16"/>
  <c r="H10" i="16"/>
  <c r="H3" i="16"/>
  <c r="N3" i="16"/>
  <c r="K3" i="16" l="1"/>
  <c r="L3" i="16" s="1"/>
  <c r="S12" i="16"/>
  <c r="S11" i="16"/>
  <c r="P7" i="16"/>
  <c r="K10" i="16"/>
  <c r="K5" i="16"/>
  <c r="K4" i="16"/>
  <c r="K9" i="16"/>
  <c r="K8" i="16"/>
  <c r="K7" i="16"/>
  <c r="K6" i="16"/>
  <c r="P5" i="16"/>
  <c r="P4" i="16"/>
  <c r="P10" i="16"/>
  <c r="P9" i="16"/>
  <c r="P3" i="16"/>
  <c r="Q3" i="16" s="1"/>
  <c r="P8" i="16"/>
  <c r="P6" i="16"/>
  <c r="X2" i="16"/>
  <c r="R3" i="16" l="1" a="1"/>
  <c r="R3" i="16" s="1"/>
  <c r="M3" i="16" a="1"/>
  <c r="M3" i="16" s="1"/>
  <c r="S3" i="16"/>
  <c r="B4" i="16" s="1"/>
  <c r="S7" i="16"/>
  <c r="S5" i="16"/>
  <c r="S4" i="16"/>
  <c r="S10" i="16"/>
  <c r="S6" i="16"/>
  <c r="S8" i="16"/>
  <c r="S9" i="16"/>
  <c r="B19" i="16"/>
  <c r="W3" i="16" l="1" a="1"/>
  <c r="W3" i="16" s="1"/>
  <c r="W12" i="16" l="1" a="1"/>
  <c r="W12" i="16" s="1"/>
  <c r="W11" i="16" a="1"/>
  <c r="W11" i="16" s="1"/>
  <c r="W10" i="16" a="1"/>
  <c r="W10" i="16" s="1"/>
  <c r="W6" i="16" a="1"/>
  <c r="W6" i="16" s="1"/>
  <c r="W7" i="16" a="1"/>
  <c r="W7" i="16" s="1"/>
  <c r="W8" i="16" a="1"/>
  <c r="W8" i="16" s="1"/>
  <c r="W4" i="16" a="1"/>
  <c r="W4" i="16" s="1"/>
  <c r="W5" i="16" a="1"/>
  <c r="W5" i="16" s="1"/>
  <c r="W9" i="16" a="1"/>
  <c r="W9" i="16" s="1"/>
  <c r="T3" i="16" l="1"/>
  <c r="L4" i="16" l="1"/>
  <c r="Q4" i="16"/>
  <c r="X3" i="16"/>
  <c r="U3" i="16" a="1"/>
  <c r="U3" i="16" s="1"/>
  <c r="B5" i="16"/>
  <c r="T4" i="16"/>
  <c r="U4" i="16" s="1" a="1"/>
  <c r="U4" i="16" s="1"/>
  <c r="M4" i="16" l="1" a="1"/>
  <c r="M4" i="16" s="1"/>
  <c r="L5" i="16"/>
  <c r="M5" i="16" s="1" a="1"/>
  <c r="M5" i="16" s="1"/>
  <c r="Q5" i="16"/>
  <c r="R5" i="16" s="1" a="1"/>
  <c r="R5" i="16" s="1"/>
  <c r="R4" i="16" a="1"/>
  <c r="R4" i="16" s="1"/>
  <c r="T5" i="16"/>
  <c r="X5" i="16" s="1"/>
  <c r="B6" i="16"/>
  <c r="X4" i="16"/>
  <c r="U5" i="16" l="1" a="1"/>
  <c r="U5" i="16" s="1"/>
  <c r="L6" i="16"/>
  <c r="M6" i="16" s="1" a="1"/>
  <c r="M6" i="16" s="1"/>
  <c r="Q6" i="16"/>
  <c r="T6" i="16"/>
  <c r="U6" i="16" s="1" a="1"/>
  <c r="U6" i="16" s="1"/>
  <c r="B7" i="16"/>
  <c r="T7" i="16" s="1"/>
  <c r="L7" i="16" l="1"/>
  <c r="M7" i="16" s="1" a="1"/>
  <c r="M7" i="16" s="1"/>
  <c r="Q7" i="16"/>
  <c r="R6" i="16" a="1"/>
  <c r="R6" i="16" s="1"/>
  <c r="X6" i="16"/>
  <c r="B20" i="16"/>
  <c r="B8" i="16"/>
  <c r="B18" i="16"/>
  <c r="R7" i="16" l="1" a="1"/>
  <c r="R7" i="16" s="1"/>
  <c r="L8" i="16"/>
  <c r="M8" i="16" s="1" a="1"/>
  <c r="M8" i="16" s="1"/>
  <c r="Q8" i="16"/>
  <c r="R8" i="16" s="1" a="1"/>
  <c r="R8" i="16" s="1"/>
  <c r="T8" i="16"/>
  <c r="X8" i="16" s="1"/>
  <c r="B21" i="16"/>
  <c r="B22" i="16" s="1"/>
  <c r="X7" i="16" s="1"/>
  <c r="B9" i="16"/>
  <c r="L9" i="16" l="1"/>
  <c r="M9" i="16" s="1" a="1"/>
  <c r="M9" i="16" s="1"/>
  <c r="Q9" i="16"/>
  <c r="R9" i="16" s="1" a="1"/>
  <c r="R9" i="16" s="1"/>
  <c r="T9" i="16"/>
  <c r="U9" i="16" s="1" a="1"/>
  <c r="U9" i="16" s="1"/>
  <c r="B10" i="16"/>
  <c r="U7" i="16" a="1"/>
  <c r="U7" i="16" s="1"/>
  <c r="U8" i="16" a="1"/>
  <c r="U8" i="16" s="1"/>
  <c r="L10" i="16" l="1"/>
  <c r="M10" i="16" s="1" a="1"/>
  <c r="M10" i="16" s="1"/>
  <c r="Q10" i="16"/>
  <c r="R10" i="16" s="1" a="1"/>
  <c r="R10" i="16" s="1"/>
  <c r="X9" i="16"/>
  <c r="T10" i="16"/>
  <c r="X10" i="16" s="1"/>
  <c r="B11" i="16"/>
  <c r="L11" i="16" l="1"/>
  <c r="M11" i="16" s="1" a="1"/>
  <c r="M11" i="16" s="1"/>
  <c r="Q11" i="16"/>
  <c r="R11" i="16" s="1" a="1"/>
  <c r="R11" i="16" s="1"/>
  <c r="U10" i="16" a="1"/>
  <c r="U10" i="16" s="1"/>
  <c r="B12" i="16"/>
  <c r="B13" i="16" s="1"/>
  <c r="T11" i="16"/>
  <c r="L13" i="16" l="1"/>
  <c r="Q13" i="16"/>
  <c r="B14" i="16"/>
  <c r="T13" i="16"/>
  <c r="L12" i="16"/>
  <c r="M12" i="16" s="1" a="1"/>
  <c r="M12" i="16" s="1"/>
  <c r="Q12" i="16"/>
  <c r="R12" i="16" s="1" a="1"/>
  <c r="R12" i="16" s="1"/>
  <c r="T12" i="16"/>
  <c r="U12" i="16" s="1" a="1"/>
  <c r="U12" i="16" s="1"/>
  <c r="X11" i="16"/>
  <c r="U11" i="16" a="1"/>
  <c r="U11" i="16" s="1"/>
  <c r="X13" i="16" l="1"/>
  <c r="U13" i="16" a="1"/>
  <c r="U13" i="16" s="1"/>
  <c r="T14" i="16"/>
  <c r="L14" i="16"/>
  <c r="M14" i="16" s="1" a="1"/>
  <c r="M14" i="16" s="1"/>
  <c r="Q14" i="16"/>
  <c r="R14" i="16" s="1" a="1"/>
  <c r="R14" i="16" s="1"/>
  <c r="R13" i="16" a="1"/>
  <c r="R13" i="16" s="1"/>
  <c r="M13" i="16" a="1"/>
  <c r="M13" i="16" s="1"/>
  <c r="X12" i="16"/>
  <c r="X14" i="16" l="1"/>
  <c r="U14" i="16" a="1"/>
  <c r="U14"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tc={97F6C180-7A42-C448-9FD0-611CAAA5D10F}</author>
  </authors>
  <commentList>
    <comment ref="B3" authorId="0" shapeId="0" xr:uid="{97F6C180-7A42-C448-9FD0-611CAAA5D10F}">
      <text>
        <t xml:space="preserve">[הערה משורשרת]
גירסת Excel שברשותך מאפשרת לך לקרוא הערה משורשרת זו; עם זאת, כל שינויי העריכה שיתבצעו בה יוסרו אם הקובץ ייפתח בגירסה חדשה יותר של Excel. למידע נוסף: https://go.microsoft.com/fwlink/?linkid=870924
הערה:
    This does not include a 50K cash position that was reserved by the customer.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<sst xmlns="http://schemas.openxmlformats.org/spreadsheetml/2006/main" count="42711" uniqueCount="1509">
  <si>
    <t>Symbol</t>
  </si>
  <si>
    <t>Basis</t>
  </si>
  <si>
    <t>AAPL</t>
  </si>
  <si>
    <t>C</t>
  </si>
  <si>
    <t>AMT</t>
  </si>
  <si>
    <t>AMZN</t>
  </si>
  <si>
    <t>ANET</t>
  </si>
  <si>
    <t>AVGO</t>
  </si>
  <si>
    <t>BAC</t>
  </si>
  <si>
    <t>BKNG</t>
  </si>
  <si>
    <t>COP</t>
  </si>
  <si>
    <t>COST</t>
  </si>
  <si>
    <t>CVS</t>
  </si>
  <si>
    <t>DE</t>
  </si>
  <si>
    <t>DHR</t>
  </si>
  <si>
    <t>ELV</t>
  </si>
  <si>
    <t>EOG</t>
  </si>
  <si>
    <t>EQH</t>
  </si>
  <si>
    <t>GD</t>
  </si>
  <si>
    <t>GOOGL</t>
  </si>
  <si>
    <t>HD</t>
  </si>
  <si>
    <t>HUBS</t>
  </si>
  <si>
    <t>HWM</t>
  </si>
  <si>
    <t>INTU</t>
  </si>
  <si>
    <t>IR</t>
  </si>
  <si>
    <t>LULU</t>
  </si>
  <si>
    <t>MCO</t>
  </si>
  <si>
    <t>META</t>
  </si>
  <si>
    <t>MSFT</t>
  </si>
  <si>
    <t>PANW</t>
  </si>
  <si>
    <t>ROST</t>
  </si>
  <si>
    <t>SNOW</t>
  </si>
  <si>
    <t>UBER</t>
  </si>
  <si>
    <t>ULTA</t>
  </si>
  <si>
    <t>WDAY</t>
  </si>
  <si>
    <t>XOM</t>
  </si>
  <si>
    <t>MESH4</t>
  </si>
  <si>
    <t>IBM</t>
  </si>
  <si>
    <t>MDB</t>
  </si>
  <si>
    <t>QCOM</t>
  </si>
  <si>
    <t>UNP</t>
  </si>
  <si>
    <t>XLG</t>
  </si>
  <si>
    <t>XLK</t>
  </si>
  <si>
    <t>XLU</t>
  </si>
  <si>
    <t>XLV</t>
  </si>
  <si>
    <t>AMD</t>
  </si>
  <si>
    <t>CAT</t>
  </si>
  <si>
    <t>CRL</t>
  </si>
  <si>
    <t>GE</t>
  </si>
  <si>
    <t>LLY</t>
  </si>
  <si>
    <t>NOW</t>
  </si>
  <si>
    <t>SMCI</t>
  </si>
  <si>
    <t>MESM4</t>
  </si>
  <si>
    <t>MNQM4</t>
  </si>
  <si>
    <t>GEV</t>
  </si>
  <si>
    <t>MU</t>
  </si>
  <si>
    <t>NVO</t>
  </si>
  <si>
    <t>ORCL</t>
  </si>
  <si>
    <t>ARM</t>
  </si>
  <si>
    <t>KO</t>
  </si>
  <si>
    <t>UNH</t>
  </si>
  <si>
    <t>XLE</t>
  </si>
  <si>
    <t>XLF</t>
  </si>
  <si>
    <t>ACGL</t>
  </si>
  <si>
    <t>ADI</t>
  </si>
  <si>
    <t>APH</t>
  </si>
  <si>
    <t>DD</t>
  </si>
  <si>
    <t>ECL</t>
  </si>
  <si>
    <t>FSLR</t>
  </si>
  <si>
    <t>HCA</t>
  </si>
  <si>
    <t>JPM</t>
  </si>
  <si>
    <t>NVDA</t>
  </si>
  <si>
    <t>NXPI</t>
  </si>
  <si>
    <t>PSX</t>
  </si>
  <si>
    <t>PWR</t>
  </si>
  <si>
    <t>REGN</t>
  </si>
  <si>
    <t>RTX</t>
  </si>
  <si>
    <t>TSLA</t>
  </si>
  <si>
    <t>TXN</t>
  </si>
  <si>
    <t>XLI</t>
  </si>
  <si>
    <t>MESU4</t>
  </si>
  <si>
    <t>MNQU4</t>
  </si>
  <si>
    <t>QQQ</t>
  </si>
  <si>
    <t>SOXX</t>
  </si>
  <si>
    <t>XLY</t>
  </si>
  <si>
    <t>CRM</t>
  </si>
  <si>
    <t>SPY</t>
  </si>
  <si>
    <t>TT</t>
  </si>
  <si>
    <t>Month</t>
  </si>
  <si>
    <t>2024-01</t>
  </si>
  <si>
    <t>2024-02</t>
  </si>
  <si>
    <t>2024-03</t>
  </si>
  <si>
    <t>2024-04</t>
  </si>
  <si>
    <t>2024-05</t>
  </si>
  <si>
    <t>2024-06</t>
  </si>
  <si>
    <t>2024-07</t>
  </si>
  <si>
    <t>2024-08</t>
  </si>
  <si>
    <t>Total</t>
  </si>
  <si>
    <t>SPY monthly</t>
  </si>
  <si>
    <t>Change</t>
  </si>
  <si>
    <t>Asset Category</t>
  </si>
  <si>
    <t>Prior Quantity</t>
  </si>
  <si>
    <t>Current Quantity</t>
  </si>
  <si>
    <t>Prior Price</t>
  </si>
  <si>
    <t>Current Price</t>
  </si>
  <si>
    <t>Mark-to-Market P/L Position</t>
  </si>
  <si>
    <t>Mark-to-Market P/L Transaction</t>
  </si>
  <si>
    <t>Mark-to-Market P/L Commissions</t>
  </si>
  <si>
    <t>Mark-to-Market P/L Other</t>
  </si>
  <si>
    <t>Mark-to-Market P/L Total</t>
  </si>
  <si>
    <t>Stocks</t>
  </si>
  <si>
    <t>--</t>
  </si>
  <si>
    <t>Futures</t>
  </si>
  <si>
    <t>Forex</t>
  </si>
  <si>
    <t>USD</t>
  </si>
  <si>
    <t>Total (All Assets)</t>
  </si>
  <si>
    <t>Broker Interest Paid and Received</t>
  </si>
  <si>
    <t>Withholding on Interest Received</t>
  </si>
  <si>
    <t>Advisor Fees</t>
  </si>
  <si>
    <t>Statement</t>
  </si>
  <si>
    <t>Header</t>
  </si>
  <si>
    <t>Field Name</t>
  </si>
  <si>
    <t>Field Value</t>
  </si>
  <si>
    <t>Data</t>
  </si>
  <si>
    <t>BrokerName</t>
  </si>
  <si>
    <t>Interactive Brokers LLC</t>
  </si>
  <si>
    <t>BrokerAddress</t>
  </si>
  <si>
    <t>Title</t>
  </si>
  <si>
    <t>Activity Statement</t>
  </si>
  <si>
    <t>Period</t>
  </si>
  <si>
    <t>January 1, 2024 - January 31, 2024</t>
  </si>
  <si>
    <t>WhenGenerated</t>
  </si>
  <si>
    <t>2024-09-02, 08:20:02 EDT</t>
  </si>
  <si>
    <t>Account Information</t>
  </si>
  <si>
    <t>Name</t>
  </si>
  <si>
    <t>Account</t>
  </si>
  <si>
    <t>Investment Advisor</t>
  </si>
  <si>
    <t>Account Type</t>
  </si>
  <si>
    <t>Customer Type</t>
  </si>
  <si>
    <t>Individual</t>
  </si>
  <si>
    <t>Account Capabilities</t>
  </si>
  <si>
    <t>Margin</t>
  </si>
  <si>
    <t>Base Currency</t>
  </si>
  <si>
    <t>Net Asset Value</t>
  </si>
  <si>
    <t>Asset Class</t>
  </si>
  <si>
    <t>Prior Total</t>
  </si>
  <si>
    <t>Current Long</t>
  </si>
  <si>
    <t>Current Short</t>
  </si>
  <si>
    <t>Current Total</t>
  </si>
  <si>
    <t xml:space="preserve">Cash </t>
  </si>
  <si>
    <t>Stock</t>
  </si>
  <si>
    <t>Interest Accruals</t>
  </si>
  <si>
    <t>Dividend Accruals</t>
  </si>
  <si>
    <t>Time Weighted Rate of Return</t>
  </si>
  <si>
    <t>Change in NAV</t>
  </si>
  <si>
    <t>Starting Value</t>
  </si>
  <si>
    <t>Mark-to-Market</t>
  </si>
  <si>
    <t>Dividends</t>
  </si>
  <si>
    <t>Withholding Tax</t>
  </si>
  <si>
    <t>Change in Dividend Accruals</t>
  </si>
  <si>
    <t>Interest</t>
  </si>
  <si>
    <t>Change in Interest Accruals</t>
  </si>
  <si>
    <t>Commissions</t>
  </si>
  <si>
    <t>Ending Value</t>
  </si>
  <si>
    <t>Mark-to-Market Performance Summary</t>
  </si>
  <si>
    <t>Code</t>
  </si>
  <si>
    <t>Total P/L for Statement Period</t>
  </si>
  <si>
    <t>Realized &amp; Unrealized Performance Summary</t>
  </si>
  <si>
    <t>Cost Adj.</t>
  </si>
  <si>
    <t>Realized S/T Profit</t>
  </si>
  <si>
    <t>Realized S/T Loss</t>
  </si>
  <si>
    <t>Realized L/T Profit</t>
  </si>
  <si>
    <t>Realized L/T Loss</t>
  </si>
  <si>
    <t>Realized Total</t>
  </si>
  <si>
    <t>Unrealized S/T Profit</t>
  </si>
  <si>
    <t>Unrealized S/T Loss</t>
  </si>
  <si>
    <t>Unrealized L/T Profit</t>
  </si>
  <si>
    <t>Unrealized L/T Loss</t>
  </si>
  <si>
    <t>Unrealized Total</t>
  </si>
  <si>
    <t>Cash Report</t>
  </si>
  <si>
    <t>Currency Summary</t>
  </si>
  <si>
    <t>Currency</t>
  </si>
  <si>
    <t>Securities</t>
  </si>
  <si>
    <t>Starting Cash</t>
  </si>
  <si>
    <t>Base Currency Summary</t>
  </si>
  <si>
    <t>Internal Transfers</t>
  </si>
  <si>
    <t>Cash Settling MTM</t>
  </si>
  <si>
    <t>Trades (Sales)</t>
  </si>
  <si>
    <t>Trades (Purchase)</t>
  </si>
  <si>
    <t>Ending Cash</t>
  </si>
  <si>
    <t>Ending Settled Cash</t>
  </si>
  <si>
    <t>Open Positions</t>
  </si>
  <si>
    <t>DataDiscriminator</t>
  </si>
  <si>
    <t>Quantity</t>
  </si>
  <si>
    <t>Mult</t>
  </si>
  <si>
    <t>Cost Price</t>
  </si>
  <si>
    <t>Cost Basis</t>
  </si>
  <si>
    <t>Close Price</t>
  </si>
  <si>
    <t>Value</t>
  </si>
  <si>
    <t>Unrealized P/L</t>
  </si>
  <si>
    <t>Summary</t>
  </si>
  <si>
    <t>Trades</t>
  </si>
  <si>
    <t>Date/Time</t>
  </si>
  <si>
    <t>T. Price</t>
  </si>
  <si>
    <t>C. Price</t>
  </si>
  <si>
    <t>Proceeds</t>
  </si>
  <si>
    <t>Comm/Fee</t>
  </si>
  <si>
    <t>Realized P/L</t>
  </si>
  <si>
    <t>MTM P/L</t>
  </si>
  <si>
    <t>Order</t>
  </si>
  <si>
    <t>2024-01-04, 04:00:00</t>
  </si>
  <si>
    <t>O;P</t>
  </si>
  <si>
    <t>2024-01-30, 09:32:22</t>
  </si>
  <si>
    <t>SubTotal</t>
  </si>
  <si>
    <t>2024-01-04, 09:29:59</t>
  </si>
  <si>
    <t>O</t>
  </si>
  <si>
    <t>2024-01-04, 08:38:12</t>
  </si>
  <si>
    <t>2024-01-03, 13:09:03</t>
  </si>
  <si>
    <t>2024-01-04, 12:44:27</t>
  </si>
  <si>
    <t>2024-01-16, 09:37:31</t>
  </si>
  <si>
    <t>2024-01-04, 09:30:04</t>
  </si>
  <si>
    <t>2024-01-12, 10:53:11</t>
  </si>
  <si>
    <t>2024-01-04, 09:42:37</t>
  </si>
  <si>
    <t>2024-01-17, 11:00:26</t>
  </si>
  <si>
    <t>2024-01-04, 09:27:10</t>
  </si>
  <si>
    <t>2024-01-04, 09:16:32</t>
  </si>
  <si>
    <t>2024-01-25, 10:09:02</t>
  </si>
  <si>
    <t>2024-01-02, 15:26:25</t>
  </si>
  <si>
    <t>2024-01-04, 17:01:56</t>
  </si>
  <si>
    <t>2024-01-29, 15:08:11</t>
  </si>
  <si>
    <t>C;P</t>
  </si>
  <si>
    <t>2024-01-08, 11:07:32</t>
  </si>
  <si>
    <t>2024-01-22, 15:20:11</t>
  </si>
  <si>
    <t>2024-01-25, 09:29:51</t>
  </si>
  <si>
    <t>2024-01-04, 04:00:09</t>
  </si>
  <si>
    <t>2024-01-09, 10:17:25</t>
  </si>
  <si>
    <t>2024-01-04, 15:27:39</t>
  </si>
  <si>
    <t>2024-01-03, 15:46:28</t>
  </si>
  <si>
    <t>2024-01-04, 14:44:57</t>
  </si>
  <si>
    <t>2024-01-02, 09:55:34</t>
  </si>
  <si>
    <t>2024-01-04, 14:35:25</t>
  </si>
  <si>
    <t>2024-01-04, 10:24:04</t>
  </si>
  <si>
    <t>2024-01-08, 09:41:07</t>
  </si>
  <si>
    <t>2024-01-04, 12:14:57</t>
  </si>
  <si>
    <t>2024-01-08, 09:39:24</t>
  </si>
  <si>
    <t>2024-01-30, 17:02:01</t>
  </si>
  <si>
    <t>2024-01-04, 12:35:22</t>
  </si>
  <si>
    <t>2024-01-02, 10:26:06</t>
  </si>
  <si>
    <t>2024-01-03, 04:10:37</t>
  </si>
  <si>
    <t>2024-01-04, 13:51:49</t>
  </si>
  <si>
    <t>2024-01-04, 18:13:41</t>
  </si>
  <si>
    <t>2024-01-05, 14:37:26</t>
  </si>
  <si>
    <t>2024-01-04, 07:37:43</t>
  </si>
  <si>
    <t>2024-01-04, 09:02:17</t>
  </si>
  <si>
    <t>2024-01-03, 16:58:51</t>
  </si>
  <si>
    <t>2024-01-03, 15:50:29</t>
  </si>
  <si>
    <t>2024-01-04, 10:25:01</t>
  </si>
  <si>
    <t xml:space="preserve"> </t>
  </si>
  <si>
    <t>Notional Value</t>
  </si>
  <si>
    <t>2024-01-03, 11:03:17</t>
  </si>
  <si>
    <t>2024-01-03, 16:14:38</t>
  </si>
  <si>
    <t>2024-01-04, 08:30:58</t>
  </si>
  <si>
    <t>2024-01-04, 08:54:58</t>
  </si>
  <si>
    <t>2024-01-04, 10:33:36</t>
  </si>
  <si>
    <t>2024-01-04, 15:38:04</t>
  </si>
  <si>
    <t>2024-01-09, 12:07:18</t>
  </si>
  <si>
    <t>Fees</t>
  </si>
  <si>
    <t>Subtitle</t>
  </si>
  <si>
    <t>Date</t>
  </si>
  <si>
    <t>Description</t>
  </si>
  <si>
    <t>Amount</t>
  </si>
  <si>
    <t>FA Fee: Percent of Yearly Profit</t>
  </si>
  <si>
    <t>INTU(US4612021034) Cash Dividend USD 0.90 per Share (Ordinary Dividend)</t>
  </si>
  <si>
    <t>EOG(US26875P1012) Cash Dividend USD 0.91 per Share (Ordinary Dividend)</t>
  </si>
  <si>
    <t>Withholding @ 30% on Credit Interest for Dec-2023</t>
  </si>
  <si>
    <t>INTU(US4612021034) Cash Dividend USD 0.90 per Share - US Tax</t>
  </si>
  <si>
    <t>EOG(US26875P1012) Cash Dividend USD 0.91 per Share - US Tax</t>
  </si>
  <si>
    <t>USD Credit Interest for Dec-2023</t>
  </si>
  <si>
    <t>Starting Accrual Balance</t>
  </si>
  <si>
    <t>Interest Accrued</t>
  </si>
  <si>
    <t>Accrual Reversal</t>
  </si>
  <si>
    <t>FX Translation</t>
  </si>
  <si>
    <t>Ending Accrual Balance</t>
  </si>
  <si>
    <t>Ex Date</t>
  </si>
  <si>
    <t>Pay Date</t>
  </si>
  <si>
    <t>Tax</t>
  </si>
  <si>
    <t>Fee</t>
  </si>
  <si>
    <t>Gross Rate</t>
  </si>
  <si>
    <t>Gross Amount</t>
  </si>
  <si>
    <t>Net Amount</t>
  </si>
  <si>
    <t>Starting Dividend Accruals in USD</t>
  </si>
  <si>
    <t>Po</t>
  </si>
  <si>
    <t>Re</t>
  </si>
  <si>
    <t>Ending Dividend Accruals in USD</t>
  </si>
  <si>
    <t>Financial Instrument Information</t>
  </si>
  <si>
    <t>Conid</t>
  </si>
  <si>
    <t>Security ID</t>
  </si>
  <si>
    <t>Listing Exch</t>
  </si>
  <si>
    <t>Multiplier</t>
  </si>
  <si>
    <t>Type</t>
  </si>
  <si>
    <t>APPLE INC</t>
  </si>
  <si>
    <t>US0378331005</t>
  </si>
  <si>
    <t>NASDAQ</t>
  </si>
  <si>
    <t>COMMON</t>
  </si>
  <si>
    <t>AMERICAN TOWER CORP</t>
  </si>
  <si>
    <t>US03027X1000</t>
  </si>
  <si>
    <t>NYSE</t>
  </si>
  <si>
    <t>REIT</t>
  </si>
  <si>
    <t>AMAZON.COM INC</t>
  </si>
  <si>
    <t>US0231351067</t>
  </si>
  <si>
    <t>ARISTA NETWORKS INC</t>
  </si>
  <si>
    <t>US0404131064</t>
  </si>
  <si>
    <t>BROADCOM INC</t>
  </si>
  <si>
    <t>US11135F1012</t>
  </si>
  <si>
    <t>BANK OF AMERICA CORP</t>
  </si>
  <si>
    <t>US0605051046</t>
  </si>
  <si>
    <t>BOOKING HOLDINGS INC</t>
  </si>
  <si>
    <t>US09857L1089</t>
  </si>
  <si>
    <t>CITIGROUP INC</t>
  </si>
  <si>
    <t>US1729674242</t>
  </si>
  <si>
    <t>CONOCOPHILLIPS</t>
  </si>
  <si>
    <t>US20825C1045</t>
  </si>
  <si>
    <t>COSTCO WHOLESALE CORP</t>
  </si>
  <si>
    <t>US22160K1051</t>
  </si>
  <si>
    <t>CVS HEALTH CORP</t>
  </si>
  <si>
    <t>US1266501006</t>
  </si>
  <si>
    <t>DEERE &amp; CO</t>
  </si>
  <si>
    <t>US2441991054</t>
  </si>
  <si>
    <t>DANAHER CORP</t>
  </si>
  <si>
    <t>US2358511028</t>
  </si>
  <si>
    <t>ELEVANCE HEALTH INC</t>
  </si>
  <si>
    <t>US0367521038</t>
  </si>
  <si>
    <t>EOG RESOURCES INC</t>
  </si>
  <si>
    <t>US26875P1012</t>
  </si>
  <si>
    <t>EQUITABLE HOLDINGS INC</t>
  </si>
  <si>
    <t>US29452E1010</t>
  </si>
  <si>
    <t>GENERAL DYNAMICS CORP</t>
  </si>
  <si>
    <t>US3695501086</t>
  </si>
  <si>
    <t>ALPHABET INC-CL A</t>
  </si>
  <si>
    <t>US02079K3059</t>
  </si>
  <si>
    <t>HOME DEPOT INC</t>
  </si>
  <si>
    <t>US4370761029</t>
  </si>
  <si>
    <t>HUBSPOT INC</t>
  </si>
  <si>
    <t>US4435731009</t>
  </si>
  <si>
    <t>HOWMET AEROSPACE INC</t>
  </si>
  <si>
    <t>US4432011082</t>
  </si>
  <si>
    <t>INTUIT INC</t>
  </si>
  <si>
    <t>US4612021034</t>
  </si>
  <si>
    <t>INGERSOLL-RAND INC</t>
  </si>
  <si>
    <t>US45687V1061</t>
  </si>
  <si>
    <t>LULULEMON ATHLETICA INC</t>
  </si>
  <si>
    <t>US5500211090</t>
  </si>
  <si>
    <t>MOODY'S CORP</t>
  </si>
  <si>
    <t>US6153691059</t>
  </si>
  <si>
    <t>META PLATFORMS INC-CLASS A</t>
  </si>
  <si>
    <t>US30303M1027</t>
  </si>
  <si>
    <t>MICROSOFT CORP</t>
  </si>
  <si>
    <t>US5949181045</t>
  </si>
  <si>
    <t>PALO ALTO NETWORKS INC</t>
  </si>
  <si>
    <t>US6974351057</t>
  </si>
  <si>
    <t>ROSS STORES INC</t>
  </si>
  <si>
    <t>US7782961038</t>
  </si>
  <si>
    <t>SNOWFLAKE INC-CLASS A</t>
  </si>
  <si>
    <t>US8334451098</t>
  </si>
  <si>
    <t>UBER TECHNOLOGIES INC</t>
  </si>
  <si>
    <t>US90353T1007</t>
  </si>
  <si>
    <t>ULTA BEAUTY INC</t>
  </si>
  <si>
    <t>US90384S3031</t>
  </si>
  <si>
    <t>WORKDAY INC-CLASS A</t>
  </si>
  <si>
    <t>US98138H1014</t>
  </si>
  <si>
    <t>EXXON MOBIL CORP</t>
  </si>
  <si>
    <t>US30231G1022</t>
  </si>
  <si>
    <t>Expiry</t>
  </si>
  <si>
    <t>Delivery Month</t>
  </si>
  <si>
    <t>MES 15MAR24</t>
  </si>
  <si>
    <t>CME</t>
  </si>
  <si>
    <t>Codes</t>
  </si>
  <si>
    <t>Meaning</t>
  </si>
  <si>
    <t>Code (Cont.)</t>
  </si>
  <si>
    <t>Meaning (Cont.)</t>
  </si>
  <si>
    <t>A</t>
  </si>
  <si>
    <t>Assignment</t>
  </si>
  <si>
    <t>ADR</t>
  </si>
  <si>
    <t>ADR Fee Accrual</t>
  </si>
  <si>
    <t>AEx</t>
  </si>
  <si>
    <t>Automatic exercise for dividend-related recommendation.</t>
  </si>
  <si>
    <t>AFx</t>
  </si>
  <si>
    <t>AutoFX conversion resulting from trading</t>
  </si>
  <si>
    <t>Adj</t>
  </si>
  <si>
    <t>Adjustment</t>
  </si>
  <si>
    <t>Al</t>
  </si>
  <si>
    <t>Allocation</t>
  </si>
  <si>
    <t>Aw</t>
  </si>
  <si>
    <t>Away Trade</t>
  </si>
  <si>
    <t>B</t>
  </si>
  <si>
    <t>Automatic Buy-in</t>
  </si>
  <si>
    <t>Bo</t>
  </si>
  <si>
    <t>Direct Borrow</t>
  </si>
  <si>
    <t>Closing Trade</t>
  </si>
  <si>
    <t>CD</t>
  </si>
  <si>
    <t>Cash Delivery</t>
  </si>
  <si>
    <t>CP</t>
  </si>
  <si>
    <t>Complex Position</t>
  </si>
  <si>
    <t>Ca</t>
  </si>
  <si>
    <t>Cancelled</t>
  </si>
  <si>
    <t>Co</t>
  </si>
  <si>
    <t>Corrected Trade</t>
  </si>
  <si>
    <t>Cx</t>
  </si>
  <si>
    <t>Part or all of this transaction was a Crossing executed as dual agent by IB for two IB customers</t>
  </si>
  <si>
    <t>DT</t>
  </si>
  <si>
    <t>Discounted Trade</t>
  </si>
  <si>
    <t>De</t>
  </si>
  <si>
    <t>Delivery or Conversion Action</t>
  </si>
  <si>
    <t>ETF</t>
  </si>
  <si>
    <t>ETF Creation/Redemption</t>
  </si>
  <si>
    <t>Ep</t>
  </si>
  <si>
    <t>Resulted from an Expired Position</t>
  </si>
  <si>
    <t>Ex</t>
  </si>
  <si>
    <t>Exercise</t>
  </si>
  <si>
    <t>FP</t>
  </si>
  <si>
    <t>The fractional portion of this trade was executed against IB or an affiliate.</t>
  </si>
  <si>
    <t>FPA</t>
  </si>
  <si>
    <t>The fractional portion of this trade was executed against IB or an affiliate. IB acted as agent for the whole share portion of this trade.</t>
  </si>
  <si>
    <t>G</t>
  </si>
  <si>
    <t>Trade in Guaranteed Account Segment</t>
  </si>
  <si>
    <t>GEA</t>
  </si>
  <si>
    <t>Exercise or Assignment resulting from offsetting positions</t>
  </si>
  <si>
    <t>HC</t>
  </si>
  <si>
    <t>Highest Cost tax basis election</t>
  </si>
  <si>
    <t>HFI</t>
  </si>
  <si>
    <t>Investment Transferred to Hedge Fund</t>
  </si>
  <si>
    <t>HFR</t>
  </si>
  <si>
    <t>Redemption from Hedge Fund</t>
  </si>
  <si>
    <t>I</t>
  </si>
  <si>
    <t>Internal Transfer</t>
  </si>
  <si>
    <t>IA</t>
  </si>
  <si>
    <t>The transaction was executed against IB or an affiliate</t>
  </si>
  <si>
    <t>IM</t>
  </si>
  <si>
    <t>A portion of the order was executed against IB or an affiliate; IB acted as agent on a portion.</t>
  </si>
  <si>
    <t>INV</t>
  </si>
  <si>
    <t>Investment Transfer from Investor</t>
  </si>
  <si>
    <t>IPO</t>
  </si>
  <si>
    <t>This transaction was executed as part of an IPO in which IB was a member of the selling group and is classified as a Principal trade.</t>
  </si>
  <si>
    <t>L</t>
  </si>
  <si>
    <t>Ordered by IB (Margin Violation)</t>
  </si>
  <si>
    <t>LD</t>
  </si>
  <si>
    <t>Adjusted by Loss Disallowed from Wash Sale</t>
  </si>
  <si>
    <t>LI</t>
  </si>
  <si>
    <t>Last In, First Out (LIFO) tax basis election</t>
  </si>
  <si>
    <t>LT</t>
  </si>
  <si>
    <t>Long Term P/L</t>
  </si>
  <si>
    <t>Lo</t>
  </si>
  <si>
    <t>Direct Loan</t>
  </si>
  <si>
    <t>M</t>
  </si>
  <si>
    <t>Entered manually by IB</t>
  </si>
  <si>
    <t>MEx</t>
  </si>
  <si>
    <t>Manual exercise for dividend-related recommendation.</t>
  </si>
  <si>
    <t>ML</t>
  </si>
  <si>
    <t>Maximize Losses tax basis election</t>
  </si>
  <si>
    <t>MLG</t>
  </si>
  <si>
    <t>Maximize Long Term Gain tax basis election</t>
  </si>
  <si>
    <t>MLL</t>
  </si>
  <si>
    <t>Maximize Long Term Loss tax basis election</t>
  </si>
  <si>
    <t>MSG</t>
  </si>
  <si>
    <t>Maximize Short Term Gain tax basis election</t>
  </si>
  <si>
    <t>MSL</t>
  </si>
  <si>
    <t>Maximize Short Term Loss tax basis election</t>
  </si>
  <si>
    <t>Opening Trade</t>
  </si>
  <si>
    <t>Off</t>
  </si>
  <si>
    <t>Yes and No contracts offset to $1.00 cash settlement</t>
  </si>
  <si>
    <t>P</t>
  </si>
  <si>
    <t>Partial Execution</t>
  </si>
  <si>
    <t>PE</t>
  </si>
  <si>
    <t>Perpetual Investment</t>
  </si>
  <si>
    <t>PI</t>
  </si>
  <si>
    <t>Price Improvement</t>
  </si>
  <si>
    <t>PTA</t>
  </si>
  <si>
    <t>Post Trade Allocation</t>
  </si>
  <si>
    <t>Interest or Dividend Accrual Posting</t>
  </si>
  <si>
    <t>Pr</t>
  </si>
  <si>
    <t>Part or all of this transaction was executed by the Exchange as a Crossing by IB against an IB affiliate and is therefore classified as a Principal and not an agency trade</t>
  </si>
  <si>
    <t>R</t>
  </si>
  <si>
    <t>Dividend Reinvestment</t>
  </si>
  <si>
    <t>RED</t>
  </si>
  <si>
    <t>Redemption to Investor</t>
  </si>
  <si>
    <t>RI</t>
  </si>
  <si>
    <t>Recurring Investment</t>
  </si>
  <si>
    <t>RP</t>
  </si>
  <si>
    <t>IB acted as agent for the fractional share portion of this trade, which was executed by an IB affiliate as riskless principal.</t>
  </si>
  <si>
    <t>RPA</t>
  </si>
  <si>
    <t>IB acted as agent for both the fractional share portion and the whole share portion of this trade; the fractional share portion was executed by an IB Affiliate as riskless principal.</t>
  </si>
  <si>
    <t>Rb</t>
  </si>
  <si>
    <t>Rebill</t>
  </si>
  <si>
    <t>Interest or Dividend Accrual Reversal</t>
  </si>
  <si>
    <t>Ri</t>
  </si>
  <si>
    <t>Reimbursement</t>
  </si>
  <si>
    <t>S0</t>
  </si>
  <si>
    <t>Contract settled to zero value</t>
  </si>
  <si>
    <t>S1</t>
  </si>
  <si>
    <t>Contract settled to $1.00</t>
  </si>
  <si>
    <t>SF</t>
  </si>
  <si>
    <t>Trade is subject to IBKR Lite Surcharge Fee if volume of such trades exceeds 10% of the total monthly Lite trade volume</t>
  </si>
  <si>
    <t>SI</t>
  </si>
  <si>
    <t>This order was solicited by Interactive Brokers</t>
  </si>
  <si>
    <t>SL</t>
  </si>
  <si>
    <t>Specific Lot tax basis election</t>
  </si>
  <si>
    <t>SO</t>
  </si>
  <si>
    <t>This order was marked as solicited by your Introducing Broker</t>
  </si>
  <si>
    <t>SS</t>
  </si>
  <si>
    <t>Customer designated this trade for shortened settlement and so is subject to execution at prices above the prevailing market</t>
  </si>
  <si>
    <t>ST</t>
  </si>
  <si>
    <t>Short Term P/L</t>
  </si>
  <si>
    <t>T</t>
  </si>
  <si>
    <t>Transfer</t>
  </si>
  <si>
    <t>Un</t>
  </si>
  <si>
    <t>Unvested shares from stock grant</t>
  </si>
  <si>
    <t>XCH</t>
  </si>
  <si>
    <t>Mutual Fund Exchange Transaction</t>
  </si>
  <si>
    <t>Notes/Legal Notes</t>
  </si>
  <si>
    <t>Note</t>
  </si>
  <si>
    <t>Notes</t>
  </si>
  <si>
    <t>Stock exchange transactions generally settle on the trade date plus one business day (T+1). Options, futures and US open-end mutual fund transactions also settle on trade date plus one business day. Some exchanges and other transaction types may have longer or shorter settlement periods. Ending settled cash reflects the cash that has actually settled.</t>
  </si>
  <si>
    <t>Initial and maintenance margin requirements are available within the Account Window of the Trader Workstation.</t>
  </si>
  <si>
    <t>Interactive Brokers LLC receives compensation from fund companies in connection with the purchase and holding of fund shares by customers of Interactive Brokers LLC. Such compensation includes, but is not limited to, Rule 12b-1 fees that are paid out of the funds assets. The source and amount of any remuneration received by Interactive Brokers LLC in connection with a transaction will be furnished upon written request of the customer.  IB may share a portion of the compensation received from fund companies with your independent advisor or introducing broker.</t>
  </si>
  <si>
    <t xml:space="preserve">Quantities preceded by a "-" sign indicate sell transactions. Other transactions are purchases. </t>
  </si>
  <si>
    <t>IB acts as agent in executing the fractional share portion of your order. In certain circumstances, IB routes the fractional portion of your order to an affiliate, which may execute the fractional portion of the order as principal. In such circumstances, this is indicated by the codes associated with the trade. If an IB affiliate acts as principal in executing any fractional share portion of your order, the order will be executed at the price displayed for the opposite side of the NBBO from your order (the offer if you are buying and the bid if you are selling) at the time of execution. If an IB affiliate is acting as riskless principal in connection with filling the fractional share portion of your order, the affiliate will execute the fractional share portion of your order at the price it receives for the execution of the whole share.</t>
  </si>
  <si>
    <t>In case of partial executions, commissions are charged on the total quantity executed on the original order. The commission is displayed on the first partial execution only.</t>
  </si>
  <si>
    <t>Each closed lot indicated above with a reference to note (6) was chosen by the end of the trading day to be sold versus the specific opening purchase identified in that row.</t>
  </si>
  <si>
    <t>Trade execution times are displayed in Eastern Time.</t>
  </si>
  <si>
    <t>Applicable regulatory fees for your transactions are available on the IB website at www.interactivebrokers.com/en/accounts/fees/exchangeAndRegulatoryFees.php.</t>
  </si>
  <si>
    <t>Borrow Fee Rate represents the cost to borrow stock expressed in percent per annum. It is applied to the collateral value on the stock borrow contract and is separate from any interest earned on credit cash balances. Similarly, Loan Fee Rate represents the benefit to lend stock. A positive rate indicates a cost to the borrower/benefit to the lender and a negative rate indicates a benefit to the borrower/cost to the lender. In general, the fee rates for hard-to-borrow stocks are higher than for normal availability stocks.</t>
  </si>
  <si>
    <t>Interest Rate on Customer Collateral represents the interest paid on the collateral posted to the customer's account and received from lending stock.  A positive rate indicates a benefit to the lender.</t>
  </si>
  <si>
    <t>The closing prices on this Activity Statement are indicative and may come from third-party sources. Interactive Brokers does not warrant the accuracy of the prices provided by third-party sources. Due to time zone differences, certain non-US mutual funds may deliver closing prices after the Activity Statement has been produced and the closing prices for such funds will reflect the previous day's price.</t>
  </si>
  <si>
    <t>All Market Data and Research services are provided through Global Financial Information Services (GmbH).</t>
  </si>
  <si>
    <t>Market data is provided by Global Financial Information Services (GmbH). Your local broker collects amounts owed for fees and tax for such data on behalf of Global Financial Information Services (GmbH). Note, you are responsible for any applicable taxes relating to the provision of these services.</t>
  </si>
  <si>
    <t>For clients whose accounts are being managed by an advisor, trades shown may be part of a larger trade that was allocated across multiple client accounts, based on an allocation algorithm specified by the advisor prior to execution of the trade.  Times shown are times that trades were allocated to your account.  Execution time on the relevant market center is available upon your request.</t>
  </si>
  <si>
    <t>If you specified that your advisor is to receive a per-trade advisory fee, please note that the figures in the "Commiss" column in the transaction listings are gross amounts that include both IB's brokerage commission for the trade as well as the advisor's per-trade fee.  IB receives its standard published brokerage commissions on your trades ( see www.interactivebrokers.com ). To determine the advisor's per-trade fee for any trade, subtract IB's standard commission from the amount shown.</t>
  </si>
  <si>
    <t>The stated interest, commission, and/or fee rates on the Interactive Brokers website are for direct clients of Interactive Brokers. Clients introduced through another broker may be subject to a different rate at the election of the client’s introducing broker. Clients should contact their introducing broker about the rates that will apply to their account.</t>
  </si>
  <si>
    <t>Mutual Fund Notes</t>
  </si>
  <si>
    <t>All purchase and sales of mutual funds are calculated against the published NAV (Net Asset Value) of the underlying fund and is displayed on this confirmation as the "C. Price" (Closing Price). Due to any fees charged by a fund and/or any share rounding, the net price you pay may vary from the published NAV and is shown on this confirmation as the "T. Price" (Trade Price).</t>
  </si>
  <si>
    <t>Fixed Income Notes</t>
  </si>
  <si>
    <t>Call features for bonds or preferred stocks may affect the yield. For zero coupon, compound interest and multiplier securities, there are no periodic payments and securities may be callable below maturity value without notice to holder unless registered. For asset-backed securities, the actual yield may vary depending on the speed at which the underlying note is pre-paid. For additional information regarding bond yield, please contact the IB Help Desk at: help@interactivebrokers.com. If this debt security is unrated by a nationally recognized statistical rating organization, it may pose a high risk of default. You should consult an independent advisor to determine whether unrated bonds are appropriate for your portfolio in light of your goals and your financial circumstances. Fees charged by bond trading centers are included in the cost of bond transactions.</t>
  </si>
  <si>
    <t>Legal Notes</t>
  </si>
  <si>
    <t>Unless otherwise noted, Interactive Brokers acted as agent in the execution of the above transactions. For those exchanges where IB is not a direct clearing member or custodian, IB may use one of the following clearing agents or sub-custodians: Interactive Brokers Australia Pty Limited; Interactive Brokers Canada Inc.; Interactive Brokers Central Europe Zrt.; Interactive Brokers Hong Kong Limited; Interactive Brokers Ireland, Limited; Interactive Brokers Securities Japan, Inc.; Interactive Brokers (U.K.) Limited; IBKR Financial Services AG; ABN Amro Clearing Singapore Pte. Ltd.; BBVA Bancomer, S.A.; BNP Securities Services, Milan Branch; BMO Harris Bank N.A.; Citibank Europe plc; Skandinaviska Enskilda Banken AB (including select branches).</t>
  </si>
  <si>
    <t>IB acts as agent or riskless principal in foreign currency exchange transactions and as riskless principal in spot precious metals transactions.  Such transactions are executed against an IB affiliate or a third party, which acts as principal in such transactions and may have a long or short position and may have profited or lost in connection with the transaction.  Foreign currency exchange and spot precious metals transactions executed by Customer through IB are not regulated or overseen by the SEC or the CFTC.</t>
  </si>
  <si>
    <t>All VWAP trades are effected pursuant to an average price formula based on a reference price provided by a third-party data provider. Additional information and reference prices are available upon request. IB, as agent, effects VWAP transactions through a market making affiliate, which acts as principal in such transactions and may have a long or short position in the security and may have profited or lost in connection with the transaction.</t>
  </si>
  <si>
    <t xml:space="preserve">IB accepts liquidity rebates or other order flow payments from Alternative Trading Systems, market makers and exchanges for certain orders in stocks. IB receives payment for some option orders pursuant to exchange-mandated marketing fee programs or other arrangements. The source and nature of any compensation received by IB in connection with any transaction is available upon written request of the customer. For further information, check the IB website and the Order Routing and Payment for Order Flow Disclosure provided when you opened your account and annually or email help@interactivebrokers.com.  </t>
  </si>
  <si>
    <t>For security futures trades, if not already indicated on this statement, information about the time of any transaction, the identity of the counterparty to the transaction, and whether IB is acting as agent or principal, as agent for the counterparty, as agent for both parties to the contract, or as principal, and if acting as principal, whether the transaction was a block transaction or an exchange for physicals transaction, will be available upon written request of the customer.</t>
  </si>
  <si>
    <t>A financial statement of Interactive Brokers LLC is available for your personal inspection at www.interactivebrokers.com or at its offices, or a copy of it will be mailed upon your written request.</t>
  </si>
  <si>
    <t>For trades executed on the ASX market, the ASX 24 market and the Cboe Australia market, this confirmation is issued subject to: (i) the Applicable Laws, the directions, decisions and requirements of the relevant market operator, the operating rules of the relevant market, the clearing rules and where relevant, the relevant settlement rules, (ii) the customs and usages of the relevant financial market, and (iii) the correction of errors and omissions. Trades in Cash Market Products (as that term is defined in the relevant ASIC market integrity rules) on ASX market and Cboe Australia are cleared by BNP Paribas, ARBN 149 440 291, AFSL 402467, who is a participant of ASX Clear Pty Ltd and ASX Settlement Pty Ltd. Trades in Derivative Products on ASX and all products on ASX 24 are cleared by Interactive Brokers Australia (“IBA”) as a participant of ASX Clear Pty Ltd and ASX Clear (Futures) Pty Ltd. If your transaction was a crossing transaction, IBA may have either acted on behalf of (i) both the buyer and seller of this transaction, or (ii) on behalf of the buyer or seller on one side of the transaction and acted as Principal on the other side. Under the Corporations Act 2001, where IBA enters into an exchange traded derivative on a customer's behalf, IBA is regarded as having issued the derivative to the customer.</t>
  </si>
  <si>
    <t>For All Options Trades Executed on the Stock Exchange of Hong Kong ("SEHK"): (a) Options can involve a high degree of risk and may not be suitable for every investor. Investors should ensure they understand those risks before participating in the options market. (b) All options contracts executed on the SEHK were executed by Interactive Brokers Hong Kong Limited on behalf of Interactive Brokers LLC. (c) In the event of a default committed by Interactive Brokers LLC resulting in the client suffering any pecuniary loss, the client shall have a right to claim under the Investor Compensation Fund established under the Hong Kong Securities and Futures Ordinance, subject to the terms of the Investor Compensation Fund from time to time. (d) All Exchange Traded Options Business made for or on behalf of a client shall be subject to the relevant provisions of the constitution, Rules of The Stock Exchange of Hong Kong Limited ("SEHK Rules"), regulations, the Articles, customs and usages of SEHK, the Options Trading Rules, the Clearing Rules of SEOCH, the CCASS Rules and the laws of Hong Kong, which shall be binding on both Interactive Brokers LLC and the client.</t>
  </si>
  <si>
    <t>Interactive Brokers LLC is a SIPC member. Deposits held away from Interactive Brokers LLC may not qualify under SIPC protection. Also, futures and options on futures are not covered by SIPC.</t>
  </si>
  <si>
    <t>Interactive Brokers LLC is a SIPC Member</t>
  </si>
  <si>
    <t>February 1, 2024 - February 29, 2024</t>
  </si>
  <si>
    <t>2024-09-02, 08:20:16 EDT</t>
  </si>
  <si>
    <t>SY</t>
  </si>
  <si>
    <t>2024-02-13, 10:51:30</t>
  </si>
  <si>
    <t>2024-02-02, 09:59:46</t>
  </si>
  <si>
    <t>2024-02-09, 10:08:56</t>
  </si>
  <si>
    <t>2024-02-20, 09:40:50</t>
  </si>
  <si>
    <t>2024-02-09, 10:10:10</t>
  </si>
  <si>
    <t>2024-02-21, 15:25:54</t>
  </si>
  <si>
    <t>2024-02-07, 10:44:20</t>
  </si>
  <si>
    <t>2024-02-15, 14:50:44</t>
  </si>
  <si>
    <t>2024-02-05, 15:05:09</t>
  </si>
  <si>
    <t>2024-02-05, 14:56:17</t>
  </si>
  <si>
    <t>2024-02-14, 07:00:00</t>
  </si>
  <si>
    <t>2024-02-12, 10:21:47</t>
  </si>
  <si>
    <t>2024-02-13, 10:46:28</t>
  </si>
  <si>
    <t>2024-02-13, 10:49:01</t>
  </si>
  <si>
    <t>2024-02-12, 09:35:43</t>
  </si>
  <si>
    <t>2024-02-21, 15:23:30</t>
  </si>
  <si>
    <t>2024-02-14, 14:48:50</t>
  </si>
  <si>
    <t>2024-02-20, 12:17:01</t>
  </si>
  <si>
    <t>2024-02-12, 10:42:07</t>
  </si>
  <si>
    <t>2024-02-15, 15:01:49</t>
  </si>
  <si>
    <t>2024-02-20, 10:01:54</t>
  </si>
  <si>
    <t>2024-02-29, 09:30:08</t>
  </si>
  <si>
    <t>2024-02-02, 09:52:18</t>
  </si>
  <si>
    <t>2024-02-22, 09:54:03</t>
  </si>
  <si>
    <t>2024-02-02, 04:38:58</t>
  </si>
  <si>
    <t>2024-02-27, 15:01:52</t>
  </si>
  <si>
    <t>2024-02-28, 18:18:38</t>
  </si>
  <si>
    <t>2024-02-06, 13:34:49</t>
  </si>
  <si>
    <t>2024-02-13, 09:30:04</t>
  </si>
  <si>
    <t>2024-02-14, 14:36:23</t>
  </si>
  <si>
    <t>2024-02-13, 09:34:47</t>
  </si>
  <si>
    <t>2024-02-02, 09:34:43</t>
  </si>
  <si>
    <t>2024-02-13, 09:30:00</t>
  </si>
  <si>
    <t>2024-02-23, 11:04:20</t>
  </si>
  <si>
    <t>2024-02-01, 16:18:13</t>
  </si>
  <si>
    <t>2024-02-13, 08:09:54</t>
  </si>
  <si>
    <t>2024-02-15, 14:35:46</t>
  </si>
  <si>
    <t>2024-02-02, 10:09:42</t>
  </si>
  <si>
    <t>2024-02-09, 11:09:02</t>
  </si>
  <si>
    <t>2024-02-21, 16:41:15</t>
  </si>
  <si>
    <t>2024-02-23, 11:27:46</t>
  </si>
  <si>
    <t>CVS(US1266501006) Cash Dividend USD 0.665 per Share (Ordinary Dividend)</t>
  </si>
  <si>
    <t>GD(US3695501086) Cash Dividend USD 1.32 per Share (Ordinary Dividend)</t>
  </si>
  <si>
    <t>AAPL(US0378331005) Cash Dividend USD 0.24 per Share (Ordinary Dividend)</t>
  </si>
  <si>
    <t>COST(US22160K1051) Cash Dividend USD 1.02 per Share (Ordinary Dividend)</t>
  </si>
  <si>
    <t>C(US1729674242) Cash Dividend USD 0.53 per Share (Ordinary Dividend)</t>
  </si>
  <si>
    <t>HWM(US4432011082) Cash Dividend USD 0.05 per Share (Ordinary Dividend)</t>
  </si>
  <si>
    <t>CVS(US1266501006) Cash Dividend USD 0.665 per Share - US Tax</t>
  </si>
  <si>
    <t>Withholding @ 30% on Credit Interest for Jan-2024</t>
  </si>
  <si>
    <t>GD(US3695501086) Cash Dividend USD 1.32 per Share - US Tax</t>
  </si>
  <si>
    <t>AAPL(US0378331005) Cash Dividend USD 0.24 per Share - US Tax</t>
  </si>
  <si>
    <t>COST(US22160K1051) Cash Dividend USD 1.02 per Share - US Tax</t>
  </si>
  <si>
    <t>CANCEL WITHHOLDING ON Credit Interest for Dec-2023</t>
  </si>
  <si>
    <t>CANCEL WITHHOLDING ON Credit Interest for Jan-2024</t>
  </si>
  <si>
    <t>C(US1729674242) Cash Dividend USD 0.53 per Share - US Tax</t>
  </si>
  <si>
    <t>HWM(US4432011082) Cash Dividend USD 0.05 per Share - US Tax</t>
  </si>
  <si>
    <t>USD Credit Interest for Jan-2024</t>
  </si>
  <si>
    <t>INTL BUSINESS MACHINES CORP</t>
  </si>
  <si>
    <t>US4592001014</t>
  </si>
  <si>
    <t>MONGODB INC</t>
  </si>
  <si>
    <t>US60937P1066</t>
  </si>
  <si>
    <t>QUALCOMM INC</t>
  </si>
  <si>
    <t>US7475251036</t>
  </si>
  <si>
    <t>UNION PACIFIC CORP</t>
  </si>
  <si>
    <t>US9078181081</t>
  </si>
  <si>
    <t>INVESCO S&amp;P 500 TOP 50 ETF</t>
  </si>
  <si>
    <t>US46137V2337</t>
  </si>
  <si>
    <t>ARCA</t>
  </si>
  <si>
    <t>TECHNOLOGY SELECT SECT SPDR</t>
  </si>
  <si>
    <t>US81369Y8030</t>
  </si>
  <si>
    <t>UTILITIES SELECT SECTOR SPDR</t>
  </si>
  <si>
    <t>US81369Y8865</t>
  </si>
  <si>
    <t>HEALTH CARE SELECT SECTOR</t>
  </si>
  <si>
    <t>US81369Y2090</t>
  </si>
  <si>
    <t>Positions that may be eligible for Stock Yield. Potential for additional annualized income of 36.77 USD</t>
  </si>
  <si>
    <t>March 1, 2024 - March 31, 2024</t>
  </si>
  <si>
    <t>2024-09-02, 08:20:24 EDT</t>
  </si>
  <si>
    <t>2024-03-20, 13:33:26</t>
  </si>
  <si>
    <t>2024-03-05, 07:10:53</t>
  </si>
  <si>
    <t>2024-03-08, 09:35:53</t>
  </si>
  <si>
    <t>2024-03-12, 15:43:51</t>
  </si>
  <si>
    <t>2024-03-04, 12:50:03</t>
  </si>
  <si>
    <t>2024-03-07, 13:21:14</t>
  </si>
  <si>
    <t>2024-03-08, 09:30:33</t>
  </si>
  <si>
    <t>2024-03-04, 10:31:00</t>
  </si>
  <si>
    <t>2024-03-04, 12:51:52</t>
  </si>
  <si>
    <t>2024-03-04, 12:57:48</t>
  </si>
  <si>
    <t>2024-03-18, 09:45:49</t>
  </si>
  <si>
    <t>2024-03-05, 05:04:30</t>
  </si>
  <si>
    <t>2024-03-04, 10:42:44</t>
  </si>
  <si>
    <t>C;O;P</t>
  </si>
  <si>
    <t>2024-03-04, 10:44:09</t>
  </si>
  <si>
    <t>2024-03-14, 06:06:01</t>
  </si>
  <si>
    <t>2024-03-06, 09:49:34</t>
  </si>
  <si>
    <t>2024-03-05, 16:20:00</t>
  </si>
  <si>
    <t>2024-03-19, 13:26:09</t>
  </si>
  <si>
    <t>2024-03-04, 12:55:54</t>
  </si>
  <si>
    <t>2024-03-04, 10:54:22</t>
  </si>
  <si>
    <t>2024-03-06, 09:30:05</t>
  </si>
  <si>
    <t>2024-03-18, 11:08:56</t>
  </si>
  <si>
    <t>2024-03-20, 09:45:12</t>
  </si>
  <si>
    <t>2024-03-04, 11:13:42</t>
  </si>
  <si>
    <t>2024-03-04, 11:10:02</t>
  </si>
  <si>
    <t>2024-03-04, 12:47:05</t>
  </si>
  <si>
    <t>2024-03-04, 13:05:10</t>
  </si>
  <si>
    <t>2024-03-05, 11:43:00</t>
  </si>
  <si>
    <t>2024-03-05, 13:44:33</t>
  </si>
  <si>
    <t>2024-03-04, 14:18:49</t>
  </si>
  <si>
    <t>2024-03-05, 12:11:46</t>
  </si>
  <si>
    <t>2024-03-05, 15:33:19</t>
  </si>
  <si>
    <t>2024-03-05, 15:48:20</t>
  </si>
  <si>
    <t>2024-03-11, 08:51:55</t>
  </si>
  <si>
    <t>2024-03-04, 13:08:48</t>
  </si>
  <si>
    <t>XOM(US30231G1022) Cash Dividend USD 0.95 per Share (Ordinary Dividend)</t>
  </si>
  <si>
    <t>MSFT(US5949181045) Cash Dividend USD 0.75 per Share (Ordinary Dividend)</t>
  </si>
  <si>
    <t>MCO(US6153691059) Cash Dividend USD 0.85 per Share (Ordinary Dividend)</t>
  </si>
  <si>
    <t>HD(US4370761029) Cash Dividend USD 2.25 per Share (Ordinary Dividend)</t>
  </si>
  <si>
    <t>QCOM(US7475251036) Cash Dividend USD 0.80 per Share (Ordinary Dividend)</t>
  </si>
  <si>
    <t>XLK(US81369Y8030) Cash Dividend USD 0.339199 per Share (Ordinary Dividend)</t>
  </si>
  <si>
    <t>XLU(US81369Y8865) Cash Dividend USD 0.519555 per Share (Ordinary Dividend)</t>
  </si>
  <si>
    <t>XLV(US81369Y2090) Cash Dividend USD 0.522941 per Share (Ordinary Dividend)</t>
  </si>
  <si>
    <t>XLG(US46137V2337) Cash Dividend USD 0.08989 per Share (Ordinary Dividend)</t>
  </si>
  <si>
    <t>META(US30303M1027) Cash Dividend USD 0.50 per Share (Ordinary Dividend)</t>
  </si>
  <si>
    <t>IR(US45687V1061) Cash Dividend USD 0.02 per Share (Ordinary Dividend)</t>
  </si>
  <si>
    <t>XOM(US30231G1022) Cash Dividend USD 0.95 per Share - US Tax</t>
  </si>
  <si>
    <t>MSFT(US5949181045) Cash Dividend USD 0.75 per Share - US Tax</t>
  </si>
  <si>
    <t>MCO(US6153691059) Cash Dividend USD 0.85 per Share - US Tax</t>
  </si>
  <si>
    <t>HD(US4370761029) Cash Dividend USD 2.25 per Share - US Tax</t>
  </si>
  <si>
    <t>QCOM(US7475251036) Cash Dividend USD 0.80 per Share - US Tax</t>
  </si>
  <si>
    <t>XLK(US81369Y8030) Cash Dividend USD 0.339199 per Share - US Tax</t>
  </si>
  <si>
    <t>XLU(US81369Y8865) Cash Dividend USD 0.519555 per Share - US Tax</t>
  </si>
  <si>
    <t>XLV(US81369Y2090) Cash Dividend USD 0.522941 per Share - US Tax</t>
  </si>
  <si>
    <t>XLG(US46137V2337) Cash Dividend USD 0.08989 per Share - US Tax</t>
  </si>
  <si>
    <t>META(US30303M1027) Cash Dividend USD 0.50 per Share - US Tax</t>
  </si>
  <si>
    <t>IR(US45687V1061) Cash Dividend USD 0.02 per Share - US Tax</t>
  </si>
  <si>
    <t>USD Credit Interest for Feb-2024</t>
  </si>
  <si>
    <t>ADVANCED MICRO DEVICES</t>
  </si>
  <si>
    <t>US0079031078</t>
  </si>
  <si>
    <t>CATERPILLAR INC</t>
  </si>
  <si>
    <t>US1491231015</t>
  </si>
  <si>
    <t>CHARLES RIVER LABORATORIES</t>
  </si>
  <si>
    <t>US1598641074</t>
  </si>
  <si>
    <t>GENERAL ELECTRIC CO</t>
  </si>
  <si>
    <t>US3696043013</t>
  </si>
  <si>
    <t>ELI LILLY &amp; CO</t>
  </si>
  <si>
    <t>US5324571083</t>
  </si>
  <si>
    <t>SERVICENOW INC</t>
  </si>
  <si>
    <t>US81762P1021</t>
  </si>
  <si>
    <t>SUPER MICRO COMPUTER INC</t>
  </si>
  <si>
    <t>US86800U1043</t>
  </si>
  <si>
    <t>MES 21JUN24</t>
  </si>
  <si>
    <t>MNQ 21JUN24</t>
  </si>
  <si>
    <t>April 1, 2024 - April 30, 2024</t>
  </si>
  <si>
    <t>2024-09-02, 08:20:32 EDT</t>
  </si>
  <si>
    <t>2024-04-10, 14:20:41</t>
  </si>
  <si>
    <t>2024-04-29, 14:12:19</t>
  </si>
  <si>
    <t>2024-04-25, 16:01:03</t>
  </si>
  <si>
    <t>2024-04-29, 14:15:50</t>
  </si>
  <si>
    <t>2024-04-30, 17:46:23</t>
  </si>
  <si>
    <t>2024-04-15, 10:15:46</t>
  </si>
  <si>
    <t>2024-04-10, 14:23:14</t>
  </si>
  <si>
    <t>2024-04-10, 14:22:57</t>
  </si>
  <si>
    <t>2024-04-11, 09:37:35</t>
  </si>
  <si>
    <t>2024-04-12, 09:48:41</t>
  </si>
  <si>
    <t>2024-04-10, 14:18:35</t>
  </si>
  <si>
    <t>2024-04-29, 14:17:19</t>
  </si>
  <si>
    <t>2024-04-10, 14:18:37</t>
  </si>
  <si>
    <t>2024-04-01, 20:25:00</t>
  </si>
  <si>
    <t>2024-04-09, 09:55:47</t>
  </si>
  <si>
    <t>2024-04-25, 16:02:13</t>
  </si>
  <si>
    <t>2024-04-26, 11:16:19</t>
  </si>
  <si>
    <t>2024-04-10, 14:16:52</t>
  </si>
  <si>
    <t>2024-04-29, 14:21:59</t>
  </si>
  <si>
    <t>2024-04-04, 10:34:05</t>
  </si>
  <si>
    <t>2024-04-10, 14:16:19</t>
  </si>
  <si>
    <t>2024-04-17, 09:30:32</t>
  </si>
  <si>
    <t>2024-04-10, 14:52:38</t>
  </si>
  <si>
    <t>2024-04-02, 09:07:19</t>
  </si>
  <si>
    <t>2024-04-10, 14:18:43</t>
  </si>
  <si>
    <t>2024-04-15, 10:10:27</t>
  </si>
  <si>
    <t>2024-04-29, 14:26:42</t>
  </si>
  <si>
    <t>2024-04-05, 11:16:26</t>
  </si>
  <si>
    <t>2024-04-09, 09:19:20</t>
  </si>
  <si>
    <t>2024-04-11, 11:15:57</t>
  </si>
  <si>
    <t>2024-04-09, 12:37:20</t>
  </si>
  <si>
    <t>2024-04-05, 10:49:37</t>
  </si>
  <si>
    <t>2024-04-10, 14:24:34</t>
  </si>
  <si>
    <t>2024-04-30, 10:11:19</t>
  </si>
  <si>
    <t>2024-04-26, 10:07:24</t>
  </si>
  <si>
    <t>2024-04-26, 00:55:01</t>
  </si>
  <si>
    <t>Corporate Actions</t>
  </si>
  <si>
    <t>Report Date</t>
  </si>
  <si>
    <t>GE(US3696043013) Spinoff  1 for 4 (GEV, GE VERNOVA LLC, US36828A1016)</t>
  </si>
  <si>
    <t>AVGO(US11135F1012) Cash Dividend USD 5.25 per Share (Ordinary Dividend)</t>
  </si>
  <si>
    <t>BAC(US0605051046) Cash Dividend USD 0.24 per Share (Ordinary Dividend)</t>
  </si>
  <si>
    <t>ROST(US7782961038) Cash Dividend USD 0.3675 per Share (Ordinary Dividend)</t>
  </si>
  <si>
    <t>UNP(US9078181081) Cash Dividend USD 1.30 per Share (Ordinary Dividend)</t>
  </si>
  <si>
    <t>GE(US3696043013) Cash Dividend USD 0.28 per Share (Ordinary Dividend)</t>
  </si>
  <si>
    <t>AVGO(US11135F1012) Cash Dividend USD 5.25 per Share - US Tax</t>
  </si>
  <si>
    <t>BAC(US0605051046) Cash Dividend USD 0.24 per Share - US Tax</t>
  </si>
  <si>
    <t>ROST(US7782961038) Cash Dividend USD 0.3675 per Share - US Tax</t>
  </si>
  <si>
    <t>UNP(US9078181081) Cash Dividend USD 1.30 per Share - US Tax</t>
  </si>
  <si>
    <t>GE(US3696043013) Cash Dividend USD 0.28 per Share - US Tax</t>
  </si>
  <si>
    <t>USD Credit Interest for Mar-2024</t>
  </si>
  <si>
    <t>USD Debit Interest for Mar-2024</t>
  </si>
  <si>
    <t>GE VERNOVA INC</t>
  </si>
  <si>
    <t>US36828A1016</t>
  </si>
  <si>
    <t>MICRON TECHNOLOGY INC</t>
  </si>
  <si>
    <t>US5951121038</t>
  </si>
  <si>
    <t>NOVO-NORDISK A/S-SPONS ADR</t>
  </si>
  <si>
    <t>US6701002056</t>
  </si>
  <si>
    <t>ORACLE CORP</t>
  </si>
  <si>
    <t>US68389X1054</t>
  </si>
  <si>
    <t>Positions that may be eligible for Stock Yield. Potential for additional annualized income of 43.06 USD</t>
  </si>
  <si>
    <t>2024-09</t>
  </si>
  <si>
    <t>May 1, 2024 - May 31, 2024</t>
  </si>
  <si>
    <t>2024-09-02, 08:20:38 EDT</t>
  </si>
  <si>
    <t>Deposits &amp; Withdrawals</t>
  </si>
  <si>
    <t>Deposits</t>
  </si>
  <si>
    <t>2024-05-10, 10:35:20</t>
  </si>
  <si>
    <t>2024-05-14, 10:51:01</t>
  </si>
  <si>
    <t>2024-05-21, 12:27:11</t>
  </si>
  <si>
    <t>2024-05-13, 13:10:21</t>
  </si>
  <si>
    <t>2024-05-09, 14:20:21</t>
  </si>
  <si>
    <t>2024-05-10, 10:14:45</t>
  </si>
  <si>
    <t>2024-05-21, 12:33:14</t>
  </si>
  <si>
    <t>2024-05-10, 10:08:26</t>
  </si>
  <si>
    <t>2024-05-21, 07:46:33</t>
  </si>
  <si>
    <t>2024-05-28, 09:57:41</t>
  </si>
  <si>
    <t>C;IA</t>
  </si>
  <si>
    <t>2024-05-09, 14:26:15</t>
  </si>
  <si>
    <t>2024-05-10, 10:18:55</t>
  </si>
  <si>
    <t>2024-05-10, 10:52:54</t>
  </si>
  <si>
    <t>2024-05-14, 10:47:56</t>
  </si>
  <si>
    <t>2024-05-10, 10:30:10</t>
  </si>
  <si>
    <t>2024-05-01, 14:45:25</t>
  </si>
  <si>
    <t>2024-05-10, 10:20:00</t>
  </si>
  <si>
    <t>2024-05-14, 10:32:49</t>
  </si>
  <si>
    <t>2024-05-02, 16:53:58</t>
  </si>
  <si>
    <t>2024-05-14, 11:03:32</t>
  </si>
  <si>
    <t>2024-05-10, 10:07:20</t>
  </si>
  <si>
    <t>2024-05-10, 10:11:05</t>
  </si>
  <si>
    <t>2024-05-10, 10:47:46</t>
  </si>
  <si>
    <t>2024-05-13, 09:37:55</t>
  </si>
  <si>
    <t>2024-05-10, 10:25:49</t>
  </si>
  <si>
    <t>2024-05-21, 12:29:07</t>
  </si>
  <si>
    <t>2024-05-10, 10:55:36</t>
  </si>
  <si>
    <t>2024-05-01, 14:06:27</t>
  </si>
  <si>
    <t>2024-05-10, 10:12:34</t>
  </si>
  <si>
    <t>2024-05-15, 09:42:53</t>
  </si>
  <si>
    <t>2024-05-21, 09:37:37</t>
  </si>
  <si>
    <t>2024-05-22, 16:48:36</t>
  </si>
  <si>
    <t>2024-05-13, 09:32:47</t>
  </si>
  <si>
    <t>2024-05-10, 10:21:00</t>
  </si>
  <si>
    <t>2024-05-10, 09:37:22</t>
  </si>
  <si>
    <t>2024-05-21, 12:36:37</t>
  </si>
  <si>
    <t>2024-05-13, 09:32:21</t>
  </si>
  <si>
    <t>2024-05-01, 15:03:07</t>
  </si>
  <si>
    <t>2024-05-10, 09:31:50</t>
  </si>
  <si>
    <t>2024-05-02, 18:00:00</t>
  </si>
  <si>
    <t>2024-05-10, 10:45:25</t>
  </si>
  <si>
    <t>2024-05-10, 15:55:09</t>
  </si>
  <si>
    <t>2024-05-10, 16:00:32</t>
  </si>
  <si>
    <t>2024-05-14, 14:32:54</t>
  </si>
  <si>
    <t>2024-05-10, 10:42:28</t>
  </si>
  <si>
    <t>2024-05-10, 15:56:50</t>
  </si>
  <si>
    <t>Settle Date</t>
  </si>
  <si>
    <t>Electronic Fund Transfer</t>
  </si>
  <si>
    <t>COST(US22160K1051) Cash Dividend USD 1.16 per Share (Ordinary Dividend)</t>
  </si>
  <si>
    <t>GD(US3695501086) Cash Dividend USD 1.42 per Share (Ordinary Dividend)</t>
  </si>
  <si>
    <t>AAPL(US0378331005) Cash Dividend USD 0.25 per Share (Ordinary Dividend)</t>
  </si>
  <si>
    <t>CAT(US1491231015) Cash Dividend USD 1.30 per Share (Ordinary Dividend)</t>
  </si>
  <si>
    <t>COST(US22160K1051) Cash Dividend USD 1.16 per Share - US Tax</t>
  </si>
  <si>
    <t>GD(US3695501086) Cash Dividend USD 1.42 per Share - US Tax</t>
  </si>
  <si>
    <t>AAPL(US0378331005) Cash Dividend USD 0.25 per Share - US Tax</t>
  </si>
  <si>
    <t>CAT(US1491231015) Cash Dividend USD 1.30 per Share - US Tax</t>
  </si>
  <si>
    <t>USD Credit Interest for Apr-2024</t>
  </si>
  <si>
    <t>USD Debit Interest for Apr-2024</t>
  </si>
  <si>
    <t>ARM HOLDINGS PLC-ADR</t>
  </si>
  <si>
    <t>US0420682058</t>
  </si>
  <si>
    <t>COCA-COLA CO/THE</t>
  </si>
  <si>
    <t>US1912161007</t>
  </si>
  <si>
    <t>UNITEDHEALTH GROUP INC</t>
  </si>
  <si>
    <t>US91324P1021</t>
  </si>
  <si>
    <t>ENERGY SELECT SECTOR SPDR</t>
  </si>
  <si>
    <t>US81369Y5069</t>
  </si>
  <si>
    <t>FINANCIAL SELECT SECTOR SPDR</t>
  </si>
  <si>
    <t>US81369Y6059</t>
  </si>
  <si>
    <t>Positions that may be eligible for Stock Yield. Potential for additional annualized income of 66.83 USD</t>
  </si>
  <si>
    <t>June 1, 2024 - June 30, 2024</t>
  </si>
  <si>
    <t>2024-09-02, 08:20:44 EDT</t>
  </si>
  <si>
    <t>Code SY: Positions that may be eligible for Stock Yield. Potential for additional annualized income of 288.84 USD</t>
  </si>
  <si>
    <t>2024-06-12, 09:32:49</t>
  </si>
  <si>
    <t>2024-06-05, 09:42:43</t>
  </si>
  <si>
    <t>2024-06-17, 13:49:13</t>
  </si>
  <si>
    <t>2024-06-07, 09:09:03</t>
  </si>
  <si>
    <t>2024-06-18, 09:42:12</t>
  </si>
  <si>
    <t>2024-06-17, 13:38:26</t>
  </si>
  <si>
    <t>2024-06-07, 08:40:32</t>
  </si>
  <si>
    <t>2024-06-12, 09:32:41</t>
  </si>
  <si>
    <t>2024-06-05, 16:10:48</t>
  </si>
  <si>
    <t>2024-06-20, 12:37:35</t>
  </si>
  <si>
    <t>2024-06-17, 14:35:08</t>
  </si>
  <si>
    <t>2024-06-20, 09:45:15</t>
  </si>
  <si>
    <t>2024-06-20, 10:40:11</t>
  </si>
  <si>
    <t>2024-06-20, 15:35:44</t>
  </si>
  <si>
    <t>2024-06-28, 09:30:01</t>
  </si>
  <si>
    <t>2024-06-28, 16:04:34</t>
  </si>
  <si>
    <t>2024-06-27, 14:40:56</t>
  </si>
  <si>
    <t>2024-06-17, 14:25:54</t>
  </si>
  <si>
    <t>2024-06-07, 13:13:15</t>
  </si>
  <si>
    <t>2024-06-17, 09:54:36</t>
  </si>
  <si>
    <t>2024-06-05, 10:06:02</t>
  </si>
  <si>
    <t>2024-06-17, 11:07:28</t>
  </si>
  <si>
    <t>2024-06-20, 06:49:43</t>
  </si>
  <si>
    <t>2024-06-06, 12:23:05</t>
  </si>
  <si>
    <t>2024-06-05, 09:30:07</t>
  </si>
  <si>
    <t>2024-06-21, 09:31:36</t>
  </si>
  <si>
    <t>2024-06-05, 11:36:56</t>
  </si>
  <si>
    <t>2024-06-17, 10:04:51</t>
  </si>
  <si>
    <t>2024-06-17, 13:19:57</t>
  </si>
  <si>
    <t>2024-06-18, 12:41:49</t>
  </si>
  <si>
    <t>2024-06-17, 14:30:43</t>
  </si>
  <si>
    <t>2024-06-21, 09:30:13</t>
  </si>
  <si>
    <t>2024-06-14, 10:13:23</t>
  </si>
  <si>
    <t>2024-06-05, 10:01:40</t>
  </si>
  <si>
    <t>2024-06-12, 15:43:35</t>
  </si>
  <si>
    <t>2024-06-05, 14:55:40</t>
  </si>
  <si>
    <t>2024-06-05, 09:57:51</t>
  </si>
  <si>
    <t>2024-06-18, 12:52:24</t>
  </si>
  <si>
    <t>2024-06-20, 11:41:17</t>
  </si>
  <si>
    <t>2024-06-06, 06:51:22</t>
  </si>
  <si>
    <t>2024-06-10, 04:00:01</t>
  </si>
  <si>
    <t>2024-06-05, 09:38:19</t>
  </si>
  <si>
    <t>2024-06-06, 10:21:10</t>
  </si>
  <si>
    <t>2024-06-12, 09:52:55</t>
  </si>
  <si>
    <t>IA;O</t>
  </si>
  <si>
    <t>2024-06-05, 15:23:47</t>
  </si>
  <si>
    <t>2024-06-12, 12:04:18</t>
  </si>
  <si>
    <t>2024-06-17, 11:38:25</t>
  </si>
  <si>
    <t>2024-06-05, 10:19:29</t>
  </si>
  <si>
    <t>2024-06-05, 10:11:43</t>
  </si>
  <si>
    <t>2024-06-21, 09:37:50</t>
  </si>
  <si>
    <t>2024-06-17, 14:53:06</t>
  </si>
  <si>
    <t>2024-06-04, 09:36:11</t>
  </si>
  <si>
    <t>2024-06-14, 06:04:04</t>
  </si>
  <si>
    <t>2024-06-12, 10:39:30</t>
  </si>
  <si>
    <t>2024-06-17, 10:20:01</t>
  </si>
  <si>
    <t>2024-06-12, 10:05:02</t>
  </si>
  <si>
    <t>2024-06-17, 15:01:53</t>
  </si>
  <si>
    <t>2024-06-20, 10:54:50</t>
  </si>
  <si>
    <t>2024-06-20, 11:18:50</t>
  </si>
  <si>
    <t>2024-06-20, 11:34:19</t>
  </si>
  <si>
    <t>2024-06-20, 11:36:52</t>
  </si>
  <si>
    <t>2024-06-20, 11:14:08</t>
  </si>
  <si>
    <t>2024-06-20, 11:34:51</t>
  </si>
  <si>
    <t>2024-06-11, 20:25:00</t>
  </si>
  <si>
    <t>APH(US0320951017) Split 2 for 1 (APH, AMPHENOL CORP-CL A, US0320951017)</t>
  </si>
  <si>
    <t>IBM(US4592001014) Cash Dividend USD 1.67 per Share (Ordinary Dividend)</t>
  </si>
  <si>
    <t>LLY(US5324571083) Cash Dividend USD 1.30 per Share (Ordinary Dividend)</t>
  </si>
  <si>
    <t>GOOGL(US02079K3059) Cash Dividend USD 0.20 per Share (Ordinary Dividend)</t>
  </si>
  <si>
    <t>QCOM(US7475251036) Cash Dividend USD 0.85 per Share (Ordinary Dividend)</t>
  </si>
  <si>
    <t>UNH(US91324P1021) Cash Dividend USD 2.10 per Share (Ordinary Dividend)</t>
  </si>
  <si>
    <t>XLE(US81369Y5069) Cash Dividend USD 0.714839 per Share (Ordinary Dividend)</t>
  </si>
  <si>
    <t>XLF(US81369Y6059) Cash Dividend USD 0.162796 per Share (Ordinary Dividend)</t>
  </si>
  <si>
    <t>XLI(US81369Y7040) Cash Dividend USD 0.421259 per Share (Ordinary Dividend)</t>
  </si>
  <si>
    <t>XLK(US81369Y8030) Cash Dividend USD 0.400001 per Share (Ordinary Dividend)</t>
  </si>
  <si>
    <t>XLU(US81369Y8865) Cash Dividend USD 0.555075 per Share (Ordinary Dividend)</t>
  </si>
  <si>
    <t>XLV(US81369Y2090) Cash Dividend USD 0.572533 per Share (Ordinary Dividend)</t>
  </si>
  <si>
    <t>XLG(US46137V2337) Cash Dividend USD 0.09431 per Share (Ordinary Dividend)</t>
  </si>
  <si>
    <t>IBM(US4592001014) Cash Dividend USD 1.67 per Share - US Tax</t>
  </si>
  <si>
    <t>LLY(US5324571083) Cash Dividend USD 1.30 per Share - US Tax</t>
  </si>
  <si>
    <t>GOOGL(US02079K3059) Cash Dividend USD 0.20 per Share - US Tax</t>
  </si>
  <si>
    <t>QCOM(US7475251036) Cash Dividend USD 0.85 per Share - US Tax</t>
  </si>
  <si>
    <t>UNH(US91324P1021) Cash Dividend USD 2.10 per Share - US Tax</t>
  </si>
  <si>
    <t>XLE(US81369Y5069) Cash Dividend USD 0.714839 per Share - US Tax</t>
  </si>
  <si>
    <t>XLF(US81369Y6059) Cash Dividend USD 0.162796 per Share - US Tax</t>
  </si>
  <si>
    <t>XLI(US81369Y7040) Cash Dividend USD 0.421259 per Share - US Tax</t>
  </si>
  <si>
    <t>XLK(US81369Y8030) Cash Dividend USD 0.400001 per Share - US Tax</t>
  </si>
  <si>
    <t>XLU(US81369Y8865) Cash Dividend USD 0.555075 per Share - US Tax</t>
  </si>
  <si>
    <t>XLV(US81369Y2090) Cash Dividend USD 0.572533 per Share - US Tax</t>
  </si>
  <si>
    <t>XLG(US46137V2337) Cash Dividend USD 0.09431 per Share - US Tax</t>
  </si>
  <si>
    <t>USD Credit Interest for May-2024</t>
  </si>
  <si>
    <t>USD Debit Interest for May-2024</t>
  </si>
  <si>
    <t>ARCH CAPITAL GROUP LTD</t>
  </si>
  <si>
    <t>BMG0450A1053</t>
  </si>
  <si>
    <t>ANALOG DEVICES INC</t>
  </si>
  <si>
    <t>US0326541051</t>
  </si>
  <si>
    <t>AMPHENOL CORP-CL A</t>
  </si>
  <si>
    <t>US0320951017</t>
  </si>
  <si>
    <t>DUPONT DE NEMOURS INC</t>
  </si>
  <si>
    <t>US26614N1028</t>
  </si>
  <si>
    <t>ECOLAB INC</t>
  </si>
  <si>
    <t>US2788651006</t>
  </si>
  <si>
    <t>FIRST SOLAR INC</t>
  </si>
  <si>
    <t>US3364331070</t>
  </si>
  <si>
    <t>HCA HEALTHCARE INC</t>
  </si>
  <si>
    <t>US40412C1018</t>
  </si>
  <si>
    <t>JPMORGAN CHASE &amp; CO</t>
  </si>
  <si>
    <t>US46625H1005</t>
  </si>
  <si>
    <t>NVIDIA CORP</t>
  </si>
  <si>
    <t>US67066G1040</t>
  </si>
  <si>
    <t>NXP SEMICONDUCTORS NV</t>
  </si>
  <si>
    <t>NL0009538784</t>
  </si>
  <si>
    <t>PHILLIPS 66</t>
  </si>
  <si>
    <t>US7185461040</t>
  </si>
  <si>
    <t>QUANTA SERVICES INC</t>
  </si>
  <si>
    <t>US74762E1029</t>
  </si>
  <si>
    <t>REGENERON PHARMACEUTICALS</t>
  </si>
  <si>
    <t>US75886F1075</t>
  </si>
  <si>
    <t>RTX CORP</t>
  </si>
  <si>
    <t>US75513E1010</t>
  </si>
  <si>
    <t>TESLA INC</t>
  </si>
  <si>
    <t>US88160R1014</t>
  </si>
  <si>
    <t>TEXAS INSTRUMENTS INC</t>
  </si>
  <si>
    <t>US8825081040</t>
  </si>
  <si>
    <t>INDUSTRIAL SELECT SECT SPDR</t>
  </si>
  <si>
    <t>US81369Y7040</t>
  </si>
  <si>
    <t>MES 20SEP24</t>
  </si>
  <si>
    <t>MNQ 20SEP24</t>
  </si>
  <si>
    <t>Positions that may be eligible for Stock Yield. Potential for additional annualized income of 288.84 USD</t>
  </si>
  <si>
    <t>July 1, 2024 - July 31, 2024</t>
  </si>
  <si>
    <t>2024-09-02, 08:20:50 EDT</t>
  </si>
  <si>
    <t>Code SY: Positions that may be eligible for Stock Yield. Potential for additional annualized income of 396.36 USD</t>
  </si>
  <si>
    <t>2024-07-03, 10:10:09</t>
  </si>
  <si>
    <t>2024-07-10, 13:38:38</t>
  </si>
  <si>
    <t>2024-07-02, 13:58:35</t>
  </si>
  <si>
    <t>2024-07-31, 13:41:50</t>
  </si>
  <si>
    <t>2024-07-29, 09:37:17</t>
  </si>
  <si>
    <t>2024-07-08, 15:35:26</t>
  </si>
  <si>
    <t>2024-07-15, 05:33:39</t>
  </si>
  <si>
    <t>2024-07-25, 09:27:40</t>
  </si>
  <si>
    <t>2024-07-11, 09:32:51</t>
  </si>
  <si>
    <t>2024-07-12, 13:49:09</t>
  </si>
  <si>
    <t>2024-07-24, 09:33:59</t>
  </si>
  <si>
    <t>2024-07-03, 10:07:07</t>
  </si>
  <si>
    <t>2024-07-03, 12:15:30</t>
  </si>
  <si>
    <t>2024-07-18, 09:41:22</t>
  </si>
  <si>
    <t>2024-07-01, 09:39:58</t>
  </si>
  <si>
    <t>2024-07-17, 10:04:29</t>
  </si>
  <si>
    <t>2024-07-23, 09:54:49</t>
  </si>
  <si>
    <t>2024-07-24, 14:41:47</t>
  </si>
  <si>
    <t>2024-07-11, 09:27:42</t>
  </si>
  <si>
    <t>2024-07-17, 12:36:00</t>
  </si>
  <si>
    <t>2024-07-11, 11:35:55</t>
  </si>
  <si>
    <t>2024-07-12, 10:18:31</t>
  </si>
  <si>
    <t>2024-07-05, 10:53:08</t>
  </si>
  <si>
    <t>2024-07-23, 09:48:59</t>
  </si>
  <si>
    <t>2024-07-12, 12:56:46</t>
  </si>
  <si>
    <t>2024-07-11, 09:40:00</t>
  </si>
  <si>
    <t>2024-07-12, 13:47:19</t>
  </si>
  <si>
    <t>2024-07-12, 13:57:20</t>
  </si>
  <si>
    <t>2024-07-24, 09:57:05</t>
  </si>
  <si>
    <t>2024-07-31, 11:32:33</t>
  </si>
  <si>
    <t>2024-07-18, 09:42:53</t>
  </si>
  <si>
    <t>2024-07-09, 10:00:18</t>
  </si>
  <si>
    <t>2024-07-19, 15:10:15</t>
  </si>
  <si>
    <t>2024-07-08, 15:39:03</t>
  </si>
  <si>
    <t>2024-07-08, 15:39:04</t>
  </si>
  <si>
    <t>2024-07-31, 12:18:10</t>
  </si>
  <si>
    <t>2024-07-17, 10:00:09</t>
  </si>
  <si>
    <t>2024-07-25, 09:40:39</t>
  </si>
  <si>
    <t>2024-07-03, 12:06:42</t>
  </si>
  <si>
    <t>2024-07-05, 10:37:36</t>
  </si>
  <si>
    <t>2024-07-16, 10:06:18</t>
  </si>
  <si>
    <t>2024-07-17, 13:07:30</t>
  </si>
  <si>
    <t>2024-07-29, 10:57:52</t>
  </si>
  <si>
    <t>2024-07-05, 09:43:06</t>
  </si>
  <si>
    <t>2024-07-18, 06:03:14</t>
  </si>
  <si>
    <t>2024-07-23, 17:42:54</t>
  </si>
  <si>
    <t>2024-07-22, 09:27:29</t>
  </si>
  <si>
    <t>2024-07-24, 07:39:52</t>
  </si>
  <si>
    <t>2024-07-24, 08:31:20</t>
  </si>
  <si>
    <t>2024-07-17, 09:37:48</t>
  </si>
  <si>
    <t>2024-07-15, 10:21:01</t>
  </si>
  <si>
    <t>2024-07-25, 08:27:11</t>
  </si>
  <si>
    <t>2024-07-25, 11:41:21</t>
  </si>
  <si>
    <t>2024-07-29, 09:32:00</t>
  </si>
  <si>
    <t>2024-07-25, 02:18:15</t>
  </si>
  <si>
    <t>2024-07-25, 08:28:50</t>
  </si>
  <si>
    <t>2024-07-25, 10:12:51</t>
  </si>
  <si>
    <t>2024-07-26, 05:17:30</t>
  </si>
  <si>
    <t>2024-07-26, 14:48:03</t>
  </si>
  <si>
    <t>2024-07-12, 20:25:00</t>
  </si>
  <si>
    <t>AVGO(US11135F1012) Split 10 for 1 (AVGO, BROADCOM INC, US11135F1012)</t>
  </si>
  <si>
    <t>HCA(US40412C1018) Cash Dividend USD 0.66 per Share (Ordinary Dividend)</t>
  </si>
  <si>
    <t>KO(US1912161007) Cash Dividend USD 0.485 per Share (Ordinary Dividend)</t>
  </si>
  <si>
    <t>APH(US0320951017) Cash Dividend USD 0.11 per Share (Ordinary Dividend)</t>
  </si>
  <si>
    <t>AMT(US03027X1000) Cash Dividend USD 1.62 per Share (Ordinary Dividend)</t>
  </si>
  <si>
    <t>PWR(US74762E1029) Cash Dividend USD 0.09 per Share (Ordinary Dividend)</t>
  </si>
  <si>
    <t>MU(US5951121038) Cash Dividend USD 0.115 per Share (Ordinary Dividend)</t>
  </si>
  <si>
    <t>DHR(US2358511028) Cash Dividend USD 0.27 per Share (Ordinary Dividend)</t>
  </si>
  <si>
    <t>JPM(US46625H1005) Cash Dividend USD 1.15 per Share (Ordinary Dividend)</t>
  </si>
  <si>
    <t>HCA(US40412C1018) Cash Dividend USD 0.66 per Share - US Tax</t>
  </si>
  <si>
    <t>KO(US1912161007) Cash Dividend USD 0.485 per Share - US Tax</t>
  </si>
  <si>
    <t>APH(US0320951017) Cash Dividend USD 0.11 per Share - US Tax</t>
  </si>
  <si>
    <t>AMT(US03027X1000) Cash Dividend USD 1.62 per Share - US Tax</t>
  </si>
  <si>
    <t>PWR(US74762E1029) Cash Dividend USD 0.09 per Share - US Tax</t>
  </si>
  <si>
    <t>MU(US5951121038) Cash Dividend USD 0.115 per Share - US Tax</t>
  </si>
  <si>
    <t>DHR(US2358511028) Cash Dividend USD 0.27 per Share - US Tax</t>
  </si>
  <si>
    <t>JPM(US46625H1005) Cash Dividend USD 1.15 per Share - US Tax</t>
  </si>
  <si>
    <t>USD Credit Interest for Jun-2024</t>
  </si>
  <si>
    <t>INVESCO QQQ TRUST SERIES 1</t>
  </si>
  <si>
    <t>US46090E1038</t>
  </si>
  <si>
    <t>ISHARES SEMICONDUCTOR ETF</t>
  </si>
  <si>
    <t>US4642875235</t>
  </si>
  <si>
    <t>CONSUMER DISCRETIONARY SELT</t>
  </si>
  <si>
    <t>US81369Y4070</t>
  </si>
  <si>
    <t>Positions that may be eligible for Stock Yield. Potential for additional annualized income of 396.36 USD</t>
  </si>
  <si>
    <t>January 1, 2024 - August 30, 2024</t>
  </si>
  <si>
    <t>2024-09-02, 08:17:55 EDT</t>
  </si>
  <si>
    <t>Code SY: Positions that may be eligible for Stock Yield. Potential for additional annualized income of 442.32 USD</t>
  </si>
  <si>
    <t>2024-08-07, 11:40:18</t>
  </si>
  <si>
    <t>2024-08-29, 09:31:34</t>
  </si>
  <si>
    <t>2024-08-29, 09:43:34</t>
  </si>
  <si>
    <t>2024-08-23, 15:37:52</t>
  </si>
  <si>
    <t>2024-08-27, 15:49:50</t>
  </si>
  <si>
    <t>2024-08-27, 09:46:45</t>
  </si>
  <si>
    <t>2024-08-28, 09:43:15</t>
  </si>
  <si>
    <t>2024-08-07, 11:03:26</t>
  </si>
  <si>
    <t>2024-08-30, 12:37:11</t>
  </si>
  <si>
    <t>2024-08-08, 11:10:37</t>
  </si>
  <si>
    <t>2024-08-08, 11:13:11</t>
  </si>
  <si>
    <t>2024-08-27, 10:01:05</t>
  </si>
  <si>
    <t>2024-08-28, 09:33:14</t>
  </si>
  <si>
    <t>2024-08-06, 05:03:21</t>
  </si>
  <si>
    <t>2024-08-06, 09:30:29</t>
  </si>
  <si>
    <t>2024-08-05, 04:00:56</t>
  </si>
  <si>
    <t>2024-08-07, 14:37:01</t>
  </si>
  <si>
    <t>2024-08-06, 00:42:54</t>
  </si>
  <si>
    <t>2024-08-08, 15:28:02</t>
  </si>
  <si>
    <t>2024-08-22, 09:51:08</t>
  </si>
  <si>
    <t>2024-08-01, 22:31:20</t>
  </si>
  <si>
    <t>2024-08-02, 15:49:27</t>
  </si>
  <si>
    <t>2024-08-05, 00:45:26</t>
  </si>
  <si>
    <t>2024-08-05, 10:17:56</t>
  </si>
  <si>
    <t>2024-08-06, 00:12:24</t>
  </si>
  <si>
    <t>2024-08-06, 01:05:20</t>
  </si>
  <si>
    <t>2024-08-06, 06:15:09</t>
  </si>
  <si>
    <t>2024-08-06, 06:28:54</t>
  </si>
  <si>
    <t>2024-08-08, 09:00:25</t>
  </si>
  <si>
    <t>2024-08-22, 09:46:39</t>
  </si>
  <si>
    <t>2024-08-28, 13:15:38</t>
  </si>
  <si>
    <t>2024-08-28, 16:46:40</t>
  </si>
  <si>
    <t>2024-08-29, 01:37:19</t>
  </si>
  <si>
    <t>2024-08-29, 03:09:40</t>
  </si>
  <si>
    <t>2024-08-29, 06:24:12</t>
  </si>
  <si>
    <t>2024-08-29, 14:27:41</t>
  </si>
  <si>
    <t>2024-08-29, 14:31:01</t>
  </si>
  <si>
    <t>2024-08-29, 14:58:19</t>
  </si>
  <si>
    <t>2024-08-29, 15:39:11</t>
  </si>
  <si>
    <t>2024-08-30, 00:19:05</t>
  </si>
  <si>
    <t>2024-08-30, 11:00:09</t>
  </si>
  <si>
    <t>TXN(US8825081040) Cash Dividend USD 1.30 per Share (Ordinary Dividend)</t>
  </si>
  <si>
    <t>C(US1729674242) Cash Dividend USD 0.56 per Share (Ordinary Dividend)</t>
  </si>
  <si>
    <t>HWM(US4432011082) Cash Dividend USD 0.08 per Share (Ordinary Dividend)</t>
  </si>
  <si>
    <t>TXN(US8825081040) Cash Dividend USD 1.30 per Share - US Tax</t>
  </si>
  <si>
    <t>C(US1729674242) Cash Dividend USD 0.56 per Share - US Tax</t>
  </si>
  <si>
    <t>HWM(US4432011082) Cash Dividend USD 0.08 per Share - US Tax</t>
  </si>
  <si>
    <t>USD Credit Interest for Jul-2024</t>
  </si>
  <si>
    <t>ADR;Po</t>
  </si>
  <si>
    <t>ADR;Re</t>
  </si>
  <si>
    <t>SALESFORCE INC</t>
  </si>
  <si>
    <t>US79466L3024</t>
  </si>
  <si>
    <t>SPDR S&amp;P 500 ETF TRUST</t>
  </si>
  <si>
    <t>US78462F1030</t>
  </si>
  <si>
    <t>TRANE TECHNOLOGIES PLC</t>
  </si>
  <si>
    <t>IE00BK9ZQ967</t>
  </si>
  <si>
    <t>Positions that may be eligible for Stock Yield. Potential for additional annualized income of 442.32 USD</t>
  </si>
  <si>
    <t>Total Long</t>
  </si>
  <si>
    <t>Start</t>
  </si>
  <si>
    <t>Fund Change</t>
  </si>
  <si>
    <t>Monthly return</t>
  </si>
  <si>
    <t>Yearly return</t>
  </si>
  <si>
    <t>Portfolio Properties</t>
  </si>
  <si>
    <t>Equal weights</t>
  </si>
  <si>
    <t>Sentiment</t>
  </si>
  <si>
    <t xml:space="preserve">Hedging </t>
  </si>
  <si>
    <t xml:space="preserve">Avg Number of Positions </t>
  </si>
  <si>
    <t>Yes</t>
  </si>
  <si>
    <t>Construction</t>
  </si>
  <si>
    <t>Sector allocation</t>
  </si>
  <si>
    <t>Portfolio Performance</t>
  </si>
  <si>
    <t>Portfolio (cumulative)</t>
  </si>
  <si>
    <t>SPY (cumulative)</t>
  </si>
  <si>
    <t>Excess Retune</t>
  </si>
  <si>
    <t>Fund Deposit</t>
  </si>
  <si>
    <t>Unrealized Long</t>
  </si>
  <si>
    <t>Unrealized Short</t>
  </si>
  <si>
    <t>Realized long</t>
  </si>
  <si>
    <t>Realized Short</t>
  </si>
  <si>
    <t>Open Long Stocks</t>
  </si>
  <si>
    <t>Total Unrealized</t>
  </si>
  <si>
    <t xml:space="preserve"> Total Realized</t>
  </si>
  <si>
    <t>Open Short</t>
  </si>
  <si>
    <t>Total Short</t>
  </si>
  <si>
    <t>September 1, 2024 - September 30, 2024</t>
  </si>
  <si>
    <t>2024-11-13, 06:28:15 EST</t>
  </si>
  <si>
    <t>Other Fees</t>
  </si>
  <si>
    <t>DELL</t>
  </si>
  <si>
    <t>XLB</t>
  </si>
  <si>
    <t>MESZ4</t>
  </si>
  <si>
    <t>MNQZ4</t>
  </si>
  <si>
    <t>Payment In Lieu of Dividends</t>
  </si>
  <si>
    <t>Code SY: Positions that may be eligible for Stock Yield. Potential for additional annualized income of 202.85 USD</t>
  </si>
  <si>
    <t>2024-09-05, 13:31:23</t>
  </si>
  <si>
    <t>2024-09-25, 09:45:25</t>
  </si>
  <si>
    <t>2024-09-03, 08:51:41</t>
  </si>
  <si>
    <t>2024-09-30, 04:04:29</t>
  </si>
  <si>
    <t>2024-09-11, 10:07:42</t>
  </si>
  <si>
    <t>2024-09-13, 07:12:56</t>
  </si>
  <si>
    <t>2024-09-19, 14:04:30</t>
  </si>
  <si>
    <t>2024-09-05, 18:08:43</t>
  </si>
  <si>
    <t>2024-09-27, 14:26:40</t>
  </si>
  <si>
    <t>2024-09-03, 04:00:00</t>
  </si>
  <si>
    <t>2024-09-11, 14:11:51</t>
  </si>
  <si>
    <t>2024-09-24, 04:05:29</t>
  </si>
  <si>
    <t>2024-09-11, 14:19:13</t>
  </si>
  <si>
    <t>2024-09-27, 10:52:35</t>
  </si>
  <si>
    <t>2024-09-16, 04:28:06</t>
  </si>
  <si>
    <t>2024-09-04, 10:39:36</t>
  </si>
  <si>
    <t>2024-09-09, 02:07:19</t>
  </si>
  <si>
    <t>2024-09-11, 11:16:35</t>
  </si>
  <si>
    <t>2024-09-19, 16:08:09</t>
  </si>
  <si>
    <t>2024-09-19, 16:09:05</t>
  </si>
  <si>
    <t>2024-09-03, 06:03:50</t>
  </si>
  <si>
    <t>2024-09-03, 09:42:41</t>
  </si>
  <si>
    <t>2024-09-03, 10:45:32</t>
  </si>
  <si>
    <t>2024-09-03, 11:00:28</t>
  </si>
  <si>
    <t>2024-09-03, 15:45:05</t>
  </si>
  <si>
    <t>2024-09-05, 18:04:37</t>
  </si>
  <si>
    <t>2024-09-11, 10:17:05</t>
  </si>
  <si>
    <t>2024-09-12, 08:54:58</t>
  </si>
  <si>
    <t>2024-09-12, 14:30:03</t>
  </si>
  <si>
    <t>2024-09-16, 08:22:39</t>
  </si>
  <si>
    <t>2024-09-16, 15:55:51</t>
  </si>
  <si>
    <t>2024-09-19, 16:09:41</t>
  </si>
  <si>
    <t>2024-09-17, 12:49:01</t>
  </si>
  <si>
    <t>2024-09-19, 16:10:17</t>
  </si>
  <si>
    <t>2024-09-19, 16:12:03</t>
  </si>
  <si>
    <t>2024-09-20, 15:49:42</t>
  </si>
  <si>
    <t>2024-09-24, 10:03:05</t>
  </si>
  <si>
    <t>2024-09-24, 11:14:02</t>
  </si>
  <si>
    <t>2024-09-25, 11:52:14</t>
  </si>
  <si>
    <t>2024-09-26, 10:03:02</t>
  </si>
  <si>
    <t>2024-09-30, 07:50:48</t>
  </si>
  <si>
    <t>ARM(042068205) ADR Fee USD 0.02 per Share</t>
  </si>
  <si>
    <t>XLB(US81369Y1001) Cash Dividend USD 0.418433 per Share (Ordinary Dividend)</t>
  </si>
  <si>
    <t>XLE(US81369Y5069) Cash Dividend USD 0.727492 per Share (Ordinary Dividend)</t>
  </si>
  <si>
    <t>XLF(US81369Y6059) Cash Dividend USD 0.165306 per Share (Ordinary Dividend)</t>
  </si>
  <si>
    <t>XLI(US81369Y7040) Cash Dividend USD 0.431022 per Share (Ordinary Dividend)</t>
  </si>
  <si>
    <t>XLK(US81369Y8030) Cash Dividend USD 0.398514 per Share (Ordinary Dividend)</t>
  </si>
  <si>
    <t>XLU(US81369Y8865) Cash Dividend USD 0.539486 per Share (Ordinary Dividend)</t>
  </si>
  <si>
    <t>XLV(US81369Y2090) Cash Dividend USD 0.577234 per Share (Ordinary Dividend)</t>
  </si>
  <si>
    <t>XLY(US81369Y4070) Cash Dividend USD 0.404668 per Share (Ordinary Dividend)</t>
  </si>
  <si>
    <t>BAC(US0605051046) Cash Dividend USD 0.26 per Share (Ordinary Dividend)</t>
  </si>
  <si>
    <t>XLG(US46137V2337) Payment in Lieu of Dividend (Ordinary Dividend)</t>
  </si>
  <si>
    <t>XLG(US46137V2337) Cash Dividend USD 0.08627 per Share (Ordinary Dividend)</t>
  </si>
  <si>
    <t>AVGO(US11135F1012) Cash Dividend USD 0.53 per Share (Ordinary Dividend)</t>
  </si>
  <si>
    <t>BKNG(US09857L1089) Cash Dividend USD 8.75 per Share (Ordinary Dividend)</t>
  </si>
  <si>
    <t>SOXX(US4642875235) Cash Dividend USD 0.55238 per Share (Ordinary Dividend)</t>
  </si>
  <si>
    <t>TT(IE00BK9ZQ967) Cash Dividend USD 0.84 per Share (Ordinary Dividend)</t>
  </si>
  <si>
    <t>XLB(US81369Y1001) Cash Dividend USD 0.418433 per Share - US Tax</t>
  </si>
  <si>
    <t>XLE(US81369Y5069) Cash Dividend USD 0.727492 per Share - US Tax</t>
  </si>
  <si>
    <t>XLF(US81369Y6059) Cash Dividend USD 0.165306 per Share - US Tax</t>
  </si>
  <si>
    <t>XLI(US81369Y7040) Cash Dividend USD 0.431022 per Share - US Tax</t>
  </si>
  <si>
    <t>XLK(US81369Y8030) Cash Dividend USD 0.398514 per Share - US Tax</t>
  </si>
  <si>
    <t>XLU(US81369Y8865) Cash Dividend USD 0.539486 per Share - US Tax</t>
  </si>
  <si>
    <t>XLV(US81369Y2090) Cash Dividend USD 0.577234 per Share - US Tax</t>
  </si>
  <si>
    <t>XLY(US81369Y4070) Cash Dividend USD 0.404668 per Share - US Tax</t>
  </si>
  <si>
    <t>BAC(US0605051046) Cash Dividend USD 0.26 per Share - US Tax</t>
  </si>
  <si>
    <t>XLG(US46137V2337) Payment in Lieu of Dividend - US Tax</t>
  </si>
  <si>
    <t>XLG(US46137V2337) Cash Dividend USD 0.08627 per Share - US Tax</t>
  </si>
  <si>
    <t>AVGO(US11135F1012) Cash Dividend USD 0.53 per Share - US Tax</t>
  </si>
  <si>
    <t>BKNG(US09857L1089) Cash Dividend USD 8.75 per Share - US Tax</t>
  </si>
  <si>
    <t>SOXX(US4642875235) Cash Dividend USD 0.55238 per Share - US Tax</t>
  </si>
  <si>
    <t>TT(IE00BK9ZQ967) Cash Dividend USD 0.84 per Share - IE Tax</t>
  </si>
  <si>
    <t>USD Credit Interest for Aug-2024</t>
  </si>
  <si>
    <t>USD Debit Interest for Aug-2024</t>
  </si>
  <si>
    <t>Underlying</t>
  </si>
  <si>
    <t>DELL TECHNOLOGIES -C</t>
  </si>
  <si>
    <t>US24703L2025</t>
  </si>
  <si>
    <t>GENERAL ELECTRIC</t>
  </si>
  <si>
    <t>MATERIALS SELECT SECTOR SPDR</t>
  </si>
  <si>
    <t>US81369Y1001</t>
  </si>
  <si>
    <t>MES</t>
  </si>
  <si>
    <t>MES 20DEC24</t>
  </si>
  <si>
    <t>2024-12</t>
  </si>
  <si>
    <t>MNQ</t>
  </si>
  <si>
    <t>MNQ 20DEC24</t>
  </si>
  <si>
    <t>Positions that may be eligible for Stock Yield. Potential for additional annualized income of 202.85 USD</t>
  </si>
  <si>
    <t>Call features for bonds or preferred stocks may affect the yield. For zero coupon, compound interest and multiplier securities, there are no periodic payments and securities may be callable below maturity value without notice to holder unless registered. For asset-backed securities, the actual yield may vary depending on the speed at which the underlying note is pre-paid. For additional information regarding bond yield, please contact the IB Help Desk at: ibkr.com/help. If this debt security is unrated by a nationally recognized statistical rating organization, it may pose a high risk of default. You should consult an independent advisor to determine whether unrated bonds are appropriate for your portfolio in light of your goals and your financial circumstances. Fees charged by bond trading centers are included in the cost of bond transactions.</t>
  </si>
  <si>
    <t>Unless otherwise noted, Interactive Brokers acted as agent in the execution of the above transactions. For those exchanges where IB is not a direct clearing member or custodian, IB may use one of the following clearing agents or sub-custodians: Interactive Brokers Australia Pty Limited; Interactive Brokers Canada Inc.; Interactive Brokers Hong Kong Limited; Interactive Brokers Ireland, Limited; Interactive Brokers Securities Japan, Inc.; Interactive Brokers (U.K.) Limited; IBKR Financial Services AG; ABN Amro Clearing Singapore Pte. Ltd.; BBVA Bancomer, S.A.; BNP Securities Services, Milan Branch; BMO Harris Bank N.A.; Citibank Europe plc; Skandinaviska Enskilda Banken AB (including select branches).</t>
  </si>
  <si>
    <t xml:space="preserve">IB accepts liquidity rebates or other order flow payments from Alternative Trading Systems, market makers and exchanges for certain orders in stocks. IB receives payment for some option orders pursuant to exchange-mandated marketing fee programs or other arrangements. The source and nature of any compensation received by IB in connection with any transaction is available upon written request of the customer. For further information, check the IB website and the Order Routing and Payment for Order Flow Disclosure provided when you opened your account and annually or visit ibkr.com/help.  </t>
  </si>
  <si>
    <t>2024-10</t>
  </si>
  <si>
    <t>October 1, 2024 - October 31, 2024</t>
  </si>
  <si>
    <t>2024-11-13, 06:28:23 EST</t>
  </si>
  <si>
    <t>ITA</t>
  </si>
  <si>
    <t>IWM</t>
  </si>
  <si>
    <t>RSP</t>
  </si>
  <si>
    <t>UHS</t>
  </si>
  <si>
    <t>VNQ</t>
  </si>
  <si>
    <t>VOO</t>
  </si>
  <si>
    <t>2024-10-14, 15:40:13</t>
  </si>
  <si>
    <t>2024-10-31, 11:08:47</t>
  </si>
  <si>
    <t>2024-10-09, 14:24:51</t>
  </si>
  <si>
    <t>2024-10-30, 15:51:08</t>
  </si>
  <si>
    <t>2024-10-09, 13:22:10</t>
  </si>
  <si>
    <t>2024-10-09, 12:33:00</t>
  </si>
  <si>
    <t>2024-10-31, 04:31:28</t>
  </si>
  <si>
    <t>2024-10-09, 12:35:17</t>
  </si>
  <si>
    <t>2024-10-28, 12:10:50</t>
  </si>
  <si>
    <t>2024-10-09, 12:37:00</t>
  </si>
  <si>
    <t>2024-10-09, 12:34:22</t>
  </si>
  <si>
    <t>2024-10-22, 09:31:43</t>
  </si>
  <si>
    <t>2024-10-18, 11:28:33</t>
  </si>
  <si>
    <t>2024-10-08, 04:00:00</t>
  </si>
  <si>
    <t>2024-10-09, 15:48:49</t>
  </si>
  <si>
    <t>2024-10-31, 10:40:01</t>
  </si>
  <si>
    <t>2024-10-31, 11:09:29</t>
  </si>
  <si>
    <t>2024-10-31, 11:40:00</t>
  </si>
  <si>
    <t>2024-10-29, 09:35:40</t>
  </si>
  <si>
    <t>2024-10-31, 15:59:07</t>
  </si>
  <si>
    <t>2024-10-09, 12:45:35</t>
  </si>
  <si>
    <t>2024-10-11, 08:56:40</t>
  </si>
  <si>
    <t>2024-10-30, 10:42:27</t>
  </si>
  <si>
    <t>2024-10-04, 10:49:49</t>
  </si>
  <si>
    <t>2024-10-08, 09:56:00</t>
  </si>
  <si>
    <t>2024-10-09, 13:28:54</t>
  </si>
  <si>
    <t>2024-10-30, 11:37:32</t>
  </si>
  <si>
    <t>2024-10-30, 17:32:57</t>
  </si>
  <si>
    <t>2024-10-31, 04:44:41</t>
  </si>
  <si>
    <t>2024-10-15, 10:10:02</t>
  </si>
  <si>
    <t>2024-10-01, 09:40:46</t>
  </si>
  <si>
    <t>2024-10-09, 12:36:56</t>
  </si>
  <si>
    <t>2024-10-23, 12:29:49</t>
  </si>
  <si>
    <t>2024-10-21, 11:02:31</t>
  </si>
  <si>
    <t>2024-10-22, 04:33:53</t>
  </si>
  <si>
    <t>2024-10-14, 11:10:44</t>
  </si>
  <si>
    <t>2024-10-30, 16:31:12</t>
  </si>
  <si>
    <t>2024-10-10, 09:49:02</t>
  </si>
  <si>
    <t>2024-10-22, 10:30:41</t>
  </si>
  <si>
    <t>2024-10-22, 11:52:09</t>
  </si>
  <si>
    <t>2024-10-09, 13:16:20</t>
  </si>
  <si>
    <t>2024-10-09, 12:41:31</t>
  </si>
  <si>
    <t>2024-10-11, 04:38:32</t>
  </si>
  <si>
    <t>2024-10-28, 10:14:23</t>
  </si>
  <si>
    <t>2024-10-16, 09:51:55</t>
  </si>
  <si>
    <t>2024-10-15, 15:06:44</t>
  </si>
  <si>
    <t>2024-10-23, 13:22:26</t>
  </si>
  <si>
    <t>2024-10-02, 11:04:16</t>
  </si>
  <si>
    <t>2024-10-16, 05:13:11</t>
  </si>
  <si>
    <t>2024-10-28, 09:36:08</t>
  </si>
  <si>
    <t>2024-10-30, 09:19:04</t>
  </si>
  <si>
    <t>2024-10-08, 03:25:16</t>
  </si>
  <si>
    <t>2024-10-22, 13:40:35</t>
  </si>
  <si>
    <t>2024-10-22, 16:01:14</t>
  </si>
  <si>
    <t>2024-10-01, 09:47:49</t>
  </si>
  <si>
    <t>2024-10-01, 10:07:51</t>
  </si>
  <si>
    <t>2024-10-03, 09:34:35</t>
  </si>
  <si>
    <t>2024-10-03, 13:00:50</t>
  </si>
  <si>
    <t>2024-10-03, 15:43:33</t>
  </si>
  <si>
    <t>2024-10-03, 16:58:35</t>
  </si>
  <si>
    <t>2024-10-08, 03:31:56</t>
  </si>
  <si>
    <t>2024-10-08, 14:37:28</t>
  </si>
  <si>
    <t>2024-10-10, 13:01:28</t>
  </si>
  <si>
    <t>2024-10-11, 10:27:23</t>
  </si>
  <si>
    <t>2024-10-11, 15:16:51</t>
  </si>
  <si>
    <t>2024-10-14, 09:37:17</t>
  </si>
  <si>
    <t>2024-10-15, 10:34:16</t>
  </si>
  <si>
    <t>2024-10-16, 03:13:47</t>
  </si>
  <si>
    <t>2024-10-17, 10:02:32</t>
  </si>
  <si>
    <t>2024-10-17, 15:51:52</t>
  </si>
  <si>
    <t>2024-10-23, 10:20:05</t>
  </si>
  <si>
    <t>2024-10-23, 14:43:44</t>
  </si>
  <si>
    <t>2024-10-24, 12:21:06</t>
  </si>
  <si>
    <t>2024-10-25, 09:52:09</t>
  </si>
  <si>
    <t>2024-10-29, 09:55:02</t>
  </si>
  <si>
    <t>2024-10-30, 08:45:07</t>
  </si>
  <si>
    <t>2024-10-30, 16:17:31</t>
  </si>
  <si>
    <t>2024-10-31, 12:44:38</t>
  </si>
  <si>
    <t>APH(US0320951017) Cash Dividend USD 0.165 per Share (Ordinary Dividend)</t>
  </si>
  <si>
    <t>JPM(US46625H1005) Cash Dividend USD 1.25 per Share (Ordinary Dividend)</t>
  </si>
  <si>
    <t>QQQ(US46090E1038) Cash Dividend USD 0.67686 per Share (Ordinary Dividend)</t>
  </si>
  <si>
    <t>SPY(US78462F1030) Cash Dividend USD 1.745531 per Share (Ordinary Dividend)</t>
  </si>
  <si>
    <t>APH(US0320951017) Cash Dividend USD 0.165 per Share - US Tax</t>
  </si>
  <si>
    <t>JPM(US46625H1005) Cash Dividend USD 1.25 per Share - US Tax</t>
  </si>
  <si>
    <t>QQQ(US46090E1038) Cash Dividend USD 0.67686 per Share - US Tax</t>
  </si>
  <si>
    <t>SPY(US78462F1030) Cash Dividend USD 1.745531 per Share - US Tax</t>
  </si>
  <si>
    <t>USD Debit Interest for Sep-2024</t>
  </si>
  <si>
    <t>ISHARES U.S. AEROSPACE &amp; DEF</t>
  </si>
  <si>
    <t>US4642887602</t>
  </si>
  <si>
    <t>BATS</t>
  </si>
  <si>
    <t>ISHARES RUSSELL 2000 ETF</t>
  </si>
  <si>
    <t>US4642876555</t>
  </si>
  <si>
    <t>INVESCO S&amp;P 500 EQUAL WEIGHT</t>
  </si>
  <si>
    <t>US46137V3574</t>
  </si>
  <si>
    <t>US86800U3023</t>
  </si>
  <si>
    <t>UNIVERSAL HEALTH SERVICES-B</t>
  </si>
  <si>
    <t>US9139031002</t>
  </si>
  <si>
    <t>VANGUARD REAL ESTATE ETF</t>
  </si>
  <si>
    <t>US9229085538</t>
  </si>
  <si>
    <t>VANGUARD S&amp;P 500 ETF</t>
  </si>
  <si>
    <t>US9229083632</t>
  </si>
  <si>
    <t>Positions that may be eligible for Stock Yield. Potential for additional annualized income of 104.28 USD</t>
  </si>
  <si>
    <t>adj_close_price</t>
  </si>
  <si>
    <t>start-of-month value for each date</t>
  </si>
  <si>
    <r>
      <t>Cumulative Monthly % Change</t>
    </r>
    <r>
      <rPr>
        <sz val="11"/>
        <color theme="1"/>
        <rFont val="Aptos Narrow"/>
        <family val="2"/>
        <scheme val="minor"/>
      </rPr>
      <t>:</t>
    </r>
  </si>
  <si>
    <t>Month Identifier</t>
  </si>
  <si>
    <t>2023-12</t>
  </si>
  <si>
    <t>Long Monthly</t>
  </si>
  <si>
    <t>Long (cumulative)</t>
  </si>
  <si>
    <t>Short  (cumulative)</t>
  </si>
  <si>
    <t>Short Monthly</t>
  </si>
  <si>
    <t>2024-11</t>
  </si>
  <si>
    <t>November 1, 2024 - November 30, 2024</t>
  </si>
  <si>
    <t>2025-01-02, 11:02:13 EST</t>
  </si>
  <si>
    <t>CSCO</t>
  </si>
  <si>
    <t>IRM</t>
  </si>
  <si>
    <t>MRVL</t>
  </si>
  <si>
    <t>2024-11-20, 15:15:47</t>
  </si>
  <si>
    <t>2024-11-13, 10:56:32</t>
  </si>
  <si>
    <t>2024-11-20, 15:15:21</t>
  </si>
  <si>
    <t>2024-11-18, 04:00:48</t>
  </si>
  <si>
    <t>2024-11-25, 15:44:30</t>
  </si>
  <si>
    <t>2024-11-26, 16:47:10</t>
  </si>
  <si>
    <t>2024-11-12, 10:34:11</t>
  </si>
  <si>
    <t>2024-11-29, 06:10:49</t>
  </si>
  <si>
    <t>2024-11-01, 09:30:26</t>
  </si>
  <si>
    <t>2024-11-21, 10:49:10</t>
  </si>
  <si>
    <t>2024-11-13, 10:20:53</t>
  </si>
  <si>
    <t>2024-11-14, 15:56:46</t>
  </si>
  <si>
    <t>2024-11-18, 04:40:21</t>
  </si>
  <si>
    <t>2024-11-20, 15:23:17</t>
  </si>
  <si>
    <t>2024-11-21, 11:30:41</t>
  </si>
  <si>
    <t>2024-11-19, 07:33:06</t>
  </si>
  <si>
    <t>2024-11-20, 16:25:37</t>
  </si>
  <si>
    <t>2024-11-18, 06:36:27</t>
  </si>
  <si>
    <t>2024-11-29, 08:10:14</t>
  </si>
  <si>
    <t>2024-11-13, 08:31:11</t>
  </si>
  <si>
    <t>2024-11-13, 11:33:23</t>
  </si>
  <si>
    <t>2024-11-15, 15:17:39</t>
  </si>
  <si>
    <t>2024-11-21, 15:51:17</t>
  </si>
  <si>
    <t>2024-10-31, 18:00:00</t>
  </si>
  <si>
    <t>2024-10-31, 22:11:17</t>
  </si>
  <si>
    <t>2024-11-03, 18:00:39</t>
  </si>
  <si>
    <t>2024-11-05, 23:17:51</t>
  </si>
  <si>
    <t>2024-11-11, 13:01:03</t>
  </si>
  <si>
    <t>2024-11-12, 12:56:55</t>
  </si>
  <si>
    <t>2024-11-15, 14:29:03</t>
  </si>
  <si>
    <t>2024-11-18, 04:41:36</t>
  </si>
  <si>
    <t>2024-11-19, 04:27:14</t>
  </si>
  <si>
    <t>2024-11-19, 09:00:59</t>
  </si>
  <si>
    <t>2024-11-19, 10:50:43</t>
  </si>
  <si>
    <t>2024-11-19, 11:29:06</t>
  </si>
  <si>
    <t>2024-11-21, 11:31:25</t>
  </si>
  <si>
    <t>2024-11-22, 05:37:35</t>
  </si>
  <si>
    <t>2024-11-27, 10:36:40</t>
  </si>
  <si>
    <t>DELL(US24703L2025) Cash Dividend USD 0.445 per Share (Ordinary Dividend)</t>
  </si>
  <si>
    <t>DELL(US24703L2025) Cash Dividend USD 0.445 per Share - US Tax</t>
  </si>
  <si>
    <t>USD Credit Interest for Oct-2024</t>
  </si>
  <si>
    <t>USD Debit Interest for Oct-2024</t>
  </si>
  <si>
    <t>CISCO SYSTEMS INC</t>
  </si>
  <si>
    <t>US17275R1023</t>
  </si>
  <si>
    <t>IRON MOUNTAIN INC</t>
  </si>
  <si>
    <t>US46284V1017</t>
  </si>
  <si>
    <t>MARVELL TECHNOLOGY INC</t>
  </si>
  <si>
    <t>US5738741041</t>
  </si>
  <si>
    <t>Positions that may be eligible for Stock Yield. Potential for additional annualized income of 100.56 USD</t>
  </si>
  <si>
    <t>December 1, 2024 - December 31, 2024</t>
  </si>
  <si>
    <t>2025-01-02, 11:02:24 EST</t>
  </si>
  <si>
    <t>EQIX</t>
  </si>
  <si>
    <t>HPE</t>
  </si>
  <si>
    <t>PLTR</t>
  </si>
  <si>
    <t>MESH5</t>
  </si>
  <si>
    <t>MNQH5</t>
  </si>
  <si>
    <t>2024-12-10, 04:10:51</t>
  </si>
  <si>
    <t>2024-12-16, 15:46:24</t>
  </si>
  <si>
    <t>2024-12-10, 04:08:52</t>
  </si>
  <si>
    <t>2024-12-17, 09:31:05</t>
  </si>
  <si>
    <t>2024-12-18, 15:04:58</t>
  </si>
  <si>
    <t>2024-12-16, 14:26:26</t>
  </si>
  <si>
    <t>2024-12-03, 07:39:29</t>
  </si>
  <si>
    <t>2024-12-10, 04:09:55</t>
  </si>
  <si>
    <t>2024-12-18, 14:45:51</t>
  </si>
  <si>
    <t>2024-12-16, 16:13:38</t>
  </si>
  <si>
    <t>2024-12-04, 10:15:37</t>
  </si>
  <si>
    <t>2024-12-16, 06:36:54</t>
  </si>
  <si>
    <t>2024-12-16, 15:50:33</t>
  </si>
  <si>
    <t>2024-12-09, 10:16:03</t>
  </si>
  <si>
    <t>2024-12-18, 14:09:27</t>
  </si>
  <si>
    <t>2024-12-10, 04:12:48</t>
  </si>
  <si>
    <t>2024-12-18, 14:01:14</t>
  </si>
  <si>
    <t>2024-12-18, 15:35:37</t>
  </si>
  <si>
    <t>2024-12-20, 11:03:02</t>
  </si>
  <si>
    <t>2024-12-26, 10:38:57</t>
  </si>
  <si>
    <t>2024-12-31, 04:39:24</t>
  </si>
  <si>
    <t>2024-12-04, 18:16:47</t>
  </si>
  <si>
    <t>2024-12-13, 02:58:33</t>
  </si>
  <si>
    <t>2024-12-18, 03:58:31</t>
  </si>
  <si>
    <t>2024-12-13, 20:25:00</t>
  </si>
  <si>
    <t>PANW(US6974351057) Split 2 for 1 (PANW, PALO ALTO NETWORKS INC, US6974351057)</t>
  </si>
  <si>
    <t>MSFT(US5949181045) Cash Dividend USD 0.83 per Share (Ordinary Dividend)</t>
  </si>
  <si>
    <t>UHS(US9139031002) Cash Dividend USD 0.20 per Share (Ordinary Dividend)</t>
  </si>
  <si>
    <t>ITA(US4642887602) Cash Dividend USD 0.436835 per Share (Ordinary Dividend)</t>
  </si>
  <si>
    <t>IWM(US4642876555) Cash Dividend USD 0.694004 per Share (Ordinary Dividend)</t>
  </si>
  <si>
    <t>VNQ(US9229085538) Cash Dividend USD 0.8555 per Share (Ordinary Dividend)</t>
  </si>
  <si>
    <t>VOO(US9229083632) Cash Dividend USD 1.7385 per Share (Ordinary Dividend)</t>
  </si>
  <si>
    <t>XLB(US81369Y1001) Cash Dividend USD 0.444309 per Share (Ordinary Dividend)</t>
  </si>
  <si>
    <t>XLF(US81369Y6059) Cash Dividend USD 0.206245 per Share (Ordinary Dividend)</t>
  </si>
  <si>
    <t>XLI(US81369Y7040) Cash Dividend USD 0.670132 per Share (Ordinary Dividend)</t>
  </si>
  <si>
    <t>XLK(US81369Y8030) Cash Dividend USD 0.385957 per Share (Ordinary Dividend)</t>
  </si>
  <si>
    <t>XLU(US81369Y8865) Cash Dividend USD 0.627989 per Share (Ordinary Dividend)</t>
  </si>
  <si>
    <t>XLV(US81369Y2090) Cash Dividend USD 0.621655 per Share (Ordinary Dividend)</t>
  </si>
  <si>
    <t>XLY(US81369Y4070) Cash Dividend USD 0.433128 per Share (Ordinary Dividend)</t>
  </si>
  <si>
    <t>NVDA(US67066G1040) Cash Dividend USD 0.01 per Share (Ordinary Dividend)</t>
  </si>
  <si>
    <t>RSP(US46137V3574) Cash Dividend USD 0.61965 per Share (Ordinary Dividend)</t>
  </si>
  <si>
    <t>XLG(US46137V2337) Cash Dividend USD 0.08976 per Share (Ordinary Dividend)</t>
  </si>
  <si>
    <t>QQQ(US46090E1038) Cash Dividend USD 0.83466 per Share (Ordinary Dividend)</t>
  </si>
  <si>
    <t>MSFT(US5949181045) Cash Dividend USD 0.83 per Share - US Tax</t>
  </si>
  <si>
    <t>UHS(US9139031002) Cash Dividend USD 0.20 per Share - US Tax</t>
  </si>
  <si>
    <t>ITA(US4642887602) Cash Dividend USD 0.436835 per Share - US Tax</t>
  </si>
  <si>
    <t>IWM(US4642876555) Cash Dividend USD 0.694004 per Share - US Tax</t>
  </si>
  <si>
    <t>VNQ(US9229085538) Cash Dividend USD 0.8555 per Share - US Tax</t>
  </si>
  <si>
    <t>VOO(US9229083632) Cash Dividend USD 1.7385 per Share - US Tax</t>
  </si>
  <si>
    <t>XLB(US81369Y1001) Cash Dividend USD 0.444309 per Share - US Tax</t>
  </si>
  <si>
    <t>XLF(US81369Y6059) Cash Dividend USD 0.206245 per Share - US Tax</t>
  </si>
  <si>
    <t>XLI(US81369Y7040) Cash Dividend USD 0.670132 per Share - US Tax</t>
  </si>
  <si>
    <t>XLK(US81369Y8030) Cash Dividend USD 0.385957 per Share - US Tax</t>
  </si>
  <si>
    <t>XLU(US81369Y8865) Cash Dividend USD 0.627989 per Share - US Tax</t>
  </si>
  <si>
    <t>XLV(US81369Y2090) Cash Dividend USD 0.621655 per Share - US Tax</t>
  </si>
  <si>
    <t>XLY(US81369Y4070) Cash Dividend USD 0.433128 per Share - US Tax</t>
  </si>
  <si>
    <t>NVDA(US67066G1040) Cash Dividend USD 0.01 per Share - US Tax</t>
  </si>
  <si>
    <t>RSP(US46137V3574) Cash Dividend USD 0.61965 per Share - US Tax</t>
  </si>
  <si>
    <t>XLG(US46137V2337) Cash Dividend USD 0.08976 per Share - US Tax</t>
  </si>
  <si>
    <t>QQQ(US46090E1038) Cash Dividend USD 0.83466 per Share - US Tax</t>
  </si>
  <si>
    <t>USD Credit Interest for Nov-2024</t>
  </si>
  <si>
    <t>EQUINIX INC</t>
  </si>
  <si>
    <t>US29444U7000</t>
  </si>
  <si>
    <t>HEWLETT PACKARD ENTERPRISE</t>
  </si>
  <si>
    <t>US42824C1099</t>
  </si>
  <si>
    <t>PALANTIR TECHNOLOGIES INC-A</t>
  </si>
  <si>
    <t>US69608A1088</t>
  </si>
  <si>
    <t>MES 21MAR25</t>
  </si>
  <si>
    <t>2025-03</t>
  </si>
  <si>
    <t>MNQ 21MAR25</t>
  </si>
  <si>
    <t>Positions that may be eligible for Stock Yield. Potential for additional annualized income of 68.27 USD</t>
  </si>
  <si>
    <t>Dates for report</t>
  </si>
  <si>
    <t>2025-01</t>
  </si>
  <si>
    <t>Benchmark</t>
  </si>
  <si>
    <t xml:space="preserve">Please promptly report any inaccuracy or discrepancy in this statement, or in your account to Interactive Brokers and to , using the contact information below. If you report an error by phone, you should re-confirm such oral communication in writing in order to protect your rights, including rights under the Securities Investor Protection Act (SIPA).Interactive Brokers LLC, www.interactivebrokers.com, 1-877-442-2757 (U.S.), , </t>
  </si>
  <si>
    <t>Customer is requested to promptly advise  of any material change in Customers investment objectives.</t>
  </si>
  <si>
    <t>Interactive Brokers LLC, member Securities Investor Protection Corporation (SIPC), provides execution, clearing and carrying services for your account pursuant to an agreement with . As with all securities firms, SIPC coverage provides protection against failure of a broker-dealer, not against loss of market value of securities.  Futures and options on futures are not covered by SIPC.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</si>
</sst>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_(* \(#,##0\);_(* &quot;-&quot;??_);_(@_)"/>
    <numFmt numFmtId="166" formatCode="[$-409]dd\-mmm\-yy;@"/>
    <numFmt numFmtId="167" formatCode="[$-409]mmmmm\-yy;@"/>
  </numFmts>
  <fonts count="15" x14ac:knownFonts="1">
    <font>
      <sz val="11"/>
      <color theme="1"/>
      <name val="Aptos Narrow"/>
      <family val="2"/>
      <scheme val="minor"/>
    </font>
    <font>
      <sz val="11"/>
      <color theme="1"/>
      <name val="Aptos Narrow"/>
      <family val="2"/>
      <charset val="177"/>
      <scheme val="minor"/>
    </font>
    <font>
      <sz val="11"/>
      <color theme="1"/>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8"/>
      <name val="Aptos Narrow"/>
      <family val="2"/>
      <scheme val="minor"/>
    </font>
    <font>
      <sz val="11"/>
      <color theme="9" tint="-0.249977111117893"/>
      <name val="Aptos Narrow"/>
      <family val="2"/>
      <scheme val="minor"/>
    </font>
    <font>
      <sz val="11"/>
      <color theme="1"/>
      <name val="Aptos Narrow"/>
      <scheme val="minor"/>
    </font>
    <font>
      <sz val="12"/>
      <color theme="1"/>
      <name val="Aptos Narrow"/>
      <scheme val="minor"/>
    </font>
    <font>
      <b/>
      <sz val="12"/>
      <color theme="1"/>
      <name val="Aptos Narrow"/>
      <scheme val="minor"/>
    </font>
    <font>
      <b/>
      <sz val="11"/>
      <color theme="1"/>
      <name val="Aptos Narrow"/>
      <scheme val="minor"/>
    </font>
    <font>
      <sz val="11"/>
      <name val="Aptos Narrow"/>
      <family val="2"/>
      <scheme val="minor"/>
    </font>
    <font>
      <sz val="11"/>
      <color rgb="FF000000"/>
      <name val="Aptos Narrow"/>
      <scheme val="minor"/>
    </font>
    <font>
      <b/>
      <sz val="11"/>
      <color theme="1"/>
      <name val="Aptos Narrow"/>
      <family val="2"/>
      <charset val="177"/>
      <scheme val="minor"/>
    </font>
  </fonts>
  <fills count="1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0" tint="-0.14999847407452621"/>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rgb="FF00B0F0"/>
        <bgColor indexed="64"/>
      </patternFill>
    </fill>
    <fill>
      <patternFill patternType="solid">
        <fgColor them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8">
    <xf numFmtId="0" fontId="0" fillId="0" borderId="0"/>
    <xf numFmtId="164" fontId="2" fillId="0" borderId="0" applyFont="0" applyFill="0" applyBorder="0" applyAlignment="0" applyProtection="0"/>
    <xf numFmtId="0" fontId="3" fillId="2" borderId="0" applyNumberFormat="0" applyBorder="0" applyAlignment="0" applyProtection="0"/>
    <xf numFmtId="0" fontId="4" fillId="3" borderId="0" applyNumberFormat="0" applyBorder="0" applyAlignment="0" applyProtection="0"/>
    <xf numFmtId="0" fontId="5" fillId="4" borderId="0" applyNumberFormat="0" applyBorder="0" applyAlignment="0" applyProtection="0"/>
    <xf numFmtId="9" fontId="2" fillId="0" borderId="0" applyFont="0" applyFill="0" applyBorder="0" applyAlignment="0" applyProtection="0"/>
    <xf numFmtId="0" fontId="1" fillId="0" borderId="0"/>
    <xf numFmtId="9" fontId="1" fillId="0" borderId="0" applyFont="0" applyFill="0" applyBorder="0" applyAlignment="0" applyProtection="0"/>
  </cellStyleXfs>
  <cellXfs count="55">
    <xf numFmtId="0" fontId="0" fillId="0" borderId="0" xfId="0"/>
    <xf numFmtId="14" fontId="0" fillId="0" borderId="0" xfId="0" applyNumberFormat="1"/>
    <xf numFmtId="0" fontId="0" fillId="0" borderId="1" xfId="0" applyBorder="1"/>
    <xf numFmtId="10" fontId="0" fillId="0" borderId="1" xfId="0" applyNumberFormat="1" applyBorder="1"/>
    <xf numFmtId="0" fontId="0" fillId="0" borderId="0" xfId="0" applyAlignment="1">
      <alignment wrapText="1"/>
    </xf>
    <xf numFmtId="164" fontId="0" fillId="0" borderId="0" xfId="0" applyNumberFormat="1"/>
    <xf numFmtId="165" fontId="0" fillId="0" borderId="0" xfId="0" applyNumberFormat="1"/>
    <xf numFmtId="166" fontId="0" fillId="0" borderId="0" xfId="0" applyNumberFormat="1"/>
    <xf numFmtId="164" fontId="0" fillId="0" borderId="1" xfId="1" applyFont="1" applyBorder="1"/>
    <xf numFmtId="164" fontId="0" fillId="0" borderId="1" xfId="0" applyNumberFormat="1" applyBorder="1"/>
    <xf numFmtId="167" fontId="0" fillId="0" borderId="1" xfId="0" applyNumberFormat="1" applyBorder="1"/>
    <xf numFmtId="164" fontId="0" fillId="0" borderId="1" xfId="1" applyFont="1" applyFill="1" applyBorder="1"/>
    <xf numFmtId="0" fontId="8" fillId="0" borderId="0" xfId="0" applyFont="1"/>
    <xf numFmtId="10" fontId="8" fillId="0" borderId="0" xfId="0" applyNumberFormat="1" applyFont="1"/>
    <xf numFmtId="0" fontId="9" fillId="0" borderId="0" xfId="2" applyFont="1" applyFill="1"/>
    <xf numFmtId="0" fontId="9" fillId="0" borderId="0" xfId="4" applyFont="1" applyFill="1"/>
    <xf numFmtId="0" fontId="9" fillId="0" borderId="0" xfId="3" applyFont="1" applyFill="1"/>
    <xf numFmtId="4" fontId="8" fillId="0" borderId="0" xfId="0" applyNumberFormat="1" applyFont="1"/>
    <xf numFmtId="0" fontId="10" fillId="0" borderId="0" xfId="2" applyFont="1" applyFill="1"/>
    <xf numFmtId="0" fontId="11" fillId="0" borderId="0" xfId="0" applyFont="1"/>
    <xf numFmtId="14" fontId="8" fillId="0" borderId="0" xfId="0" applyNumberFormat="1" applyFont="1"/>
    <xf numFmtId="0" fontId="0" fillId="5" borderId="0" xfId="0" applyFill="1" applyAlignment="1">
      <alignment wrapText="1"/>
    </xf>
    <xf numFmtId="0" fontId="12" fillId="5" borderId="0" xfId="0" applyFont="1" applyFill="1" applyAlignment="1">
      <alignment wrapText="1"/>
    </xf>
    <xf numFmtId="0" fontId="0" fillId="5" borderId="1" xfId="0" applyFill="1" applyBorder="1" applyAlignment="1">
      <alignment wrapText="1"/>
    </xf>
    <xf numFmtId="0" fontId="8" fillId="8" borderId="0" xfId="0" applyFont="1" applyFill="1"/>
    <xf numFmtId="0" fontId="8" fillId="9" borderId="0" xfId="0" applyFont="1" applyFill="1"/>
    <xf numFmtId="0" fontId="0" fillId="7" borderId="0" xfId="0" applyFill="1" applyAlignment="1">
      <alignment wrapText="1"/>
    </xf>
    <xf numFmtId="0" fontId="0" fillId="10" borderId="0" xfId="0" applyFill="1" applyAlignment="1">
      <alignment wrapText="1"/>
    </xf>
    <xf numFmtId="0" fontId="8" fillId="11" borderId="0" xfId="0" applyFont="1" applyFill="1"/>
    <xf numFmtId="0" fontId="8" fillId="6" borderId="0" xfId="0" applyFont="1" applyFill="1"/>
    <xf numFmtId="164" fontId="0" fillId="12" borderId="1" xfId="1" applyFont="1" applyFill="1" applyBorder="1"/>
    <xf numFmtId="0" fontId="13" fillId="0" borderId="0" xfId="0" applyFont="1"/>
    <xf numFmtId="10" fontId="0" fillId="0" borderId="0" xfId="0" applyNumberFormat="1"/>
    <xf numFmtId="4" fontId="0" fillId="0" borderId="0" xfId="0" applyNumberFormat="1"/>
    <xf numFmtId="0" fontId="13" fillId="6" borderId="0" xfId="0" applyFont="1" applyFill="1"/>
    <xf numFmtId="0" fontId="0" fillId="6" borderId="0" xfId="0" applyFill="1"/>
    <xf numFmtId="164" fontId="0" fillId="0" borderId="0" xfId="1" applyFont="1" applyBorder="1"/>
    <xf numFmtId="164" fontId="0" fillId="0" borderId="0" xfId="1" applyFont="1" applyFill="1" applyBorder="1"/>
    <xf numFmtId="10" fontId="11" fillId="0" borderId="0" xfId="0" applyNumberFormat="1" applyFont="1"/>
    <xf numFmtId="10" fontId="7" fillId="0" borderId="0" xfId="0" applyNumberFormat="1" applyFont="1"/>
    <xf numFmtId="0" fontId="1" fillId="5" borderId="0" xfId="6" applyFill="1" applyAlignment="1">
      <alignment wrapText="1"/>
    </xf>
    <xf numFmtId="0" fontId="14" fillId="5" borderId="0" xfId="6" applyFont="1" applyFill="1" applyAlignment="1">
      <alignment wrapText="1"/>
    </xf>
    <xf numFmtId="14" fontId="1" fillId="0" borderId="0" xfId="6" applyNumberFormat="1"/>
    <xf numFmtId="0" fontId="1" fillId="0" borderId="0" xfId="6"/>
    <xf numFmtId="2" fontId="1" fillId="0" borderId="0" xfId="6" applyNumberFormat="1"/>
    <xf numFmtId="10" fontId="0" fillId="0" borderId="0" xfId="5" applyNumberFormat="1" applyFont="1"/>
    <xf numFmtId="10" fontId="0" fillId="0" borderId="1" xfId="5" applyNumberFormat="1" applyFont="1" applyBorder="1"/>
    <xf numFmtId="0" fontId="0" fillId="0" borderId="0" xfId="0" applyAlignment="1">
      <alignment horizontal="center" wrapText="1"/>
    </xf>
    <xf numFmtId="0" fontId="0" fillId="0" borderId="0" xfId="0" applyAlignment="1">
      <alignment horizontal="center"/>
    </xf>
    <xf numFmtId="0" fontId="0" fillId="0" borderId="2" xfId="0" applyBorder="1"/>
    <xf numFmtId="0" fontId="0" fillId="0" borderId="3" xfId="0" applyBorder="1" applyAlignment="1">
      <alignment horizontal="center"/>
    </xf>
    <xf numFmtId="0" fontId="0" fillId="0" borderId="4" xfId="0" applyBorder="1"/>
    <xf numFmtId="0" fontId="0" fillId="0" borderId="5" xfId="0" applyBorder="1" applyAlignment="1">
      <alignment horizontal="center"/>
    </xf>
    <xf numFmtId="0" fontId="0" fillId="0" borderId="6" xfId="0" applyBorder="1"/>
    <xf numFmtId="0" fontId="0" fillId="0" borderId="7" xfId="0" applyBorder="1" applyAlignment="1">
      <alignment horizontal="center"/>
    </xf>
  </cellXfs>
  <cellStyles count="8">
    <cellStyle name="Comma" xfId="1" builtinId="3"/>
    <cellStyle name="Normal" xfId="0" builtinId="0"/>
    <cellStyle name="Normal 2" xfId="6" xr:uid="{F05C2107-D4E1-40C1-B32F-5A976003B2AA}"/>
    <cellStyle name="Percent" xfId="5" builtinId="5"/>
    <cellStyle name="Percent 2" xfId="7" xr:uid="{17FAC685-3646-4274-8CE8-ACC35D72A14E}"/>
    <cellStyle name="טוב" xfId="2" builtinId="26"/>
    <cellStyle name="ניטראלי" xfId="4" builtinId="28"/>
    <cellStyle name="רע" xfId="3" builtinId="27"/>
  </cellStyles>
  <dxfs count="0"/>
  <tableStyles count="0" defaultTableStyle="TableStyleMedium2" defaultPivotStyle="PivotStyleLight16"/>
  <colors>
    <mruColors>
      <color rgb="FF01BE6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Total Performance </a:t>
            </a:r>
            <a:endParaRPr lang="he-IL" sz="1400" b="1"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e-IL"/>
        </a:p>
      </c:txPr>
    </c:title>
    <c:autoTitleDeleted val="0"/>
    <c:plotArea>
      <c:layout>
        <c:manualLayout>
          <c:layoutTarget val="inner"/>
          <c:xMode val="edge"/>
          <c:yMode val="edge"/>
          <c:x val="5.5147385034902151E-2"/>
          <c:y val="0.15072669723865686"/>
          <c:w val="0.93048933544488277"/>
          <c:h val="0.70805449769936424"/>
        </c:manualLayout>
      </c:layout>
      <c:lineChart>
        <c:grouping val="standard"/>
        <c:varyColors val="0"/>
        <c:ser>
          <c:idx val="0"/>
          <c:order val="0"/>
          <c:tx>
            <c:strRef>
              <c:f>'Total Monthly'!$U$1</c:f>
              <c:strCache>
                <c:ptCount val="1"/>
                <c:pt idx="0">
                  <c:v>Portfolio (cumulative)</c:v>
                </c:pt>
              </c:strCache>
            </c:strRef>
          </c:tx>
          <c:spPr>
            <a:ln w="28575" cap="rnd">
              <a:solidFill>
                <a:srgbClr val="01BE63"/>
              </a:solidFill>
              <a:round/>
            </a:ln>
            <a:effectLst/>
          </c:spPr>
          <c:marker>
            <c:symbol val="circle"/>
            <c:size val="5"/>
            <c:spPr>
              <a:solidFill>
                <a:schemeClr val="accent1"/>
              </a:solidFill>
              <a:ln w="9525">
                <a:solidFill>
                  <a:schemeClr val="accent1"/>
                </a:solidFill>
              </a:ln>
              <a:effectLst/>
            </c:spPr>
          </c:marker>
          <c:dLbls>
            <c:dLbl>
              <c:idx val="11"/>
              <c:layout>
                <c:manualLayout>
                  <c:x val="-2.1988875514300354E-2"/>
                  <c:y val="-3.01979750712149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9F-0343-8675-783A2B4721AA}"/>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I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Monthly'!$A$2:$A$14</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'Total Monthly'!$U$2:$U$14</c:f>
              <c:numCache>
                <c:formatCode>0.00%</c:formatCode>
                <c:ptCount val="12"/>
                <c:pt idx="0">
                  <c:v>1.9591772000000063E-2</c:v>
                </c:pt>
                <c:pt idx="1">
                  <c:v>5.5393543999640027E-2</c:v>
                </c:pt>
                <c:pt idx="2">
                  <c:v>7.1755179466000074E-2</c:v>
                </c:pt>
                <c:pt idx="3">
                  <c:v>0.12812960058520018</c:v>
                </c:pt>
                <c:pt idx="4">
                  <c:v>0.16979260853720013</c:v>
                </c:pt>
                <c:pt idx="5">
                  <c:v>0.19263995852408788</c:v>
                </c:pt>
                <c:pt idx="6">
                  <c:v>0.23756876214450373</c:v>
                </c:pt>
                <c:pt idx="7">
                  <c:v>0.25156043324513799</c:v>
                </c:pt>
                <c:pt idx="8">
                  <c:v>0.30690607139871307</c:v>
                </c:pt>
                <c:pt idx="9">
                  <c:v>0.37741047919181803</c:v>
                </c:pt>
                <c:pt idx="10">
                  <c:v>0.46080053052961856</c:v>
                </c:pt>
                <c:pt idx="11">
                  <c:v>0.49051369584257176</c:v>
                </c:pt>
              </c:numCache>
            </c:numRef>
          </c:val>
          <c:smooth val="0"/>
          <c:extLst>
            <c:ext xmlns:c16="http://schemas.microsoft.com/office/drawing/2014/chart" uri="{C3380CC4-5D6E-409C-BE32-E72D297353CC}">
              <c16:uniqueId val="{00000001-32F7-A741-A39C-317290A95543}"/>
            </c:ext>
          </c:extLst>
        </c:ser>
        <c:ser>
          <c:idx val="1"/>
          <c:order val="1"/>
          <c:tx>
            <c:strRef>
              <c:f>'Total Monthly'!$W$1</c:f>
              <c:strCache>
                <c:ptCount val="1"/>
                <c:pt idx="0">
                  <c:v>SPY (cumulative)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Lbl>
              <c:idx val="11"/>
              <c:layout>
                <c:manualLayout>
                  <c:x val="-1.3437646147627885E-2"/>
                  <c:y val="-3.62375700854578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9F-0343-8675-783A2B4721AA}"/>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I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Monthly'!$A$2:$A$14</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'Total Monthly'!$W$2:$W$14</c:f>
              <c:numCache>
                <c:formatCode>0.00%</c:formatCode>
                <c:ptCount val="12"/>
                <c:pt idx="0">
                  <c:v>1.5926469757483019E-2</c:v>
                </c:pt>
                <c:pt idx="1">
                  <c:v>6.8944477692578277E-2</c:v>
                </c:pt>
                <c:pt idx="2">
                  <c:v>0.10390082022604075</c:v>
                </c:pt>
                <c:pt idx="3">
                  <c:v>5.939195132756292E-2</c:v>
                </c:pt>
                <c:pt idx="4">
                  <c:v>0.11297572027280522</c:v>
                </c:pt>
                <c:pt idx="5">
                  <c:v>0.1522417430536056</c:v>
                </c:pt>
                <c:pt idx="6">
                  <c:v>0.16619420808537022</c:v>
                </c:pt>
                <c:pt idx="7">
                  <c:v>0.1934431187193415</c:v>
                </c:pt>
                <c:pt idx="8">
                  <c:v>0.21850989933106857</c:v>
                </c:pt>
                <c:pt idx="9">
                  <c:v>0.20763641445137138</c:v>
                </c:pt>
                <c:pt idx="10">
                  <c:v>0.27961154475267325</c:v>
                </c:pt>
                <c:pt idx="11">
                  <c:v>0.24877290652413375</c:v>
                </c:pt>
              </c:numCache>
            </c:numRef>
          </c:val>
          <c:smooth val="0"/>
          <c:extLst>
            <c:ext xmlns:c16="http://schemas.microsoft.com/office/drawing/2014/chart" uri="{C3380CC4-5D6E-409C-BE32-E72D297353CC}">
              <c16:uniqueId val="{00000003-32F7-A741-A39C-317290A95543}"/>
            </c:ext>
          </c:extLst>
        </c:ser>
        <c:dLbls>
          <c:showLegendKey val="0"/>
          <c:showVal val="0"/>
          <c:showCatName val="0"/>
          <c:showSerName val="0"/>
          <c:showPercent val="0"/>
          <c:showBubbleSize val="0"/>
        </c:dLbls>
        <c:marker val="1"/>
        <c:smooth val="0"/>
        <c:axId val="2035927744"/>
        <c:axId val="1444767"/>
      </c:lineChart>
      <c:catAx>
        <c:axId val="203592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L"/>
          </a:p>
        </c:txPr>
        <c:crossAx val="1444767"/>
        <c:crosses val="autoZero"/>
        <c:auto val="1"/>
        <c:lblAlgn val="ctr"/>
        <c:lblOffset val="100"/>
        <c:noMultiLvlLbl val="0"/>
      </c:catAx>
      <c:valAx>
        <c:axId val="1444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L"/>
          </a:p>
        </c:txPr>
        <c:crossAx val="2035927744"/>
        <c:crosses val="autoZero"/>
        <c:crossBetween val="between"/>
      </c:valAx>
      <c:spPr>
        <a:noFill/>
        <a:ln>
          <a:solidFill>
            <a:srgbClr val="00B0F0"/>
          </a:solid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L"/>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I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146050</xdr:colOff>
      <xdr:row>15</xdr:row>
      <xdr:rowOff>97367</xdr:rowOff>
    </xdr:from>
    <xdr:to>
      <xdr:col>24</xdr:col>
      <xdr:colOff>263683</xdr:colOff>
      <xdr:row>37</xdr:row>
      <xdr:rowOff>18814</xdr:rowOff>
    </xdr:to>
    <xdr:graphicFrame macro="">
      <xdr:nvGraphicFramePr>
        <xdr:cNvPr id="2" name="Chart 1">
          <a:extLst>
            <a:ext uri="{FF2B5EF4-FFF2-40B4-BE49-F238E27FC236}">
              <a16:creationId xmlns:a16="http://schemas.microsoft.com/office/drawing/2014/main" id="{C44F2A79-FFEB-9044-BFBB-B3B23A5DD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Keren Regev-Lotan" id="{E7E67220-9941-D442-A8D0-020C64BDDC83}" userId="S::keren.regev-lotan@solarwinds.com::bed02b4b-6175-4582-873b-db7b8756f24e" providerId="AD"/>
</personList>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3" dT="2024-09-15T07:39:01.90" personId="{E7E67220-9941-D442-A8D0-020C64BDDC83}" id="{97F6C180-7A42-C448-9FD0-611CAAA5D10F}">
    <text xml:space="preserve">This does not include a 50K cash position that was reserved by the customer.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5C4A1-1A75-4D23-8642-C1F0F25962B9}">
  <sheetPr>
    <tabColor rgb="FFFFC000"/>
  </sheetPr>
  <dimension ref="A1:AA25"/>
  <sheetViews>
    <sheetView zoomScale="149" zoomScaleNormal="150" workbookViewId="0">
      <selection activeCell="S9" sqref="S9"/>
    </sheetView>
  </sheetViews>
  <sheetFormatPr defaultColWidth="8.77734375" defaultRowHeight="14.4" x14ac:dyDescent="0.3"/>
  <cols>
    <col min="1" max="1" width="12.44140625" bestFit="1" customWidth="1"/>
    <col min="2" max="2" width="12.109375" bestFit="1" customWidth="1"/>
    <col min="3" max="3" width="11.6640625" customWidth="1"/>
    <col min="4" max="4" width="12.109375" bestFit="1" customWidth="1"/>
    <col min="5" max="5" width="0.109375" hidden="1" customWidth="1"/>
    <col min="6" max="6" width="11" customWidth="1"/>
    <col min="7" max="7" width="11.109375" customWidth="1"/>
    <col min="8" max="8" width="11" hidden="1" customWidth="1"/>
    <col min="9" max="12" width="11.109375" hidden="1" customWidth="1"/>
    <col min="13" max="13" width="12" hidden="1" customWidth="1"/>
    <col min="14" max="14" width="11" hidden="1" customWidth="1"/>
    <col min="15" max="18" width="11.109375" hidden="1" customWidth="1"/>
    <col min="19" max="19" width="11.109375" customWidth="1"/>
    <col min="20" max="20" width="11" customWidth="1"/>
    <col min="21" max="21" width="12.77734375" customWidth="1"/>
    <col min="22" max="22" width="10.77734375" customWidth="1"/>
    <col min="23" max="23" width="12.109375" customWidth="1"/>
    <col min="24" max="24" width="13.33203125" customWidth="1"/>
    <col min="25" max="25" width="10.109375" customWidth="1"/>
    <col min="26" max="26" width="18.33203125" customWidth="1"/>
    <col min="27" max="27" width="11.33203125" style="48" customWidth="1"/>
    <col min="32" max="32" width="10.109375" bestFit="1" customWidth="1"/>
  </cols>
  <sheetData>
    <row r="1" spans="1:27" s="4" customFormat="1" ht="10.95" customHeight="1" x14ac:dyDescent="0.3">
      <c r="A1" s="4" t="s">
        <v>88</v>
      </c>
      <c r="B1" s="26" t="s">
        <v>1126</v>
      </c>
      <c r="C1" s="27" t="s">
        <v>1147</v>
      </c>
      <c r="D1" s="27" t="s">
        <v>1150</v>
      </c>
      <c r="E1" s="4" t="s">
        <v>1127</v>
      </c>
      <c r="F1" s="27" t="s">
        <v>1148</v>
      </c>
      <c r="G1" s="27" t="s">
        <v>1149</v>
      </c>
      <c r="H1" s="27" t="s">
        <v>1143</v>
      </c>
      <c r="I1" s="27" t="s">
        <v>1145</v>
      </c>
      <c r="J1" s="27" t="s">
        <v>157</v>
      </c>
      <c r="K1" s="27" t="s">
        <v>1125</v>
      </c>
      <c r="L1" s="27" t="s">
        <v>1366</v>
      </c>
      <c r="M1" s="27" t="s">
        <v>1367</v>
      </c>
      <c r="N1" s="27" t="s">
        <v>1144</v>
      </c>
      <c r="O1" s="27" t="s">
        <v>1146</v>
      </c>
      <c r="P1" s="27" t="s">
        <v>1151</v>
      </c>
      <c r="Q1" s="27" t="s">
        <v>1369</v>
      </c>
      <c r="R1" s="27" t="s">
        <v>1368</v>
      </c>
      <c r="S1" s="21" t="s">
        <v>97</v>
      </c>
      <c r="T1" s="21" t="s">
        <v>1138</v>
      </c>
      <c r="U1" s="22" t="s">
        <v>1139</v>
      </c>
      <c r="V1" s="23" t="s">
        <v>98</v>
      </c>
      <c r="W1" s="23" t="s">
        <v>1140</v>
      </c>
      <c r="X1" s="23" t="s">
        <v>1141</v>
      </c>
      <c r="AA1" s="47"/>
    </row>
    <row r="2" spans="1:27" hidden="1" x14ac:dyDescent="0.3">
      <c r="A2" s="2">
        <v>0</v>
      </c>
      <c r="B2" s="2"/>
      <c r="C2" s="8"/>
      <c r="D2" s="2"/>
      <c r="E2" s="2"/>
      <c r="F2" s="2"/>
      <c r="G2" s="2"/>
      <c r="H2" s="2"/>
      <c r="I2" s="2"/>
      <c r="J2" s="2"/>
      <c r="K2" s="2"/>
      <c r="L2" s="2"/>
      <c r="M2" s="2"/>
      <c r="N2" s="2"/>
      <c r="O2" s="2"/>
      <c r="P2" s="2"/>
      <c r="Q2" s="2"/>
      <c r="R2" s="2"/>
      <c r="S2" s="2"/>
      <c r="T2" s="3">
        <v>0</v>
      </c>
      <c r="U2" s="3">
        <v>0</v>
      </c>
      <c r="V2" s="3">
        <v>0</v>
      </c>
      <c r="W2" s="3">
        <v>0</v>
      </c>
      <c r="X2" s="3">
        <f>T2-V2</f>
        <v>0</v>
      </c>
    </row>
    <row r="3" spans="1:27" ht="15" thickBot="1" x14ac:dyDescent="0.35">
      <c r="A3" s="10" t="s">
        <v>89</v>
      </c>
      <c r="B3" s="30">
        <v>250000</v>
      </c>
      <c r="C3" s="8">
        <f>SUMIFS('Portfolio Raw Data'!M:M,'Portfolio Raw Data'!A:A,A3,'Portfolio Raw Data'!B:B,"Open Positions",'Portfolio Raw Data'!C:C,"Total",'Portfolio Raw Data'!E:E,"Stocks")</f>
        <v>186063.87</v>
      </c>
      <c r="D3" s="8">
        <f>SUMIFS('Portfolio Raw Data'!M:M,'Portfolio Raw Data'!A:A,A3,'Portfolio Raw Data'!B:B,"Open Positions",'Portfolio Raw Data'!C:C,"Total",'Portfolio Raw Data'!E:E,"Futures")</f>
        <v>-194820</v>
      </c>
      <c r="E3" s="2"/>
      <c r="F3" s="8">
        <f>SUMIFS('Portfolio Raw Data'!P:P,'Portfolio Raw Data'!A:A,A3,'Portfolio Raw Data'!B:B,"Realized &amp; Unrealized Performance Summary",'Portfolio Raw Data'!C:C,"Data",'Portfolio Raw Data'!D:D,"Total (All Assets)")</f>
        <v>5851.933</v>
      </c>
      <c r="G3" s="8">
        <f>SUMIFS('Portfolio Raw Data'!K:K,'Portfolio Raw Data'!A:A,A3,'Portfolio Raw Data'!B:B,"Realized &amp; Unrealized Performance Summary",'Portfolio Raw Data'!C:C,"Data",'Portfolio Raw Data'!D:D,"Total (All Assets)")</f>
        <v>-1011.16</v>
      </c>
      <c r="H3" s="8">
        <f>SUMIFS('Portfolio Raw Data'!P:P,'Portfolio Raw Data'!A:A,A3,'Portfolio Raw Data'!B:B,"Realized &amp; Unrealized Performance Summary",'Portfolio Raw Data'!C:C,"Data",'Portfolio Raw Data'!D:D,"Total")+-1*SUMIFS('Portfolio Raw Data'!P:P,'Portfolio Raw Data'!A:A,A3,'Portfolio Raw Data'!B:B,"Realized &amp; Unrealized Performance Summary",'Portfolio Raw Data'!C:C,"Data",'Portfolio Raw Data'!D:D,"Futures")</f>
        <v>10439.683000000001</v>
      </c>
      <c r="I3" s="8">
        <f>SUMIFS('Portfolio Raw Data'!K:K,'Portfolio Raw Data'!A:A,A3,'Portfolio Raw Data'!B:B,"Realized &amp; Unrealized Performance Summary",'Portfolio Raw Data'!C:C,"Data",'Portfolio Raw Data'!D:D,"Total")+-1*SUMIFS('Portfolio Raw Data'!K:K,'Portfolio Raw Data'!A:A,A3,'Portfolio Raw Data'!B:B,"Realized &amp; Unrealized Performance Summary",'Portfolio Raw Data'!C:C,"Data",'Portfolio Raw Data'!D:D,"Futures")</f>
        <v>-1011.16</v>
      </c>
      <c r="J3" s="2">
        <f>SUMIFS('Portfolio Raw Data'!O:O,'Portfolio Raw Data'!A:A,A3,'Portfolio Raw Data'!B:B,"Change in Dividend Accruals",'Portfolio Raw Data'!C:C,"Data",'Portfolio Raw Data'!D:D,"Ending Dividend Accruals in USD")</f>
        <v>57.17</v>
      </c>
      <c r="K3" s="9">
        <f t="shared" ref="K3:K10" si="0">I3+H3+J3</f>
        <v>9485.6930000000011</v>
      </c>
      <c r="L3" s="46">
        <f t="shared" ref="L3:L12" si="1">K3/B3</f>
        <v>3.7942772000000007E-2</v>
      </c>
      <c r="M3" s="46" cm="1">
        <f t="array" ref="M3">PRODUCT(1+L$3:L3)-1</f>
        <v>3.7942772000000069E-2</v>
      </c>
      <c r="N3" s="8">
        <f>SUMIFS('Portfolio Raw Data'!P:P,'Portfolio Raw Data'!A:A,A3,'Portfolio Raw Data'!B:B,"Realized &amp; Unrealized Performance Summary",'Portfolio Raw Data'!C:C,"Data",'Portfolio Raw Data'!D:D,"Futures")</f>
        <v>-4587.75</v>
      </c>
      <c r="O3" s="8">
        <f>SUMIFS('Portfolio Raw Data'!K:K,'Portfolio Raw Data'!A:A,A3,'Portfolio Raw Data'!B:B,"Realized &amp; Unrealized Performance Summary",'Portfolio Raw Data'!C:C,"Data",'Portfolio Raw Data'!D:D,"Futures")</f>
        <v>0</v>
      </c>
      <c r="P3" s="9">
        <f t="shared" ref="P3:P10" si="2">O3+N3</f>
        <v>-4587.75</v>
      </c>
      <c r="Q3" s="46">
        <f t="shared" ref="Q3:Q12" si="3">P3/B3</f>
        <v>-1.8350999999999999E-2</v>
      </c>
      <c r="R3" s="46" cm="1">
        <f t="array" ref="R3">PRODUCT(1+Q$3:Q3)-1</f>
        <v>-1.8351000000000006E-2</v>
      </c>
      <c r="S3" s="11">
        <f t="shared" ref="S3:S12" si="4">P3+K3</f>
        <v>4897.9430000000011</v>
      </c>
      <c r="T3" s="3">
        <f t="shared" ref="T3:T12" si="5">(B3+S3)/B3-1</f>
        <v>1.9591772000000063E-2</v>
      </c>
      <c r="U3" s="3" cm="1">
        <f t="array" ref="U3">PRODUCT(1+T$3:T3)-1</f>
        <v>1.9591772000000063E-2</v>
      </c>
      <c r="V3" s="3">
        <f>VLOOKUP(A3,'SPY Raw Data'!A:E,5,0)/100</f>
        <v>1.5926469757483071E-2</v>
      </c>
      <c r="W3" s="3" cm="1">
        <f t="array" ref="W3">PRODUCT(1+V$2:V3)-1</f>
        <v>1.5926469757483019E-2</v>
      </c>
      <c r="X3" s="3">
        <f t="shared" ref="X3:X10" si="6">T3-V3</f>
        <v>3.6653022425169914E-3</v>
      </c>
      <c r="Z3" s="19" t="s">
        <v>1130</v>
      </c>
    </row>
    <row r="4" spans="1:27" x14ac:dyDescent="0.3">
      <c r="A4" s="2" t="s">
        <v>90</v>
      </c>
      <c r="B4" s="9">
        <f>B3+S3</f>
        <v>254897.943</v>
      </c>
      <c r="C4" s="8">
        <f>SUMIFS('Portfolio Raw Data'!M:M,'Portfolio Raw Data'!A:A,A4,'Portfolio Raw Data'!B:B,"Open Positions",'Portfolio Raw Data'!C:C,"Total",'Portfolio Raw Data'!E:E,"Stocks")</f>
        <v>209001.39</v>
      </c>
      <c r="D4" s="8">
        <f>SUMIFS('Portfolio Raw Data'!M:M,'Portfolio Raw Data'!A:A,A4,'Portfolio Raw Data'!B:B,"Open Positions",'Portfolio Raw Data'!C:C,"Total",'Portfolio Raw Data'!E:E,"Futures")</f>
        <v>-204150</v>
      </c>
      <c r="E4" s="2"/>
      <c r="F4" s="8">
        <f>SUMIFS('Portfolio Raw Data'!P:P,'Portfolio Raw Data'!A:A,A4,'Portfolio Raw Data'!B:B,"Realized &amp; Unrealized Performance Summary",'Portfolio Raw Data'!C:C,"Data",'Portfolio Raw Data'!D:D,"Total (All Assets)")</f>
        <v>2745.5188669999998</v>
      </c>
      <c r="G4" s="8">
        <f>SUMIFS('Portfolio Raw Data'!K:K,'Portfolio Raw Data'!A:A,A4,'Portfolio Raw Data'!B:B,"Realized &amp; Unrealized Performance Summary",'Portfolio Raw Data'!C:C,"Data",'Portfolio Raw Data'!D:D,"Total (All Assets)")</f>
        <v>6027.4241329099996</v>
      </c>
      <c r="H4" s="8">
        <f>SUMIFS('Portfolio Raw Data'!P:P,'Portfolio Raw Data'!A:A,A4,'Portfolio Raw Data'!B:B,"Realized &amp; Unrealized Performance Summary",'Portfolio Raw Data'!C:C,"Data",'Portfolio Raw Data'!D:D,"Total")+-1*SUMIFS('Portfolio Raw Data'!P:P,'Portfolio Raw Data'!A:A,A4,'Portfolio Raw Data'!B:B,"Realized &amp; Unrealized Performance Summary",'Portfolio Raw Data'!C:C,"Data",'Portfolio Raw Data'!D:D,"Futures")</f>
        <v>14932.018867000001</v>
      </c>
      <c r="I4" s="8">
        <f>SUMIFS('Portfolio Raw Data'!K:K,'Portfolio Raw Data'!A:A,A4,'Portfolio Raw Data'!B:B,"Realized &amp; Unrealized Performance Summary",'Portfolio Raw Data'!C:C,"Data",'Portfolio Raw Data'!D:D,"Total")+-1*SUMIFS('Portfolio Raw Data'!K:K,'Portfolio Raw Data'!A:A,A4,'Portfolio Raw Data'!B:B,"Realized &amp; Unrealized Performance Summary",'Portfolio Raw Data'!C:C,"Data",'Portfolio Raw Data'!D:D,"Futures")</f>
        <v>7312.1741329099996</v>
      </c>
      <c r="J4" s="2">
        <f>SUMIFS('Portfolio Raw Data'!O:O,'Portfolio Raw Data'!A:A,A4,'Portfolio Raw Data'!B:B,"Change in Dividend Accruals",'Portfolio Raw Data'!C:C,"Data",'Portfolio Raw Data'!D:D,"Ending Dividend Accruals in USD")</f>
        <v>177.5</v>
      </c>
      <c r="K4" s="9">
        <f t="shared" si="0"/>
        <v>22421.692999909999</v>
      </c>
      <c r="L4" s="46">
        <f t="shared" si="1"/>
        <v>8.7963412870342386E-2</v>
      </c>
      <c r="M4" s="46" cm="1">
        <f t="array" ref="M4">PRODUCT(1+L$3:L4)-1</f>
        <v>0.12924376058922382</v>
      </c>
      <c r="N4" s="8">
        <f>SUMIFS('Portfolio Raw Data'!P:P,'Portfolio Raw Data'!A:A,A4,'Portfolio Raw Data'!B:B,"Realized &amp; Unrealized Performance Summary",'Portfolio Raw Data'!C:C,"Data",'Portfolio Raw Data'!D:D,"Futures")</f>
        <v>-12186.5</v>
      </c>
      <c r="O4" s="8">
        <f>SUMIFS('Portfolio Raw Data'!K:K,'Portfolio Raw Data'!A:A,A4,'Portfolio Raw Data'!B:B,"Realized &amp; Unrealized Performance Summary",'Portfolio Raw Data'!C:C,"Data",'Portfolio Raw Data'!D:D,"Futures")</f>
        <v>-1284.75</v>
      </c>
      <c r="P4" s="9">
        <f t="shared" si="2"/>
        <v>-13471.25</v>
      </c>
      <c r="Q4" s="46">
        <f t="shared" si="3"/>
        <v>-5.2849583019192903E-2</v>
      </c>
      <c r="R4" s="46" cm="1">
        <f t="array" ref="R4">PRODUCT(1+Q$3:Q4)-1</f>
        <v>-7.0230740321207685E-2</v>
      </c>
      <c r="S4" s="11">
        <f t="shared" si="4"/>
        <v>8950.4429999099993</v>
      </c>
      <c r="T4" s="3">
        <f t="shared" si="5"/>
        <v>3.5113829851149525E-2</v>
      </c>
      <c r="U4" s="3" cm="1">
        <f t="array" ref="U4">PRODUCT(1+T$3:T4)-1</f>
        <v>5.5393543999640027E-2</v>
      </c>
      <c r="V4" s="3">
        <f>VLOOKUP(A4,'SPY Raw Data'!A:E,5,0)/100</f>
        <v>5.2186855558307876E-2</v>
      </c>
      <c r="W4" s="3" cm="1">
        <f t="array" ref="W4">PRODUCT(1+V$2:V4)-1</f>
        <v>6.8944477692578277E-2</v>
      </c>
      <c r="X4" s="3">
        <f t="shared" si="6"/>
        <v>-1.7073025707158351E-2</v>
      </c>
      <c r="Z4" s="49" t="s">
        <v>1136</v>
      </c>
      <c r="AA4" s="50" t="s">
        <v>1131</v>
      </c>
    </row>
    <row r="5" spans="1:27" x14ac:dyDescent="0.3">
      <c r="A5" s="2" t="s">
        <v>91</v>
      </c>
      <c r="B5" s="9">
        <f>B4+S4</f>
        <v>263848.38599991001</v>
      </c>
      <c r="C5" s="8">
        <f>SUMIFS('Portfolio Raw Data'!M:M,'Portfolio Raw Data'!A:A,A5,'Portfolio Raw Data'!B:B,"Open Positions",'Portfolio Raw Data'!C:C,"Total",'Portfolio Raw Data'!E:E,"Stocks")</f>
        <v>250391.92</v>
      </c>
      <c r="D5" s="8">
        <f>SUMIFS('Portfolio Raw Data'!M:M,'Portfolio Raw Data'!A:A,A5,'Portfolio Raw Data'!B:B,"Open Positions",'Portfolio Raw Data'!C:C,"Total",'Portfolio Raw Data'!E:E,"Futures")</f>
        <v>-249290</v>
      </c>
      <c r="E5" s="2"/>
      <c r="F5" s="8">
        <f>SUMIFS('Portfolio Raw Data'!P:P,'Portfolio Raw Data'!A:A,A5,'Portfolio Raw Data'!B:B,"Realized &amp; Unrealized Performance Summary",'Portfolio Raw Data'!C:C,"Data",'Portfolio Raw Data'!D:D,"Total (All Assets)")</f>
        <v>12798.789655</v>
      </c>
      <c r="G5" s="8">
        <f>SUMIFS('Portfolio Raw Data'!K:K,'Portfolio Raw Data'!A:A,A5,'Portfolio Raw Data'!B:B,"Realized &amp; Unrealized Performance Summary",'Portfolio Raw Data'!C:C,"Data",'Portfolio Raw Data'!D:D,"Total (All Assets)")</f>
        <v>-8795.3707884100004</v>
      </c>
      <c r="H5" s="8">
        <f>SUMIFS('Portfolio Raw Data'!P:P,'Portfolio Raw Data'!A:A,A5,'Portfolio Raw Data'!B:B,"Realized &amp; Unrealized Performance Summary",'Portfolio Raw Data'!C:C,"Data",'Portfolio Raw Data'!D:D,"Total")+-1*SUMIFS('Portfolio Raw Data'!P:P,'Portfolio Raw Data'!A:A,A5,'Portfolio Raw Data'!B:B,"Realized &amp; Unrealized Performance Summary",'Portfolio Raw Data'!C:C,"Data",'Portfolio Raw Data'!D:D,"Futures")</f>
        <v>18764.289655</v>
      </c>
      <c r="I5" s="8">
        <f>SUMIFS('Portfolio Raw Data'!K:K,'Portfolio Raw Data'!A:A,A5,'Portfolio Raw Data'!B:B,"Realized &amp; Unrealized Performance Summary",'Portfolio Raw Data'!C:C,"Data",'Portfolio Raw Data'!D:D,"Total")+-1*SUMIFS('Portfolio Raw Data'!K:K,'Portfolio Raw Data'!A:A,A5,'Portfolio Raw Data'!B:B,"Realized &amp; Unrealized Performance Summary",'Portfolio Raw Data'!C:C,"Data",'Portfolio Raw Data'!D:D,"Futures")</f>
        <v>3303.8792115899996</v>
      </c>
      <c r="J5" s="2">
        <f>SUMIFS('Portfolio Raw Data'!O:O,'Portfolio Raw Data'!A:A,A5,'Portfolio Raw Data'!B:B,"Change in Dividend Accruals",'Portfolio Raw Data'!C:C,"Data",'Portfolio Raw Data'!D:D,"Ending Dividend Accruals in USD")</f>
        <v>86.99</v>
      </c>
      <c r="K5" s="9">
        <f t="shared" si="0"/>
        <v>22155.158866590002</v>
      </c>
      <c r="L5" s="46">
        <f t="shared" si="1"/>
        <v>8.3969279488401188E-2</v>
      </c>
      <c r="M5" s="46" cm="1">
        <f t="array" ref="M5">PRODUCT(1+L$3:L5)-1</f>
        <v>0.22406554553267366</v>
      </c>
      <c r="N5" s="8">
        <f>SUMIFS('Portfolio Raw Data'!P:P,'Portfolio Raw Data'!A:A,A5,'Portfolio Raw Data'!B:B,"Realized &amp; Unrealized Performance Summary",'Portfolio Raw Data'!C:C,"Data",'Portfolio Raw Data'!D:D,"Futures")</f>
        <v>-5965.5</v>
      </c>
      <c r="O5" s="8">
        <f>SUMIFS('Portfolio Raw Data'!K:K,'Portfolio Raw Data'!A:A,A5,'Portfolio Raw Data'!B:B,"Realized &amp; Unrealized Performance Summary",'Portfolio Raw Data'!C:C,"Data",'Portfolio Raw Data'!D:D,"Futures")</f>
        <v>-12099.25</v>
      </c>
      <c r="P5" s="9">
        <f t="shared" si="2"/>
        <v>-18064.75</v>
      </c>
      <c r="Q5" s="46">
        <f t="shared" si="3"/>
        <v>-6.8466403277548049E-2</v>
      </c>
      <c r="R5" s="46" cm="1">
        <f t="array" ref="R5">PRODUCT(1+Q$3:Q5)-1</f>
        <v>-0.1338886974094432</v>
      </c>
      <c r="S5" s="11">
        <f t="shared" si="4"/>
        <v>4090.4088665900017</v>
      </c>
      <c r="T5" s="3">
        <f t="shared" si="5"/>
        <v>1.5502876210853112E-2</v>
      </c>
      <c r="U5" s="3" cm="1">
        <f t="array" ref="U5">PRODUCT(1+T$3:T5)-1</f>
        <v>7.1755179466000074E-2</v>
      </c>
      <c r="V5" s="3">
        <f>VLOOKUP(A5,'SPY Raw Data'!A:E,5,0)/100</f>
        <v>3.2701738268875492E-2</v>
      </c>
      <c r="W5" s="3" cm="1">
        <f t="array" ref="W5">PRODUCT(1+V$2:V5)-1</f>
        <v>0.10390082022604075</v>
      </c>
      <c r="X5" s="3">
        <f t="shared" si="6"/>
        <v>-1.7198862058022381E-2</v>
      </c>
      <c r="Z5" s="51" t="s">
        <v>1134</v>
      </c>
      <c r="AA5" s="52">
        <v>30</v>
      </c>
    </row>
    <row r="6" spans="1:27" x14ac:dyDescent="0.3">
      <c r="A6" s="2" t="s">
        <v>92</v>
      </c>
      <c r="B6" s="9">
        <f>B5+S5</f>
        <v>267938.79486650001</v>
      </c>
      <c r="C6" s="8">
        <f>SUMIFS('Portfolio Raw Data'!M:M,'Portfolio Raw Data'!A:A,A6,'Portfolio Raw Data'!B:B,"Open Positions",'Portfolio Raw Data'!C:C,"Total",'Portfolio Raw Data'!E:E,"Stocks")</f>
        <v>220153.73</v>
      </c>
      <c r="D6" s="8">
        <f>SUMIFS('Portfolio Raw Data'!M:M,'Portfolio Raw Data'!A:A,A6,'Portfolio Raw Data'!B:B,"Open Positions",'Portfolio Raw Data'!C:C,"Total",'Portfolio Raw Data'!E:E,"Futures")</f>
        <v>-212487.5</v>
      </c>
      <c r="E6" s="2"/>
      <c r="F6" s="8">
        <f>SUMIFS('Portfolio Raw Data'!P:P,'Portfolio Raw Data'!A:A,A6,'Portfolio Raw Data'!B:B,"Realized &amp; Unrealized Performance Summary",'Portfolio Raw Data'!C:C,"Data",'Portfolio Raw Data'!D:D,"Total (All Assets)")</f>
        <v>8713.2894880000003</v>
      </c>
      <c r="G6" s="8">
        <f>SUMIFS('Portfolio Raw Data'!K:K,'Portfolio Raw Data'!A:A,A6,'Portfolio Raw Data'!B:B,"Realized &amp; Unrealized Performance Summary",'Portfolio Raw Data'!C:C,"Data",'Portfolio Raw Data'!D:D,"Total (All Assets)")</f>
        <v>5338.7157918000003</v>
      </c>
      <c r="H6" s="8">
        <f>SUMIFS('Portfolio Raw Data'!P:P,'Portfolio Raw Data'!A:A,A6,'Portfolio Raw Data'!B:B,"Realized &amp; Unrealized Performance Summary",'Portfolio Raw Data'!C:C,"Data",'Portfolio Raw Data'!D:D,"Total")+-1*SUMIFS('Portfolio Raw Data'!P:P,'Portfolio Raw Data'!A:A,A6,'Portfolio Raw Data'!B:B,"Realized &amp; Unrealized Performance Summary",'Portfolio Raw Data'!C:C,"Data",'Portfolio Raw Data'!D:D,"Futures")</f>
        <v>3913.2894880000003</v>
      </c>
      <c r="I6" s="8">
        <f>SUMIFS('Portfolio Raw Data'!K:K,'Portfolio Raw Data'!A:A,A6,'Portfolio Raw Data'!B:B,"Realized &amp; Unrealized Performance Summary",'Portfolio Raw Data'!C:C,"Data",'Portfolio Raw Data'!D:D,"Total")+-1*SUMIFS('Portfolio Raw Data'!K:K,'Portfolio Raw Data'!A:A,A6,'Portfolio Raw Data'!B:B,"Realized &amp; Unrealized Performance Summary",'Portfolio Raw Data'!C:C,"Data",'Portfolio Raw Data'!D:D,"Futures")</f>
        <v>4924.7157918000003</v>
      </c>
      <c r="J6" s="2">
        <f>SUMIFS('Portfolio Raw Data'!O:O,'Portfolio Raw Data'!A:A,A6,'Portfolio Raw Data'!B:B,"Change in Dividend Accruals",'Portfolio Raw Data'!C:C,"Data",'Portfolio Raw Data'!D:D,"Ending Dividend Accruals in USD")</f>
        <v>41.6</v>
      </c>
      <c r="K6" s="9">
        <f t="shared" si="0"/>
        <v>8879.6052798000001</v>
      </c>
      <c r="L6" s="46">
        <f t="shared" si="1"/>
        <v>3.3140424044320445E-2</v>
      </c>
      <c r="M6" s="46" cm="1">
        <f t="array" ref="M6">PRODUCT(1+L$3:L6)-1</f>
        <v>0.26463159676966885</v>
      </c>
      <c r="N6" s="8">
        <f>SUMIFS('Portfolio Raw Data'!P:P,'Portfolio Raw Data'!A:A,A6,'Portfolio Raw Data'!B:B,"Realized &amp; Unrealized Performance Summary",'Portfolio Raw Data'!C:C,"Data",'Portfolio Raw Data'!D:D,"Futures")</f>
        <v>4800</v>
      </c>
      <c r="O6" s="8">
        <f>SUMIFS('Portfolio Raw Data'!K:K,'Portfolio Raw Data'!A:A,A6,'Portfolio Raw Data'!B:B,"Realized &amp; Unrealized Performance Summary",'Portfolio Raw Data'!C:C,"Data",'Portfolio Raw Data'!D:D,"Futures")</f>
        <v>414</v>
      </c>
      <c r="P6" s="9">
        <f t="shared" si="2"/>
        <v>5214</v>
      </c>
      <c r="Q6" s="46">
        <f t="shared" si="3"/>
        <v>1.9459668028281852E-2</v>
      </c>
      <c r="R6" s="46" cm="1">
        <f t="array" ref="R6">PRODUCT(1+Q$3:Q6)-1</f>
        <v>-0.11703445898548814</v>
      </c>
      <c r="S6" s="11">
        <f t="shared" si="4"/>
        <v>14093.6052798</v>
      </c>
      <c r="T6" s="3">
        <f t="shared" si="5"/>
        <v>5.2600092072602411E-2</v>
      </c>
      <c r="U6" s="3" cm="1">
        <f t="array" ref="U6">PRODUCT(1+T$3:T6)-1</f>
        <v>0.12812960058520018</v>
      </c>
      <c r="V6" s="3">
        <f>VLOOKUP(A6,'SPY Raw Data'!A:E,5,0)/100</f>
        <v>-4.0319626621315358E-2</v>
      </c>
      <c r="W6" s="3" cm="1">
        <f t="array" ref="W6">PRODUCT(1+V$2:V6)-1</f>
        <v>5.939195132756292E-2</v>
      </c>
      <c r="X6" s="3">
        <f t="shared" si="6"/>
        <v>9.2919718693917769E-2</v>
      </c>
      <c r="Z6" s="51" t="s">
        <v>1137</v>
      </c>
      <c r="AA6" s="52" t="s">
        <v>1132</v>
      </c>
    </row>
    <row r="7" spans="1:27" x14ac:dyDescent="0.3">
      <c r="A7" s="2" t="s">
        <v>93</v>
      </c>
      <c r="B7" s="9">
        <f>B6+S6</f>
        <v>282032.40014630003</v>
      </c>
      <c r="C7" s="8">
        <f>SUMIFS('Portfolio Raw Data'!M:M,'Portfolio Raw Data'!A:A,A7,'Portfolio Raw Data'!B:B,"Open Positions",'Portfolio Raw Data'!C:C,"Total",'Portfolio Raw Data'!E:E,"Stocks")</f>
        <v>452742.7</v>
      </c>
      <c r="D7" s="8">
        <f>SUMIFS('Portfolio Raw Data'!M:M,'Portfolio Raw Data'!A:A,A7,'Portfolio Raw Data'!B:B,"Open Positions",'Portfolio Raw Data'!C:C,"Total",'Portfolio Raw Data'!E:E,"Futures")</f>
        <v>-429276</v>
      </c>
      <c r="E7" s="30">
        <f>SUMIFS('Portfolio Raw Data'!E:E,'Portfolio Raw Data'!A:A,A3,'Portfolio Raw Data'!B:B,"Net Asset Value",'Portfolio Raw Data'!C:C,"Data",'Portfolio Raw Data'!D:D,"Cash ")</f>
        <v>250000</v>
      </c>
      <c r="F7" s="8">
        <f>SUMIFS('Portfolio Raw Data'!P:P,'Portfolio Raw Data'!A:A,A7,'Portfolio Raw Data'!B:B,"Realized &amp; Unrealized Performance Summary",'Portfolio Raw Data'!C:C,"Data",'Portfolio Raw Data'!D:D,"Total (All Assets)")</f>
        <v>10451.155397</v>
      </c>
      <c r="G7" s="8">
        <f>SUMIFS('Portfolio Raw Data'!K:K,'Portfolio Raw Data'!A:A,A7,'Portfolio Raw Data'!B:B,"Realized &amp; Unrealized Performance Summary",'Portfolio Raw Data'!C:C,"Data",'Portfolio Raw Data'!D:D,"Total (All Assets)")</f>
        <v>-245.46340900000001</v>
      </c>
      <c r="H7" s="8">
        <f>SUMIFS('Portfolio Raw Data'!P:P,'Portfolio Raw Data'!A:A,A7,'Portfolio Raw Data'!B:B,"Realized &amp; Unrealized Performance Summary",'Portfolio Raw Data'!C:C,"Data",'Portfolio Raw Data'!D:D,"Total")+-1*SUMIFS('Portfolio Raw Data'!P:P,'Portfolio Raw Data'!A:A,A7,'Portfolio Raw Data'!B:B,"Realized &amp; Unrealized Performance Summary",'Portfolio Raw Data'!C:C,"Data",'Portfolio Raw Data'!D:D,"Futures")</f>
        <v>17864.405396999999</v>
      </c>
      <c r="I7" s="8">
        <f>SUMIFS('Portfolio Raw Data'!K:K,'Portfolio Raw Data'!A:A,A7,'Portfolio Raw Data'!B:B,"Realized &amp; Unrealized Performance Summary",'Portfolio Raw Data'!C:C,"Data",'Portfolio Raw Data'!D:D,"Total")+-1*SUMIFS('Portfolio Raw Data'!K:K,'Portfolio Raw Data'!A:A,A7,'Portfolio Raw Data'!B:B,"Realized &amp; Unrealized Performance Summary",'Portfolio Raw Data'!C:C,"Data",'Portfolio Raw Data'!D:D,"Futures")</f>
        <v>641.78659100000004</v>
      </c>
      <c r="J7" s="2">
        <f>SUMIFS('Portfolio Raw Data'!O:O,'Portfolio Raw Data'!A:A,A7,'Portfolio Raw Data'!B:B,"Change in Dividend Accruals",'Portfolio Raw Data'!C:C,"Data",'Portfolio Raw Data'!D:D,"Ending Dividend Accruals in USD")</f>
        <v>210.06</v>
      </c>
      <c r="K7" s="9">
        <f t="shared" si="0"/>
        <v>18716.251988</v>
      </c>
      <c r="L7" s="46">
        <f t="shared" si="1"/>
        <v>6.6362063288796708E-2</v>
      </c>
      <c r="M7" s="46" cm="1">
        <f t="array" ref="M7">PRODUCT(1+L$3:L7)-1</f>
        <v>0.34855515883150967</v>
      </c>
      <c r="N7" s="8">
        <f>SUMIFS('Portfolio Raw Data'!P:P,'Portfolio Raw Data'!A:A,A7,'Portfolio Raw Data'!B:B,"Realized &amp; Unrealized Performance Summary",'Portfolio Raw Data'!C:C,"Data",'Portfolio Raw Data'!D:D,"Futures")</f>
        <v>-7413.25</v>
      </c>
      <c r="O7" s="8">
        <f>SUMIFS('Portfolio Raw Data'!K:K,'Portfolio Raw Data'!A:A,A7,'Portfolio Raw Data'!B:B,"Realized &amp; Unrealized Performance Summary",'Portfolio Raw Data'!C:C,"Data",'Portfolio Raw Data'!D:D,"Futures")</f>
        <v>-887.25</v>
      </c>
      <c r="P7" s="9">
        <f t="shared" si="2"/>
        <v>-8300.5</v>
      </c>
      <c r="Q7" s="46">
        <f t="shared" si="3"/>
        <v>-2.9431015712004158E-2</v>
      </c>
      <c r="R7" s="46" cm="1">
        <f t="array" ref="R7">PRODUCT(1+Q$3:Q7)-1</f>
        <v>-0.14302103169624447</v>
      </c>
      <c r="S7" s="11">
        <f t="shared" si="4"/>
        <v>10415.751988</v>
      </c>
      <c r="T7" s="3">
        <f t="shared" si="5"/>
        <v>3.6931047576792553E-2</v>
      </c>
      <c r="U7" s="3" cm="1">
        <f t="array" ref="U7">PRODUCT(1+T$3:T7)-1</f>
        <v>0.16979260853720013</v>
      </c>
      <c r="V7" s="3">
        <f>VLOOKUP(A7,'SPY Raw Data'!A:E,5,0)/100</f>
        <v>5.0579739517649172E-2</v>
      </c>
      <c r="W7" s="3" cm="1">
        <f t="array" ref="W7">PRODUCT(1+V$2:V7)-1</f>
        <v>0.11297572027280522</v>
      </c>
      <c r="X7" s="3">
        <f t="shared" si="6"/>
        <v>-1.3648691940856619E-2</v>
      </c>
      <c r="Z7" s="51" t="s">
        <v>1133</v>
      </c>
      <c r="AA7" s="52" t="s">
        <v>1135</v>
      </c>
    </row>
    <row r="8" spans="1:27" ht="15" thickBot="1" x14ac:dyDescent="0.35">
      <c r="A8" s="2" t="s">
        <v>94</v>
      </c>
      <c r="B8" s="9">
        <f>B7+S7+E7</f>
        <v>542448.15213429998</v>
      </c>
      <c r="C8" s="8">
        <f>SUMIFS('Portfolio Raw Data'!M:M,'Portfolio Raw Data'!A:A,A8,'Portfolio Raw Data'!B:B,"Open Positions",'Portfolio Raw Data'!C:C,"Total",'Portfolio Raw Data'!E:E,"Stocks")</f>
        <v>465468.75</v>
      </c>
      <c r="D8" s="8">
        <f>SUMIFS('Portfolio Raw Data'!M:M,'Portfolio Raw Data'!A:A,A8,'Portfolio Raw Data'!B:B,"Open Positions",'Portfolio Raw Data'!C:C,"Total",'Portfolio Raw Data'!E:E,"Futures")</f>
        <v>-438606.5</v>
      </c>
      <c r="E8" s="2"/>
      <c r="F8" s="8">
        <f>SUMIFS('Portfolio Raw Data'!P:P,'Portfolio Raw Data'!A:A,A8,'Portfolio Raw Data'!B:B,"Realized &amp; Unrealized Performance Summary",'Portfolio Raw Data'!C:C,"Data",'Portfolio Raw Data'!D:D,"Total (All Assets)")</f>
        <v>31489.244624999999</v>
      </c>
      <c r="G8" s="8">
        <f>SUMIFS('Portfolio Raw Data'!K:K,'Portfolio Raw Data'!A:A,A8,'Portfolio Raw Data'!B:B,"Realized &amp; Unrealized Performance Summary",'Portfolio Raw Data'!C:C,"Data",'Portfolio Raw Data'!D:D,"Total (All Assets)")</f>
        <v>-20966.079228129998</v>
      </c>
      <c r="H8" s="8">
        <f>SUMIFS('Portfolio Raw Data'!P:P,'Portfolio Raw Data'!A:A,A8,'Portfolio Raw Data'!B:B,"Realized &amp; Unrealized Performance Summary",'Portfolio Raw Data'!C:C,"Data",'Portfolio Raw Data'!D:D,"Total")+-1*SUMIFS('Portfolio Raw Data'!P:P,'Portfolio Raw Data'!A:A,A8,'Portfolio Raw Data'!B:B,"Realized &amp; Unrealized Performance Summary",'Portfolio Raw Data'!C:C,"Data",'Portfolio Raw Data'!D:D,"Futures")</f>
        <v>27627.244624999999</v>
      </c>
      <c r="I8" s="8">
        <f>SUMIFS('Portfolio Raw Data'!K:K,'Portfolio Raw Data'!A:A,A8,'Portfolio Raw Data'!B:B,"Realized &amp; Unrealized Performance Summary",'Portfolio Raw Data'!C:C,"Data",'Portfolio Raw Data'!D:D,"Total")+-1*SUMIFS('Portfolio Raw Data'!K:K,'Portfolio Raw Data'!A:A,A8,'Portfolio Raw Data'!B:B,"Realized &amp; Unrealized Performance Summary",'Portfolio Raw Data'!C:C,"Data",'Portfolio Raw Data'!D:D,"Futures")</f>
        <v>6907.9207718699981</v>
      </c>
      <c r="J8" s="2">
        <f>SUMIFS('Portfolio Raw Data'!O:O,'Portfolio Raw Data'!A:A,A8,'Portfolio Raw Data'!B:B,"Change in Dividend Accruals",'Portfolio Raw Data'!C:C,"Data",'Portfolio Raw Data'!D:D,"Ending Dividend Accruals in USD")</f>
        <v>71.45</v>
      </c>
      <c r="K8" s="9">
        <f t="shared" si="0"/>
        <v>34606.615396869995</v>
      </c>
      <c r="L8" s="46">
        <f t="shared" si="1"/>
        <v>6.3797093345618117E-2</v>
      </c>
      <c r="M8" s="46" cm="1">
        <f t="array" ref="M8">PRODUCT(1+L$3:L8)-1</f>
        <v>0.4345890581811982</v>
      </c>
      <c r="N8" s="8">
        <f>SUMIFS('Portfolio Raw Data'!P:P,'Portfolio Raw Data'!A:A,A8,'Portfolio Raw Data'!B:B,"Realized &amp; Unrealized Performance Summary",'Portfolio Raw Data'!C:C,"Data",'Portfolio Raw Data'!D:D,"Futures")</f>
        <v>3862</v>
      </c>
      <c r="O8" s="8">
        <f>SUMIFS('Portfolio Raw Data'!K:K,'Portfolio Raw Data'!A:A,A8,'Portfolio Raw Data'!B:B,"Realized &amp; Unrealized Performance Summary",'Portfolio Raw Data'!C:C,"Data",'Portfolio Raw Data'!D:D,"Futures")</f>
        <v>-27874</v>
      </c>
      <c r="P8" s="9">
        <f t="shared" si="2"/>
        <v>-24012</v>
      </c>
      <c r="Q8" s="46">
        <f t="shared" si="3"/>
        <v>-4.4265981745025981E-2</v>
      </c>
      <c r="R8" s="46" cm="1">
        <f t="array" ref="R8">PRODUCT(1+Q$3:Q8)-1</f>
        <v>-0.18095604706304969</v>
      </c>
      <c r="S8" s="11">
        <f t="shared" si="4"/>
        <v>10594.615396869995</v>
      </c>
      <c r="T8" s="3">
        <f t="shared" si="5"/>
        <v>1.9531111600592066E-2</v>
      </c>
      <c r="U8" s="3" cm="1">
        <f t="array" ref="U8">PRODUCT(1+T$3:T8)-1</f>
        <v>0.19263995852408788</v>
      </c>
      <c r="V8" s="3">
        <f>VLOOKUP(A8,'SPY Raw Data'!A:E,5,0)/100</f>
        <v>3.5280215071695938E-2</v>
      </c>
      <c r="W8" s="3" cm="1">
        <f t="array" ref="W8">PRODUCT(1+V$2:V8)-1</f>
        <v>0.1522417430536056</v>
      </c>
      <c r="X8" s="3">
        <f t="shared" si="6"/>
        <v>-1.5749103471103872E-2</v>
      </c>
      <c r="Z8" s="53" t="s">
        <v>1505</v>
      </c>
      <c r="AA8" s="54" t="s">
        <v>86</v>
      </c>
    </row>
    <row r="9" spans="1:27" x14ac:dyDescent="0.3">
      <c r="A9" s="2" t="s">
        <v>95</v>
      </c>
      <c r="B9" s="9">
        <f>B8+S8</f>
        <v>553042.76753116993</v>
      </c>
      <c r="C9" s="8">
        <f>SUMIFS('Portfolio Raw Data'!M:M,'Portfolio Raw Data'!A:A,A9,'Portfolio Raw Data'!B:B,"Open Positions",'Portfolio Raw Data'!C:C,"Total",'Portfolio Raw Data'!E:E,"Stocks")</f>
        <v>454643.32</v>
      </c>
      <c r="D9" s="8">
        <f>SUMIFS('Portfolio Raw Data'!M:M,'Portfolio Raw Data'!A:A,A9,'Portfolio Raw Data'!B:B,"Open Positions",'Portfolio Raw Data'!C:C,"Total",'Portfolio Raw Data'!E:E,"Futures")</f>
        <v>-428593</v>
      </c>
      <c r="E9" s="2"/>
      <c r="F9" s="8">
        <f>SUMIFS('Portfolio Raw Data'!P:P,'Portfolio Raw Data'!A:A,A9,'Portfolio Raw Data'!B:B,"Realized &amp; Unrealized Performance Summary",'Portfolio Raw Data'!C:C,"Data",'Portfolio Raw Data'!D:D,"Total (All Assets)")</f>
        <v>13140.742216000001</v>
      </c>
      <c r="G9" s="8">
        <f>SUMIFS('Portfolio Raw Data'!K:K,'Portfolio Raw Data'!A:A,A9,'Portfolio Raw Data'!B:B,"Realized &amp; Unrealized Performance Summary",'Portfolio Raw Data'!C:C,"Data",'Portfolio Raw Data'!D:D,"Total (All Assets)")</f>
        <v>7623.4324085400003</v>
      </c>
      <c r="H9" s="8">
        <f>SUMIFS('Portfolio Raw Data'!P:P,'Portfolio Raw Data'!A:A,A9,'Portfolio Raw Data'!B:B,"Realized &amp; Unrealized Performance Summary",'Portfolio Raw Data'!C:C,"Data",'Portfolio Raw Data'!D:D,"Total")+-1*SUMIFS('Portfolio Raw Data'!P:P,'Portfolio Raw Data'!A:A,A9,'Portfolio Raw Data'!B:B,"Realized &amp; Unrealized Performance Summary",'Portfolio Raw Data'!C:C,"Data",'Portfolio Raw Data'!D:D,"Futures")</f>
        <v>15571.742216000001</v>
      </c>
      <c r="I9" s="8">
        <f>SUMIFS('Portfolio Raw Data'!K:K,'Portfolio Raw Data'!A:A,A9,'Portfolio Raw Data'!B:B,"Realized &amp; Unrealized Performance Summary",'Portfolio Raw Data'!C:C,"Data",'Portfolio Raw Data'!D:D,"Total")+-1*SUMIFS('Portfolio Raw Data'!K:K,'Portfolio Raw Data'!A:A,A9,'Portfolio Raw Data'!B:B,"Realized &amp; Unrealized Performance Summary",'Portfolio Raw Data'!C:C,"Data",'Portfolio Raw Data'!D:D,"Futures")</f>
        <v>4026.1824085400003</v>
      </c>
      <c r="J9" s="2">
        <f>SUMIFS('Portfolio Raw Data'!O:O,'Portfolio Raw Data'!A:A,A9,'Portfolio Raw Data'!B:B,"Change in Dividend Accruals",'Portfolio Raw Data'!C:C,"Data",'Portfolio Raw Data'!D:D,"Ending Dividend Accruals in USD")</f>
        <v>69.900000000000006</v>
      </c>
      <c r="K9" s="9">
        <f t="shared" si="0"/>
        <v>19667.824624540001</v>
      </c>
      <c r="L9" s="46">
        <f t="shared" si="1"/>
        <v>3.5562936140253396E-2</v>
      </c>
      <c r="M9" s="46" cm="1">
        <f t="array" ref="M9">PRODUCT(1+L$3:L9)-1</f>
        <v>0.48560725724480247</v>
      </c>
      <c r="N9" s="8">
        <f>SUMIFS('Portfolio Raw Data'!P:P,'Portfolio Raw Data'!A:A,A9,'Portfolio Raw Data'!B:B,"Realized &amp; Unrealized Performance Summary",'Portfolio Raw Data'!C:C,"Data",'Portfolio Raw Data'!D:D,"Futures")</f>
        <v>-2431</v>
      </c>
      <c r="O9" s="8">
        <f>SUMIFS('Portfolio Raw Data'!K:K,'Portfolio Raw Data'!A:A,A9,'Portfolio Raw Data'!B:B,"Realized &amp; Unrealized Performance Summary",'Portfolio Raw Data'!C:C,"Data",'Portfolio Raw Data'!D:D,"Futures")</f>
        <v>3597.25</v>
      </c>
      <c r="P9" s="9">
        <f t="shared" si="2"/>
        <v>1166.25</v>
      </c>
      <c r="Q9" s="46">
        <f t="shared" si="3"/>
        <v>2.1087880874136361E-3</v>
      </c>
      <c r="R9" s="46" cm="1">
        <f t="array" ref="R9">PRODUCT(1+Q$3:Q9)-1</f>
        <v>-0.17922885693202817</v>
      </c>
      <c r="S9" s="11">
        <f t="shared" si="4"/>
        <v>20834.074624540001</v>
      </c>
      <c r="T9" s="3">
        <f t="shared" si="5"/>
        <v>3.767172422766718E-2</v>
      </c>
      <c r="U9" s="3" cm="1">
        <f t="array" ref="U9">PRODUCT(1+T$3:T9)-1</f>
        <v>0.23756876214450373</v>
      </c>
      <c r="V9" s="3">
        <f>VLOOKUP(A9,'SPY Raw Data'!A:E,5,0)/100</f>
        <v>1.2108973759958159E-2</v>
      </c>
      <c r="W9" s="3" cm="1">
        <f t="array" ref="W9">PRODUCT(1+V$2:V9)-1</f>
        <v>0.16619420808537022</v>
      </c>
      <c r="X9" s="3">
        <f t="shared" si="6"/>
        <v>2.5562750467709019E-2</v>
      </c>
    </row>
    <row r="10" spans="1:27" x14ac:dyDescent="0.3">
      <c r="A10" s="2" t="s">
        <v>96</v>
      </c>
      <c r="B10" s="9">
        <f>B9+S9</f>
        <v>573876.84215570998</v>
      </c>
      <c r="C10" s="8">
        <f>SUMIFS('Portfolio Raw Data'!M:M,'Portfolio Raw Data'!A:A,A10,'Portfolio Raw Data'!B:B,"Open Positions",'Portfolio Raw Data'!C:C,"Total",'Portfolio Raw Data'!E:E,"Stocks")</f>
        <v>539556.92000000004</v>
      </c>
      <c r="D10" s="8">
        <f>SUMIFS('Portfolio Raw Data'!M:M,'Portfolio Raw Data'!A:A,A10,'Portfolio Raw Data'!B:B,"Open Positions",'Portfolio Raw Data'!C:C,"Total",'Portfolio Raw Data'!E:E,"Futures")</f>
        <v>-366060</v>
      </c>
      <c r="E10" s="2"/>
      <c r="F10" s="8">
        <f>SUMIFS('Portfolio Raw Data'!P:P,'Portfolio Raw Data'!A:A,A10,'Portfolio Raw Data'!B:B,"Realized &amp; Unrealized Performance Summary",'Portfolio Raw Data'!C:C,"Data",'Portfolio Raw Data'!D:D,"Total (All Assets)")</f>
        <v>22574.797215999999</v>
      </c>
      <c r="G10" s="8">
        <f>SUMIFS('Portfolio Raw Data'!K:K,'Portfolio Raw Data'!A:A,A10,'Portfolio Raw Data'!B:B,"Realized &amp; Unrealized Performance Summary",'Portfolio Raw Data'!C:C,"Data",'Portfolio Raw Data'!D:D,"Total (All Assets)")</f>
        <v>-16137.27609229</v>
      </c>
      <c r="H10" s="8">
        <f>SUMIFS('Portfolio Raw Data'!P:P,'Portfolio Raw Data'!A:A,A10,'Portfolio Raw Data'!B:B,"Realized &amp; Unrealized Performance Summary",'Portfolio Raw Data'!C:C,"Data",'Portfolio Raw Data'!D:D,"Total")+-1*SUMIFS('Portfolio Raw Data'!P:P,'Portfolio Raw Data'!A:A,A10,'Portfolio Raw Data'!B:B,"Realized &amp; Unrealized Performance Summary",'Portfolio Raw Data'!C:C,"Data",'Portfolio Raw Data'!D:D,"Futures")</f>
        <v>28743.297215999999</v>
      </c>
      <c r="I10" s="8">
        <f>SUMIFS('Portfolio Raw Data'!K:K,'Portfolio Raw Data'!A:A,A10,'Portfolio Raw Data'!B:B,"Realized &amp; Unrealized Performance Summary",'Portfolio Raw Data'!C:C,"Data",'Portfolio Raw Data'!D:D,"Total")+-1*SUMIFS('Portfolio Raw Data'!K:K,'Portfolio Raw Data'!A:A,A10,'Portfolio Raw Data'!B:B,"Realized &amp; Unrealized Performance Summary",'Portfolio Raw Data'!C:C,"Data",'Portfolio Raw Data'!D:D,"Futures")</f>
        <v>22896.973907709998</v>
      </c>
      <c r="J10" s="2">
        <f>SUMIFS('Portfolio Raw Data'!O:O,'Portfolio Raw Data'!A:A,A10,'Portfolio Raw Data'!B:B,"Change in Dividend Accruals",'Portfolio Raw Data'!C:C,"Data",'Portfolio Raw Data'!D:D,"Ending Dividend Accruals in USD")</f>
        <v>50.6</v>
      </c>
      <c r="K10" s="9">
        <f t="shared" si="0"/>
        <v>51690.87112371</v>
      </c>
      <c r="L10" s="46">
        <f t="shared" si="1"/>
        <v>9.0073108595109891E-2</v>
      </c>
      <c r="M10" s="46" cm="1">
        <f t="array" ref="M10">PRODUCT(1+L$3:L10)-1</f>
        <v>0.61942052105629686</v>
      </c>
      <c r="N10" s="8">
        <f>SUMIFS('Portfolio Raw Data'!P:P,'Portfolio Raw Data'!A:A,A10,'Portfolio Raw Data'!B:B,"Realized &amp; Unrealized Performance Summary",'Portfolio Raw Data'!C:C,"Data",'Portfolio Raw Data'!D:D,"Futures")</f>
        <v>-6168.5</v>
      </c>
      <c r="O10" s="8">
        <f>SUMIFS('Portfolio Raw Data'!K:K,'Portfolio Raw Data'!A:A,A10,'Portfolio Raw Data'!B:B,"Realized &amp; Unrealized Performance Summary",'Portfolio Raw Data'!C:C,"Data",'Portfolio Raw Data'!D:D,"Futures")</f>
        <v>-39034.25</v>
      </c>
      <c r="P10" s="9">
        <f t="shared" si="2"/>
        <v>-45202.75</v>
      </c>
      <c r="Q10" s="46">
        <f t="shared" si="3"/>
        <v>-7.876733591514247E-2</v>
      </c>
      <c r="R10" s="46" cm="1">
        <f t="array" ref="R10">PRODUCT(1+Q$3:Q10)-1</f>
        <v>-0.24387881326751859</v>
      </c>
      <c r="S10" s="11">
        <f t="shared" si="4"/>
        <v>6488.1211237099997</v>
      </c>
      <c r="T10" s="3">
        <f t="shared" si="5"/>
        <v>1.1305772679967241E-2</v>
      </c>
      <c r="U10" s="3" cm="1">
        <f t="array" ref="U10">PRODUCT(1+T$3:T10)-1</f>
        <v>0.25156043324513799</v>
      </c>
      <c r="V10" s="3">
        <f>VLOOKUP(A10,'SPY Raw Data'!A:E,5,0)/100</f>
        <v>2.3365671382220028E-2</v>
      </c>
      <c r="W10" s="3" cm="1">
        <f t="array" ref="W10">PRODUCT(1+V$2:V10)-1</f>
        <v>0.1934431187193415</v>
      </c>
      <c r="X10" s="3">
        <f t="shared" si="6"/>
        <v>-1.2059898702252787E-2</v>
      </c>
    </row>
    <row r="11" spans="1:27" x14ac:dyDescent="0.3">
      <c r="A11" s="2" t="s">
        <v>770</v>
      </c>
      <c r="B11" s="9">
        <f>B10+S10</f>
        <v>580364.96327941993</v>
      </c>
      <c r="C11" s="8">
        <f>SUMIFS('Portfolio Raw Data'!M:M,'Portfolio Raw Data'!A:A,A11,'Portfolio Raw Data'!B:B,"Open Positions",'Portfolio Raw Data'!C:C,"Total",'Portfolio Raw Data'!E:E,"Stocks")</f>
        <v>501385.9</v>
      </c>
      <c r="D11" s="8">
        <f>SUMIFS('Portfolio Raw Data'!M:M,'Portfolio Raw Data'!A:A,A11,'Portfolio Raw Data'!B:B,"Open Positions",'Portfolio Raw Data'!C:C,"Total",'Portfolio Raw Data'!E:E,"Futures")</f>
        <v>-382322.5</v>
      </c>
      <c r="E11" s="2"/>
      <c r="F11" s="8">
        <f>SUMIFS('Portfolio Raw Data'!P:P,'Portfolio Raw Data'!A:A,A11,'Portfolio Raw Data'!B:B,"Realized &amp; Unrealized Performance Summary",'Portfolio Raw Data'!C:C,"Data",'Portfolio Raw Data'!D:D,"Total (All Assets)")</f>
        <v>37662.527216000002</v>
      </c>
      <c r="G11" s="11">
        <f>SUMIFS('Portfolio Raw Data'!K:K,'Portfolio Raw Data'!A:A,A11,'Portfolio Raw Data'!B:B,"Realized &amp; Unrealized Performance Summary",'Portfolio Raw Data'!C:C,"Data",'Portfolio Raw Data'!D:D,"Total (All Assets)")</f>
        <v>-12138.69</v>
      </c>
      <c r="H11" s="11">
        <f>SUMIFS('Portfolio Raw Data'!P:P,'Portfolio Raw Data'!A:A,A11,'Portfolio Raw Data'!B:B,"Realized &amp; Unrealized Performance Summary",'Portfolio Raw Data'!C:C,"Data",'Portfolio Raw Data'!D:D,"Total")+-1*SUMIFS('Portfolio Raw Data'!P:P,'Portfolio Raw Data'!A:A,A11,'Portfolio Raw Data'!B:B,"Realized &amp; Unrealized Performance Summary",'Portfolio Raw Data'!C:C,"Data",'Portfolio Raw Data'!D:D,"Futures")</f>
        <v>41224.527216000002</v>
      </c>
      <c r="I11" s="11">
        <f>SUMIFS('Portfolio Raw Data'!K:K,'Portfolio Raw Data'!A:A,A11,'Portfolio Raw Data'!B:B,"Realized &amp; Unrealized Performance Summary",'Portfolio Raw Data'!C:C,"Data",'Portfolio Raw Data'!D:D,"Total")+-1*SUMIFS('Portfolio Raw Data'!K:K,'Portfolio Raw Data'!A:A,A11,'Portfolio Raw Data'!B:B,"Realized &amp; Unrealized Performance Summary",'Portfolio Raw Data'!C:C,"Data",'Portfolio Raw Data'!D:D,"Futures")</f>
        <v>226.05999999999949</v>
      </c>
      <c r="J11" s="2">
        <f>SUMIFS('Portfolio Raw Data'!O:O,'Portfolio Raw Data'!A:A,A11,'Portfolio Raw Data'!B:B,"Change in Dividend Accruals",'Portfolio Raw Data'!C:C,"Data",'Portfolio Raw Data'!D:D,"Ending Dividend Accruals in USD")</f>
        <v>140.66</v>
      </c>
      <c r="K11" s="9">
        <f t="shared" ref="K11:K12" si="7">I11+H11+J11</f>
        <v>41591.247216000003</v>
      </c>
      <c r="L11" s="46">
        <f t="shared" si="1"/>
        <v>7.1663952594560168E-2</v>
      </c>
      <c r="M11" s="46" cm="1">
        <f t="array" ref="M11">PRODUCT(1+L$3:L11)-1</f>
        <v>0.73547459650793323</v>
      </c>
      <c r="N11" s="11">
        <f>SUMIFS('Portfolio Raw Data'!P:P,'Portfolio Raw Data'!A:A,A11,'Portfolio Raw Data'!B:B,"Realized &amp; Unrealized Performance Summary",'Portfolio Raw Data'!C:C,"Data",'Portfolio Raw Data'!D:D,"Futures")</f>
        <v>-3562</v>
      </c>
      <c r="O11" s="11">
        <f>SUMIFS('Portfolio Raw Data'!K:K,'Portfolio Raw Data'!A:A,A11,'Portfolio Raw Data'!B:B,"Realized &amp; Unrealized Performance Summary",'Portfolio Raw Data'!C:C,"Data",'Portfolio Raw Data'!D:D,"Futures")</f>
        <v>-12364.75</v>
      </c>
      <c r="P11" s="9">
        <f t="shared" ref="P11:P12" si="8">O11+N11</f>
        <v>-15926.75</v>
      </c>
      <c r="Q11" s="46">
        <f t="shared" si="3"/>
        <v>-2.7442645589775168E-2</v>
      </c>
      <c r="R11" s="46" cm="1">
        <f t="array" ref="R11">PRODUCT(1+Q$3:Q11)-1</f>
        <v>-0.26462877901793824</v>
      </c>
      <c r="S11" s="11">
        <f t="shared" si="4"/>
        <v>25664.497216000003</v>
      </c>
      <c r="T11" s="3">
        <f t="shared" si="5"/>
        <v>4.4221307004784993E-2</v>
      </c>
      <c r="U11" s="3" cm="1">
        <f t="array" ref="U11">PRODUCT(1+T$3:T11)-1</f>
        <v>0.30690607139871307</v>
      </c>
      <c r="V11" s="3">
        <f>VLOOKUP(A11,'SPY Raw Data'!A:E,5,0)/100</f>
        <v>2.1003749754429427E-2</v>
      </c>
      <c r="W11" s="3" cm="1">
        <f t="array" ref="W11">PRODUCT(1+V$2:V11)-1</f>
        <v>0.21850989933106857</v>
      </c>
      <c r="X11" s="3">
        <f t="shared" ref="X11:X12" si="9">T11-V11</f>
        <v>2.3217557250355566E-2</v>
      </c>
    </row>
    <row r="12" spans="1:27" x14ac:dyDescent="0.3">
      <c r="A12" s="2" t="s">
        <v>1250</v>
      </c>
      <c r="B12" s="9">
        <f>B11+S11</f>
        <v>606029.46049541992</v>
      </c>
      <c r="C12" s="8">
        <f>SUMIFS('Portfolio Raw Data'!M:M,'Portfolio Raw Data'!A:A,A12,'Portfolio Raw Data'!B:B,"Open Positions",'Portfolio Raw Data'!C:C,"Total",'Portfolio Raw Data'!E:E,"Stocks")</f>
        <v>436128.83</v>
      </c>
      <c r="D12" s="8">
        <f>SUMIFS('Portfolio Raw Data'!M:M,'Portfolio Raw Data'!A:A,A12,'Portfolio Raw Data'!B:B,"Open Positions",'Portfolio Raw Data'!C:C,"Total",'Portfolio Raw Data'!E:E,"Futures")</f>
        <v>-160174</v>
      </c>
      <c r="E12" s="2"/>
      <c r="F12" s="8">
        <f>SUMIFS('Portfolio Raw Data'!P:P,'Portfolio Raw Data'!A:A,A12,'Portfolio Raw Data'!B:B,"Realized &amp; Unrealized Performance Summary",'Portfolio Raw Data'!C:C,"Data",'Portfolio Raw Data'!D:D,"Total (All Assets)")</f>
        <v>18471.133878000001</v>
      </c>
      <c r="G12" s="11">
        <f>SUMIFS('Portfolio Raw Data'!K:K,'Portfolio Raw Data'!A:A,A12,'Portfolio Raw Data'!B:B,"Realized &amp; Unrealized Performance Summary",'Portfolio Raw Data'!C:C,"Data",'Portfolio Raw Data'!D:D,"Total (All Assets)")</f>
        <v>14177.383338469999</v>
      </c>
      <c r="H12" s="11">
        <f>SUMIFS('Portfolio Raw Data'!P:P,'Portfolio Raw Data'!A:A,A12,'Portfolio Raw Data'!B:B,"Realized &amp; Unrealized Performance Summary",'Portfolio Raw Data'!C:C,"Data",'Portfolio Raw Data'!D:D,"Total")+-1*SUMIFS('Portfolio Raw Data'!P:P,'Portfolio Raw Data'!A:A,A12,'Portfolio Raw Data'!B:B,"Realized &amp; Unrealized Performance Summary",'Portfolio Raw Data'!C:C,"Data",'Portfolio Raw Data'!D:D,"Futures")</f>
        <v>14610.133878000001</v>
      </c>
      <c r="I12" s="11">
        <f>SUMIFS('Portfolio Raw Data'!K:K,'Portfolio Raw Data'!A:A,A12,'Portfolio Raw Data'!B:B,"Realized &amp; Unrealized Performance Summary",'Portfolio Raw Data'!C:C,"Data",'Portfolio Raw Data'!D:D,"Total")+-1*SUMIFS('Portfolio Raw Data'!K:K,'Portfolio Raw Data'!A:A,A12,'Portfolio Raw Data'!B:B,"Realized &amp; Unrealized Performance Summary",'Portfolio Raw Data'!C:C,"Data",'Portfolio Raw Data'!D:D,"Futures")</f>
        <v>20302.383338470001</v>
      </c>
      <c r="J12" s="2">
        <f>SUMIFS('Portfolio Raw Data'!O:O,'Portfolio Raw Data'!A:A,A12,'Portfolio Raw Data'!B:B,"Change in Dividend Accruals",'Portfolio Raw Data'!C:C,"Data",'Portfolio Raw Data'!D:D,"Ending Dividend Accruals in USD")</f>
        <v>45.3</v>
      </c>
      <c r="K12" s="9">
        <f t="shared" si="7"/>
        <v>34957.817216470008</v>
      </c>
      <c r="L12" s="46">
        <f t="shared" si="1"/>
        <v>5.7683362765718553E-2</v>
      </c>
      <c r="M12" s="46" cm="1">
        <f t="array" ref="M12">PRODUCT(1+L$3:L12)-1</f>
        <v>0.83558260722898936</v>
      </c>
      <c r="N12" s="11">
        <f>SUMIFS('Portfolio Raw Data'!P:P,'Portfolio Raw Data'!A:A,A12,'Portfolio Raw Data'!B:B,"Realized &amp; Unrealized Performance Summary",'Portfolio Raw Data'!C:C,"Data",'Portfolio Raw Data'!D:D,"Futures")</f>
        <v>3861</v>
      </c>
      <c r="O12" s="11">
        <f>SUMIFS('Portfolio Raw Data'!K:K,'Portfolio Raw Data'!A:A,A12,'Portfolio Raw Data'!B:B,"Realized &amp; Unrealized Performance Summary",'Portfolio Raw Data'!C:C,"Data",'Portfolio Raw Data'!D:D,"Futures")</f>
        <v>-6125</v>
      </c>
      <c r="P12" s="9">
        <f t="shared" si="8"/>
        <v>-2264</v>
      </c>
      <c r="Q12" s="46">
        <f t="shared" si="3"/>
        <v>-3.7357919830320035E-3</v>
      </c>
      <c r="R12" s="46" cm="1">
        <f t="array" ref="R12">PRODUCT(1+Q$3:Q12)-1</f>
        <v>-0.2673759729298355</v>
      </c>
      <c r="S12" s="11">
        <f t="shared" si="4"/>
        <v>32693.817216470008</v>
      </c>
      <c r="T12" s="3">
        <f t="shared" si="5"/>
        <v>5.3947570782686638E-2</v>
      </c>
      <c r="U12" s="3" cm="1">
        <f t="array" ref="U12">PRODUCT(1+T$3:T12)-1</f>
        <v>0.37741047919181803</v>
      </c>
      <c r="V12" s="3">
        <f>VLOOKUP(A12,'SPY Raw Data'!A:E,5,0)/100</f>
        <v>-8.9235917456776427E-3</v>
      </c>
      <c r="W12" s="3" cm="1">
        <f t="array" ref="W12">PRODUCT(1+V$2:V12)-1</f>
        <v>0.20763641445137138</v>
      </c>
      <c r="X12" s="3">
        <f t="shared" si="9"/>
        <v>6.2871162528364277E-2</v>
      </c>
    </row>
    <row r="13" spans="1:27" x14ac:dyDescent="0.3">
      <c r="A13" s="2" t="s">
        <v>1370</v>
      </c>
      <c r="B13" s="9">
        <f t="shared" ref="B13:B14" si="10">B12+S12</f>
        <v>638723.27771188994</v>
      </c>
      <c r="C13" s="8">
        <f>SUMIFS('Portfolio Raw Data'!M:M,'Portfolio Raw Data'!A:A,A13,'Portfolio Raw Data'!B:B,"Open Positions",'Portfolio Raw Data'!C:C,"Total",'Portfolio Raw Data'!E:E,"Stocks")</f>
        <v>488304.8</v>
      </c>
      <c r="D13" s="8">
        <f>SUMIFS('Portfolio Raw Data'!M:M,'Portfolio Raw Data'!A:A,A13,'Portfolio Raw Data'!B:B,"Open Positions",'Portfolio Raw Data'!C:C,"Total",'Portfolio Raw Data'!E:E,"Futures")</f>
        <v>-125961</v>
      </c>
      <c r="E13" s="2"/>
      <c r="F13" s="8">
        <f>SUMIFS('Portfolio Raw Data'!P:P,'Portfolio Raw Data'!A:A,A13,'Portfolio Raw Data'!B:B,"Realized &amp; Unrealized Performance Summary",'Portfolio Raw Data'!C:C,"Data",'Portfolio Raw Data'!D:D,"Total (All Assets)")</f>
        <v>31776.403878000001</v>
      </c>
      <c r="G13" s="11">
        <f>SUMIFS('Portfolio Raw Data'!K:K,'Portfolio Raw Data'!A:A,A13,'Portfolio Raw Data'!B:B,"Realized &amp; Unrealized Performance Summary",'Portfolio Raw Data'!C:C,"Data",'Portfolio Raw Data'!D:D,"Total (All Assets)")</f>
        <v>6852.9250000000002</v>
      </c>
      <c r="H13" s="11">
        <f>SUMIFS('Portfolio Raw Data'!P:P,'Portfolio Raw Data'!A:A,A13,'Portfolio Raw Data'!B:B,"Realized &amp; Unrealized Performance Summary",'Portfolio Raw Data'!C:C,"Data",'Portfolio Raw Data'!D:D,"Total")+-1*SUMIFS('Portfolio Raw Data'!P:P,'Portfolio Raw Data'!A:A,A13,'Portfolio Raw Data'!B:B,"Realized &amp; Unrealized Performance Summary",'Portfolio Raw Data'!C:C,"Data",'Portfolio Raw Data'!D:D,"Futures")</f>
        <v>34635.903877999997</v>
      </c>
      <c r="I13" s="11">
        <f>SUMIFS('Portfolio Raw Data'!K:K,'Portfolio Raw Data'!A:A,A13,'Portfolio Raw Data'!B:B,"Realized &amp; Unrealized Performance Summary",'Portfolio Raw Data'!C:C,"Data",'Portfolio Raw Data'!D:D,"Total")+-1*SUMIFS('Portfolio Raw Data'!K:K,'Portfolio Raw Data'!A:A,A13,'Portfolio Raw Data'!B:B,"Realized &amp; Unrealized Performance Summary",'Portfolio Raw Data'!C:C,"Data",'Portfolio Raw Data'!D:D,"Futures")</f>
        <v>4984.9250000000002</v>
      </c>
      <c r="J13" s="2">
        <f>SUMIFS('Portfolio Raw Data'!O:O,'Portfolio Raw Data'!A:A,A13,'Portfolio Raw Data'!B:B,"Change in Dividend Accruals",'Portfolio Raw Data'!C:C,"Data",'Portfolio Raw Data'!D:D,"Ending Dividend Accruals in USD")</f>
        <v>39.729999999999997</v>
      </c>
      <c r="K13" s="9">
        <f t="shared" ref="K13:K14" si="11">I13+H13+J13</f>
        <v>39660.558878000003</v>
      </c>
      <c r="L13" s="46">
        <f t="shared" ref="L13:L14" si="12">K13/B13</f>
        <v>6.2093492224170613E-2</v>
      </c>
      <c r="M13" s="46" cm="1">
        <f t="array" ref="M13">PRODUCT(1+L$3:L13)-1</f>
        <v>0.94956034157778557</v>
      </c>
      <c r="N13" s="11">
        <f>SUMIFS('Portfolio Raw Data'!P:P,'Portfolio Raw Data'!A:A,A13,'Portfolio Raw Data'!B:B,"Realized &amp; Unrealized Performance Summary",'Portfolio Raw Data'!C:C,"Data",'Portfolio Raw Data'!D:D,"Futures")</f>
        <v>-2859.5</v>
      </c>
      <c r="O13" s="11">
        <f>SUMIFS('Portfolio Raw Data'!K:K,'Portfolio Raw Data'!A:A,A13,'Portfolio Raw Data'!B:B,"Realized &amp; Unrealized Performance Summary",'Portfolio Raw Data'!C:C,"Data",'Portfolio Raw Data'!D:D,"Futures")</f>
        <v>1868</v>
      </c>
      <c r="P13" s="9">
        <f t="shared" ref="P13:P14" si="13">O13+N13</f>
        <v>-991.5</v>
      </c>
      <c r="Q13" s="46">
        <f t="shared" ref="Q13:Q14" si="14">P13/B13</f>
        <v>-1.5523154307948014E-3</v>
      </c>
      <c r="R13" s="46" cm="1">
        <f t="array" ref="R13">PRODUCT(1+Q$3:Q13)-1</f>
        <v>-0.26851323651202752</v>
      </c>
      <c r="S13" s="11">
        <f t="shared" ref="S13:S14" si="15">P13+K13</f>
        <v>38669.058878000003</v>
      </c>
      <c r="T13" s="3">
        <f t="shared" ref="T13:T14" si="16">(B13+S13)/B13-1</f>
        <v>6.0541176793375895E-2</v>
      </c>
      <c r="U13" s="3" cm="1">
        <f t="array" ref="U13">PRODUCT(1+T$3:T13)-1</f>
        <v>0.46080053052961856</v>
      </c>
      <c r="V13" s="3">
        <f>VLOOKUP(A13,'SPY Raw Data'!A:E,5,0)/100</f>
        <v>5.96E-2</v>
      </c>
      <c r="W13" s="3" cm="1">
        <f t="array" ref="W13">PRODUCT(1+V$2:V13)-1</f>
        <v>0.27961154475267325</v>
      </c>
      <c r="X13" s="3">
        <f t="shared" ref="X13:X14" si="17">T13-V13</f>
        <v>9.4117679337589466E-4</v>
      </c>
    </row>
    <row r="14" spans="1:27" x14ac:dyDescent="0.3">
      <c r="A14" s="2" t="s">
        <v>1243</v>
      </c>
      <c r="B14" s="9">
        <f t="shared" si="10"/>
        <v>677392.33658988995</v>
      </c>
      <c r="C14" s="8">
        <f>SUMIFS('Portfolio Raw Data'!M:M,'Portfolio Raw Data'!A:A,A14,'Portfolio Raw Data'!B:B,"Open Positions",'Portfolio Raw Data'!C:C,"Total",'Portfolio Raw Data'!E:E,"Stocks")</f>
        <v>501794.27</v>
      </c>
      <c r="D14" s="8">
        <f>SUMIFS('Portfolio Raw Data'!M:M,'Portfolio Raw Data'!A:A,A14,'Portfolio Raw Data'!B:B,"Open Positions",'Portfolio Raw Data'!C:C,"Total",'Portfolio Raw Data'!E:E,"Futures")</f>
        <v>-101810.5</v>
      </c>
      <c r="E14" s="2"/>
      <c r="F14" s="8">
        <f>SUMIFS('Portfolio Raw Data'!P:P,'Portfolio Raw Data'!A:A,A14,'Portfolio Raw Data'!B:B,"Realized &amp; Unrealized Performance Summary",'Portfolio Raw Data'!C:C,"Data",'Portfolio Raw Data'!D:D,"Total (All Assets)")</f>
        <v>20921.268877999999</v>
      </c>
      <c r="G14" s="11">
        <f>SUMIFS('Portfolio Raw Data'!K:K,'Portfolio Raw Data'!A:A,A14,'Portfolio Raw Data'!B:B,"Realized &amp; Unrealized Performance Summary",'Portfolio Raw Data'!C:C,"Data",'Portfolio Raw Data'!D:D,"Total (All Assets)")</f>
        <v>-7266.6750000000002</v>
      </c>
      <c r="H14" s="11">
        <f>SUMIFS('Portfolio Raw Data'!P:P,'Portfolio Raw Data'!A:A,A14,'Portfolio Raw Data'!B:B,"Realized &amp; Unrealized Performance Summary",'Portfolio Raw Data'!C:C,"Data",'Portfolio Raw Data'!D:D,"Total")+-1*SUMIFS('Portfolio Raw Data'!P:P,'Portfolio Raw Data'!A:A,A14,'Portfolio Raw Data'!B:B,"Realized &amp; Unrealized Performance Summary",'Portfolio Raw Data'!C:C,"Data",'Portfolio Raw Data'!D:D,"Futures")</f>
        <v>17800.768877999999</v>
      </c>
      <c r="I14" s="11">
        <f>SUMIFS('Portfolio Raw Data'!K:K,'Portfolio Raw Data'!A:A,A14,'Portfolio Raw Data'!B:B,"Realized &amp; Unrealized Performance Summary",'Portfolio Raw Data'!C:C,"Data",'Portfolio Raw Data'!D:D,"Total")+-1*SUMIFS('Portfolio Raw Data'!K:K,'Portfolio Raw Data'!A:A,A14,'Portfolio Raw Data'!B:B,"Realized &amp; Unrealized Performance Summary",'Portfolio Raw Data'!C:C,"Data",'Portfolio Raw Data'!D:D,"Futures")</f>
        <v>-553.17500000000018</v>
      </c>
      <c r="J14" s="2">
        <f>SUMIFS('Portfolio Raw Data'!O:O,'Portfolio Raw Data'!A:A,A14,'Portfolio Raw Data'!B:B,"Change in Dividend Accruals",'Portfolio Raw Data'!C:C,"Data",'Portfolio Raw Data'!D:D,"Ending Dividend Accruals in USD")</f>
        <v>123.79</v>
      </c>
      <c r="K14" s="9">
        <f t="shared" si="11"/>
        <v>17371.383878000001</v>
      </c>
      <c r="L14" s="46">
        <f t="shared" si="12"/>
        <v>2.5644494246053251E-2</v>
      </c>
      <c r="M14" s="46" cm="1">
        <f t="array" ref="M14">PRODUCT(1+L$3:L14)-1</f>
        <v>0.99955583053971053</v>
      </c>
      <c r="N14" s="11">
        <f>SUMIFS('Portfolio Raw Data'!P:P,'Portfolio Raw Data'!A:A,A14,'Portfolio Raw Data'!B:B,"Realized &amp; Unrealized Performance Summary",'Portfolio Raw Data'!C:C,"Data",'Portfolio Raw Data'!D:D,"Futures")</f>
        <v>3120.5</v>
      </c>
      <c r="O14" s="11">
        <f>SUMIFS('Portfolio Raw Data'!K:K,'Portfolio Raw Data'!A:A,A14,'Portfolio Raw Data'!B:B,"Realized &amp; Unrealized Performance Summary",'Portfolio Raw Data'!C:C,"Data",'Portfolio Raw Data'!D:D,"Futures")</f>
        <v>-6713.5</v>
      </c>
      <c r="P14" s="9">
        <f t="shared" si="13"/>
        <v>-3593</v>
      </c>
      <c r="Q14" s="46">
        <f t="shared" si="14"/>
        <v>-5.3041639326594434E-3</v>
      </c>
      <c r="R14" s="46" cm="1">
        <f t="array" ref="R14">PRODUCT(1+Q$3:Q14)-1</f>
        <v>-0.27239316222013821</v>
      </c>
      <c r="S14" s="11">
        <f t="shared" si="15"/>
        <v>13778.383878000001</v>
      </c>
      <c r="T14" s="3">
        <f t="shared" si="16"/>
        <v>2.0340330313393773E-2</v>
      </c>
      <c r="U14" s="3" cm="1">
        <f t="array" ref="U14">PRODUCT(1+T$3:T14)-1</f>
        <v>0.49051369584257176</v>
      </c>
      <c r="V14" s="3">
        <f>VLOOKUP(A14,'SPY Raw Data'!A:E,5,0)/100</f>
        <v>-2.41E-2</v>
      </c>
      <c r="W14" s="3" cm="1">
        <f t="array" ref="W14">PRODUCT(1+V$2:V14)-1</f>
        <v>0.24877290652413375</v>
      </c>
      <c r="X14" s="3">
        <f t="shared" si="17"/>
        <v>4.4440330313393769E-2</v>
      </c>
    </row>
    <row r="15" spans="1:27" x14ac:dyDescent="0.3">
      <c r="B15" s="5"/>
      <c r="C15" s="36"/>
      <c r="D15" s="36"/>
      <c r="F15" s="36"/>
      <c r="G15" s="36"/>
      <c r="H15" s="36"/>
      <c r="I15" s="36"/>
      <c r="K15" s="5"/>
      <c r="L15" s="5"/>
      <c r="M15" s="5"/>
      <c r="N15" s="36"/>
      <c r="O15" s="36"/>
      <c r="P15" s="5"/>
      <c r="Q15" s="5"/>
      <c r="R15" s="5"/>
      <c r="S15" s="37"/>
      <c r="T15" s="32"/>
      <c r="U15" s="38"/>
      <c r="V15" s="32"/>
      <c r="W15" s="38"/>
      <c r="X15" s="39"/>
    </row>
    <row r="17" spans="1:5" x14ac:dyDescent="0.3">
      <c r="A17" s="19" t="s">
        <v>1142</v>
      </c>
      <c r="C17" s="5"/>
      <c r="D17" s="5"/>
      <c r="E17" s="7"/>
    </row>
    <row r="18" spans="1:5" x14ac:dyDescent="0.3">
      <c r="A18" s="1">
        <v>45413</v>
      </c>
      <c r="B18" s="5">
        <f>-1*B7</f>
        <v>-282032.40014630003</v>
      </c>
      <c r="C18" s="6"/>
      <c r="D18" s="6"/>
      <c r="E18" s="7"/>
    </row>
    <row r="19" spans="1:5" x14ac:dyDescent="0.3">
      <c r="A19" s="1">
        <v>45422</v>
      </c>
      <c r="B19" s="6">
        <f>-1*E7</f>
        <v>-250000</v>
      </c>
      <c r="C19" s="5"/>
      <c r="D19" s="5"/>
      <c r="E19" s="7"/>
    </row>
    <row r="20" spans="1:5" x14ac:dyDescent="0.3">
      <c r="A20" s="1">
        <v>45443</v>
      </c>
      <c r="B20" s="5">
        <f>B7+E7+S7</f>
        <v>542448.15213429998</v>
      </c>
    </row>
    <row r="21" spans="1:5" x14ac:dyDescent="0.3">
      <c r="A21" t="s">
        <v>1129</v>
      </c>
      <c r="B21">
        <f>XIRR(B18:B20,A18:A20,0.25)</f>
        <v>0.31589602679014206</v>
      </c>
    </row>
    <row r="22" spans="1:5" x14ac:dyDescent="0.3">
      <c r="A22" t="s">
        <v>1128</v>
      </c>
      <c r="B22">
        <f>(1+B21)^(1/12)-1</f>
        <v>2.3140158823047097E-2</v>
      </c>
    </row>
    <row r="23" spans="1:5" x14ac:dyDescent="0.3">
      <c r="A23" s="1"/>
      <c r="B23" s="5"/>
    </row>
    <row r="24" spans="1:5" x14ac:dyDescent="0.3">
      <c r="A24" s="1"/>
      <c r="B24" s="6"/>
    </row>
    <row r="25" spans="1:5" x14ac:dyDescent="0.3">
      <c r="A25" s="1"/>
      <c r="B25" s="5"/>
    </row>
  </sheetData>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5072D-AEEE-5B47-831C-3467A9C166B7}">
  <sheetPr>
    <tabColor rgb="FFFFC000"/>
  </sheetPr>
  <dimension ref="A1:AC6627"/>
  <sheetViews>
    <sheetView zoomScale="155" zoomScaleNormal="155" workbookViewId="0">
      <selection activeCell="D6634" sqref="D6634"/>
    </sheetView>
  </sheetViews>
  <sheetFormatPr defaultColWidth="10.77734375" defaultRowHeight="14.4" x14ac:dyDescent="0.3"/>
  <cols>
    <col min="1" max="6" width="10.77734375" style="12"/>
    <col min="7" max="7" width="14.109375" style="12" customWidth="1"/>
    <col min="8" max="16384" width="10.77734375" style="12"/>
  </cols>
  <sheetData>
    <row r="1" spans="1:19" x14ac:dyDescent="0.3">
      <c r="A1" s="12">
        <v>2</v>
      </c>
      <c r="B1" s="12">
        <v>3</v>
      </c>
      <c r="C1" s="12">
        <v>4</v>
      </c>
      <c r="D1" s="12">
        <v>5</v>
      </c>
      <c r="E1" s="12">
        <v>6</v>
      </c>
      <c r="F1" s="12">
        <v>7</v>
      </c>
      <c r="G1" s="12">
        <v>8</v>
      </c>
      <c r="H1" s="12">
        <v>9</v>
      </c>
      <c r="I1" s="12">
        <v>10</v>
      </c>
      <c r="J1" s="12">
        <v>11</v>
      </c>
      <c r="K1" s="12">
        <v>12</v>
      </c>
      <c r="L1" s="12">
        <v>13</v>
      </c>
      <c r="M1" s="12">
        <v>14</v>
      </c>
      <c r="N1" s="12">
        <v>15</v>
      </c>
      <c r="O1" s="12">
        <v>16</v>
      </c>
      <c r="P1" s="12">
        <v>17</v>
      </c>
      <c r="Q1" s="12">
        <v>18</v>
      </c>
      <c r="R1" s="12">
        <v>19</v>
      </c>
      <c r="S1" s="12">
        <v>20</v>
      </c>
    </row>
    <row r="2" spans="1:19" x14ac:dyDescent="0.3">
      <c r="A2" s="12" t="s">
        <v>88</v>
      </c>
      <c r="B2" s="12" t="s">
        <v>119</v>
      </c>
      <c r="C2" s="12" t="s">
        <v>120</v>
      </c>
      <c r="D2" s="12" t="s">
        <v>121</v>
      </c>
      <c r="E2" s="12" t="s">
        <v>122</v>
      </c>
    </row>
    <row r="3" spans="1:19" x14ac:dyDescent="0.3">
      <c r="A3" s="12" t="s">
        <v>89</v>
      </c>
      <c r="B3" s="12" t="s">
        <v>119</v>
      </c>
      <c r="C3" s="12" t="s">
        <v>123</v>
      </c>
      <c r="D3" s="12" t="s">
        <v>124</v>
      </c>
      <c r="E3" s="12" t="s">
        <v>125</v>
      </c>
    </row>
    <row r="4" spans="1:19" x14ac:dyDescent="0.3">
      <c r="A4" s="12" t="s">
        <v>89</v>
      </c>
      <c r="B4" s="12" t="s">
        <v>119</v>
      </c>
      <c r="C4" s="12" t="s">
        <v>123</v>
      </c>
      <c r="D4" s="12" t="s">
        <v>126</v>
      </c>
    </row>
    <row r="5" spans="1:19" x14ac:dyDescent="0.3">
      <c r="A5" s="12" t="s">
        <v>89</v>
      </c>
      <c r="B5" s="12" t="s">
        <v>119</v>
      </c>
      <c r="C5" s="12" t="s">
        <v>123</v>
      </c>
      <c r="D5" s="12" t="s">
        <v>127</v>
      </c>
      <c r="E5" s="12" t="s">
        <v>128</v>
      </c>
    </row>
    <row r="6" spans="1:19" x14ac:dyDescent="0.3">
      <c r="A6" s="12" t="s">
        <v>89</v>
      </c>
      <c r="B6" s="12" t="s">
        <v>119</v>
      </c>
      <c r="C6" s="12" t="s">
        <v>123</v>
      </c>
      <c r="D6" s="12" t="s">
        <v>129</v>
      </c>
      <c r="E6" s="12" t="s">
        <v>130</v>
      </c>
    </row>
    <row r="7" spans="1:19" x14ac:dyDescent="0.3">
      <c r="A7" s="12" t="s">
        <v>89</v>
      </c>
      <c r="B7" s="12" t="s">
        <v>119</v>
      </c>
      <c r="C7" s="12" t="s">
        <v>123</v>
      </c>
      <c r="D7" s="12" t="s">
        <v>131</v>
      </c>
      <c r="E7" s="12" t="s">
        <v>132</v>
      </c>
    </row>
    <row r="8" spans="1:19" x14ac:dyDescent="0.3">
      <c r="A8" s="12" t="s">
        <v>89</v>
      </c>
      <c r="B8" s="12" t="s">
        <v>133</v>
      </c>
      <c r="C8" s="12" t="s">
        <v>120</v>
      </c>
      <c r="D8" s="12" t="s">
        <v>121</v>
      </c>
      <c r="E8" s="12" t="s">
        <v>122</v>
      </c>
    </row>
    <row r="9" spans="1:19" x14ac:dyDescent="0.3">
      <c r="A9" s="12" t="s">
        <v>89</v>
      </c>
      <c r="B9" s="12" t="s">
        <v>133</v>
      </c>
      <c r="C9" s="12" t="s">
        <v>123</v>
      </c>
      <c r="D9" s="12" t="s">
        <v>134</v>
      </c>
    </row>
    <row r="10" spans="1:19" x14ac:dyDescent="0.3">
      <c r="A10" s="12" t="s">
        <v>89</v>
      </c>
      <c r="B10" s="12" t="s">
        <v>133</v>
      </c>
      <c r="C10" s="12" t="s">
        <v>123</v>
      </c>
      <c r="D10" s="12" t="s">
        <v>135</v>
      </c>
    </row>
    <row r="11" spans="1:19" x14ac:dyDescent="0.3">
      <c r="A11" s="12" t="s">
        <v>89</v>
      </c>
      <c r="B11" s="12" t="s">
        <v>133</v>
      </c>
      <c r="C11" s="12" t="s">
        <v>123</v>
      </c>
      <c r="D11" s="12" t="s">
        <v>136</v>
      </c>
    </row>
    <row r="12" spans="1:19" x14ac:dyDescent="0.3">
      <c r="A12" s="12" t="s">
        <v>89</v>
      </c>
      <c r="B12" s="12" t="s">
        <v>133</v>
      </c>
      <c r="C12" s="12" t="s">
        <v>123</v>
      </c>
      <c r="D12" s="12" t="s">
        <v>137</v>
      </c>
    </row>
    <row r="13" spans="1:19" x14ac:dyDescent="0.3">
      <c r="A13" s="12" t="s">
        <v>89</v>
      </c>
      <c r="B13" s="12" t="s">
        <v>133</v>
      </c>
      <c r="C13" s="12" t="s">
        <v>123</v>
      </c>
      <c r="D13" s="12" t="s">
        <v>138</v>
      </c>
      <c r="E13" s="12" t="s">
        <v>139</v>
      </c>
    </row>
    <row r="14" spans="1:19" x14ac:dyDescent="0.3">
      <c r="A14" s="12" t="s">
        <v>89</v>
      </c>
      <c r="B14" s="12" t="s">
        <v>133</v>
      </c>
      <c r="C14" s="12" t="s">
        <v>123</v>
      </c>
      <c r="D14" s="12" t="s">
        <v>140</v>
      </c>
      <c r="E14" s="12" t="s">
        <v>141</v>
      </c>
    </row>
    <row r="15" spans="1:19" x14ac:dyDescent="0.3">
      <c r="A15" s="12" t="s">
        <v>89</v>
      </c>
      <c r="B15" s="12" t="s">
        <v>133</v>
      </c>
      <c r="C15" s="12" t="s">
        <v>123</v>
      </c>
      <c r="D15" s="12" t="s">
        <v>142</v>
      </c>
      <c r="E15" s="12" t="s">
        <v>114</v>
      </c>
    </row>
    <row r="16" spans="1:19" x14ac:dyDescent="0.3">
      <c r="A16" s="12" t="s">
        <v>89</v>
      </c>
      <c r="B16" s="12" t="s">
        <v>143</v>
      </c>
      <c r="C16" s="12" t="s">
        <v>120</v>
      </c>
      <c r="D16" s="12" t="s">
        <v>144</v>
      </c>
      <c r="E16" s="12" t="s">
        <v>145</v>
      </c>
      <c r="F16" s="12" t="s">
        <v>146</v>
      </c>
      <c r="G16" s="12" t="s">
        <v>147</v>
      </c>
      <c r="H16" s="12" t="s">
        <v>148</v>
      </c>
      <c r="I16" s="12" t="s">
        <v>99</v>
      </c>
    </row>
    <row r="17" spans="1:9" x14ac:dyDescent="0.3">
      <c r="A17" s="12" t="s">
        <v>89</v>
      </c>
      <c r="B17" s="12" t="s">
        <v>143</v>
      </c>
      <c r="C17" s="12" t="s">
        <v>123</v>
      </c>
      <c r="D17" s="12" t="s">
        <v>149</v>
      </c>
      <c r="E17" s="12">
        <v>250000</v>
      </c>
      <c r="F17" s="12">
        <v>68923.413</v>
      </c>
      <c r="G17" s="12">
        <v>0</v>
      </c>
      <c r="H17" s="12">
        <v>68923.413</v>
      </c>
      <c r="I17" s="12">
        <v>-181076.587</v>
      </c>
    </row>
    <row r="18" spans="1:9" x14ac:dyDescent="0.3">
      <c r="A18" s="12" t="s">
        <v>89</v>
      </c>
      <c r="B18" s="12" t="s">
        <v>143</v>
      </c>
      <c r="C18" s="12" t="s">
        <v>123</v>
      </c>
      <c r="D18" s="12" t="s">
        <v>150</v>
      </c>
      <c r="E18" s="12">
        <v>0</v>
      </c>
      <c r="F18" s="12">
        <v>186063.87</v>
      </c>
      <c r="G18" s="12">
        <v>0</v>
      </c>
      <c r="H18" s="12">
        <v>186063.87</v>
      </c>
      <c r="I18" s="12">
        <v>186063.87</v>
      </c>
    </row>
    <row r="19" spans="1:9" x14ac:dyDescent="0.3">
      <c r="A19" s="12" t="s">
        <v>89</v>
      </c>
      <c r="B19" s="12" t="s">
        <v>143</v>
      </c>
      <c r="C19" s="12" t="s">
        <v>123</v>
      </c>
      <c r="D19" s="12" t="s">
        <v>151</v>
      </c>
      <c r="E19" s="12">
        <v>96.6</v>
      </c>
      <c r="F19" s="12">
        <v>285.92</v>
      </c>
      <c r="G19" s="12">
        <v>0</v>
      </c>
      <c r="H19" s="12">
        <v>285.92</v>
      </c>
      <c r="I19" s="12">
        <v>189.32</v>
      </c>
    </row>
    <row r="20" spans="1:9" x14ac:dyDescent="0.3">
      <c r="A20" s="12" t="s">
        <v>89</v>
      </c>
      <c r="B20" s="12" t="s">
        <v>143</v>
      </c>
      <c r="C20" s="12" t="s">
        <v>123</v>
      </c>
      <c r="D20" s="12" t="s">
        <v>152</v>
      </c>
      <c r="E20" s="12">
        <v>0</v>
      </c>
      <c r="F20" s="12">
        <v>57.17</v>
      </c>
      <c r="G20" s="12">
        <v>0</v>
      </c>
      <c r="H20" s="12">
        <v>57.17</v>
      </c>
      <c r="I20" s="12">
        <v>57.17</v>
      </c>
    </row>
    <row r="21" spans="1:9" x14ac:dyDescent="0.3">
      <c r="A21" s="12" t="s">
        <v>89</v>
      </c>
      <c r="B21" s="12" t="s">
        <v>143</v>
      </c>
      <c r="C21" s="12" t="s">
        <v>123</v>
      </c>
      <c r="D21" s="12" t="s">
        <v>97</v>
      </c>
      <c r="E21" s="12">
        <v>250096.6</v>
      </c>
      <c r="F21" s="12">
        <v>255330.37299999999</v>
      </c>
      <c r="G21" s="12">
        <v>0</v>
      </c>
      <c r="H21" s="12">
        <v>255330.37299999999</v>
      </c>
      <c r="I21" s="12">
        <v>5233.7730000000001</v>
      </c>
    </row>
    <row r="22" spans="1:9" x14ac:dyDescent="0.3">
      <c r="A22" s="12" t="s">
        <v>89</v>
      </c>
      <c r="B22" s="12" t="s">
        <v>143</v>
      </c>
      <c r="C22" s="12" t="s">
        <v>120</v>
      </c>
      <c r="D22" s="12" t="s">
        <v>153</v>
      </c>
    </row>
    <row r="23" spans="1:9" x14ac:dyDescent="0.3">
      <c r="A23" s="12" t="s">
        <v>89</v>
      </c>
      <c r="B23" s="12" t="s">
        <v>143</v>
      </c>
      <c r="C23" s="12" t="s">
        <v>123</v>
      </c>
      <c r="D23" s="13">
        <v>2.0927005799999999E-2</v>
      </c>
    </row>
    <row r="24" spans="1:9" x14ac:dyDescent="0.3">
      <c r="A24" s="12" t="s">
        <v>89</v>
      </c>
      <c r="B24" s="12" t="s">
        <v>154</v>
      </c>
      <c r="C24" s="12" t="s">
        <v>120</v>
      </c>
      <c r="D24" s="12" t="s">
        <v>121</v>
      </c>
      <c r="E24" s="12" t="s">
        <v>122</v>
      </c>
    </row>
    <row r="25" spans="1:9" x14ac:dyDescent="0.3">
      <c r="A25" s="12" t="s">
        <v>89</v>
      </c>
      <c r="B25" s="12" t="s">
        <v>154</v>
      </c>
      <c r="C25" s="12" t="s">
        <v>123</v>
      </c>
      <c r="D25" s="12" t="s">
        <v>155</v>
      </c>
      <c r="E25" s="12">
        <v>250096.6</v>
      </c>
    </row>
    <row r="26" spans="1:9" x14ac:dyDescent="0.3">
      <c r="A26" s="12" t="s">
        <v>89</v>
      </c>
      <c r="B26" s="12" t="s">
        <v>154</v>
      </c>
      <c r="C26" s="12" t="s">
        <v>123</v>
      </c>
      <c r="D26" s="12" t="s">
        <v>156</v>
      </c>
      <c r="E26" s="12">
        <v>4920.99</v>
      </c>
    </row>
    <row r="27" spans="1:9" x14ac:dyDescent="0.3">
      <c r="A27" s="12" t="s">
        <v>89</v>
      </c>
      <c r="B27" s="12" t="s">
        <v>154</v>
      </c>
      <c r="C27" s="12" t="s">
        <v>123</v>
      </c>
      <c r="D27" s="12" t="s">
        <v>157</v>
      </c>
      <c r="E27" s="12">
        <v>29.9</v>
      </c>
    </row>
    <row r="28" spans="1:9" x14ac:dyDescent="0.3">
      <c r="A28" s="12" t="s">
        <v>89</v>
      </c>
      <c r="B28" s="12" t="s">
        <v>154</v>
      </c>
      <c r="C28" s="12" t="s">
        <v>123</v>
      </c>
      <c r="D28" s="12" t="s">
        <v>158</v>
      </c>
      <c r="E28" s="12">
        <v>-66.930000000000007</v>
      </c>
    </row>
    <row r="29" spans="1:9" x14ac:dyDescent="0.3">
      <c r="A29" s="12" t="s">
        <v>89</v>
      </c>
      <c r="B29" s="12" t="s">
        <v>154</v>
      </c>
      <c r="C29" s="12" t="s">
        <v>123</v>
      </c>
      <c r="D29" s="12" t="s">
        <v>159</v>
      </c>
      <c r="E29" s="12">
        <v>57.17</v>
      </c>
    </row>
    <row r="30" spans="1:9" x14ac:dyDescent="0.3">
      <c r="A30" s="12" t="s">
        <v>89</v>
      </c>
      <c r="B30" s="12" t="s">
        <v>154</v>
      </c>
      <c r="C30" s="12" t="s">
        <v>123</v>
      </c>
      <c r="D30" s="12" t="s">
        <v>160</v>
      </c>
      <c r="E30" s="12">
        <v>193.2</v>
      </c>
    </row>
    <row r="31" spans="1:9" x14ac:dyDescent="0.3">
      <c r="A31" s="12" t="s">
        <v>89</v>
      </c>
      <c r="B31" s="12" t="s">
        <v>154</v>
      </c>
      <c r="C31" s="12" t="s">
        <v>123</v>
      </c>
      <c r="D31" s="12" t="s">
        <v>161</v>
      </c>
      <c r="E31" s="12">
        <v>189.32</v>
      </c>
    </row>
    <row r="32" spans="1:9" x14ac:dyDescent="0.3">
      <c r="A32" s="12" t="s">
        <v>89</v>
      </c>
      <c r="B32" s="12" t="s">
        <v>154</v>
      </c>
      <c r="C32" s="12" t="s">
        <v>123</v>
      </c>
      <c r="D32" s="12" t="s">
        <v>118</v>
      </c>
      <c r="E32" s="12">
        <v>-9.66</v>
      </c>
    </row>
    <row r="33" spans="1:15" x14ac:dyDescent="0.3">
      <c r="A33" s="12" t="s">
        <v>89</v>
      </c>
      <c r="B33" s="12" t="s">
        <v>154</v>
      </c>
      <c r="C33" s="12" t="s">
        <v>123</v>
      </c>
      <c r="D33" s="12" t="s">
        <v>162</v>
      </c>
      <c r="E33" s="12">
        <v>-80.216999999999999</v>
      </c>
    </row>
    <row r="34" spans="1:15" x14ac:dyDescent="0.3">
      <c r="A34" s="12" t="s">
        <v>89</v>
      </c>
      <c r="B34" s="12" t="s">
        <v>154</v>
      </c>
      <c r="C34" s="12" t="s">
        <v>123</v>
      </c>
      <c r="D34" s="12" t="s">
        <v>163</v>
      </c>
      <c r="E34" s="12">
        <v>255330.37299999999</v>
      </c>
    </row>
    <row r="35" spans="1:15" ht="15.6" x14ac:dyDescent="0.3">
      <c r="A35" s="12" t="s">
        <v>89</v>
      </c>
      <c r="B35" s="12" t="s">
        <v>164</v>
      </c>
      <c r="C35" s="12" t="s">
        <v>120</v>
      </c>
      <c r="D35" s="12" t="s">
        <v>100</v>
      </c>
      <c r="E35" s="12" t="s">
        <v>0</v>
      </c>
      <c r="F35" s="12" t="s">
        <v>101</v>
      </c>
      <c r="G35" s="12" t="s">
        <v>102</v>
      </c>
      <c r="H35" s="12" t="s">
        <v>103</v>
      </c>
      <c r="I35" s="14" t="s">
        <v>104</v>
      </c>
      <c r="J35" s="15" t="s">
        <v>105</v>
      </c>
      <c r="K35" s="12" t="s">
        <v>106</v>
      </c>
      <c r="L35" s="16" t="s">
        <v>107</v>
      </c>
      <c r="M35" s="16" t="s">
        <v>108</v>
      </c>
      <c r="N35" s="14" t="s">
        <v>109</v>
      </c>
      <c r="O35" s="12" t="s">
        <v>165</v>
      </c>
    </row>
    <row r="36" spans="1:15" ht="15.6" x14ac:dyDescent="0.3">
      <c r="A36" s="12" t="s">
        <v>89</v>
      </c>
      <c r="B36" s="12" t="s">
        <v>164</v>
      </c>
      <c r="C36" s="12" t="s">
        <v>123</v>
      </c>
      <c r="D36" s="14" t="s">
        <v>110</v>
      </c>
      <c r="E36" s="12" t="s">
        <v>2</v>
      </c>
      <c r="F36" s="12">
        <v>0</v>
      </c>
      <c r="G36" s="12">
        <v>36</v>
      </c>
      <c r="H36" s="12" t="s">
        <v>111</v>
      </c>
      <c r="I36" s="12">
        <v>184.4</v>
      </c>
      <c r="J36" s="12">
        <v>365.49</v>
      </c>
      <c r="K36" s="12">
        <v>8.5500000000000007</v>
      </c>
      <c r="L36" s="12">
        <v>-2.6</v>
      </c>
      <c r="M36" s="12">
        <v>0</v>
      </c>
      <c r="N36" s="12">
        <v>371.44</v>
      </c>
    </row>
    <row r="37" spans="1:15" ht="15.6" x14ac:dyDescent="0.3">
      <c r="A37" s="12" t="s">
        <v>89</v>
      </c>
      <c r="B37" s="12" t="s">
        <v>164</v>
      </c>
      <c r="C37" s="12" t="s">
        <v>123</v>
      </c>
      <c r="D37" s="14" t="s">
        <v>110</v>
      </c>
      <c r="E37" s="12" t="s">
        <v>4</v>
      </c>
      <c r="F37" s="12">
        <v>0</v>
      </c>
      <c r="G37" s="12">
        <v>12</v>
      </c>
      <c r="H37" s="12" t="s">
        <v>111</v>
      </c>
      <c r="I37" s="12">
        <v>195.65</v>
      </c>
      <c r="J37" s="12">
        <v>-237.72</v>
      </c>
      <c r="K37" s="12">
        <v>20.04</v>
      </c>
      <c r="L37" s="12">
        <v>-1.3</v>
      </c>
      <c r="M37" s="12">
        <v>0</v>
      </c>
      <c r="N37" s="12">
        <v>-218.98</v>
      </c>
    </row>
    <row r="38" spans="1:15" ht="15.6" x14ac:dyDescent="0.3">
      <c r="A38" s="12" t="s">
        <v>89</v>
      </c>
      <c r="B38" s="12" t="s">
        <v>164</v>
      </c>
      <c r="C38" s="12" t="s">
        <v>123</v>
      </c>
      <c r="D38" s="14" t="s">
        <v>110</v>
      </c>
      <c r="E38" s="12" t="s">
        <v>5</v>
      </c>
      <c r="F38" s="12">
        <v>0</v>
      </c>
      <c r="G38" s="12">
        <v>104</v>
      </c>
      <c r="H38" s="12" t="s">
        <v>111</v>
      </c>
      <c r="I38" s="12">
        <v>155.19999999999999</v>
      </c>
      <c r="J38" s="12">
        <v>1105.52</v>
      </c>
      <c r="K38" s="12">
        <v>-70.72</v>
      </c>
      <c r="L38" s="12">
        <v>-1.3</v>
      </c>
      <c r="M38" s="12">
        <v>0</v>
      </c>
      <c r="N38" s="12">
        <v>1033.5</v>
      </c>
    </row>
    <row r="39" spans="1:15" ht="15.6" x14ac:dyDescent="0.3">
      <c r="A39" s="12" t="s">
        <v>89</v>
      </c>
      <c r="B39" s="12" t="s">
        <v>164</v>
      </c>
      <c r="C39" s="12" t="s">
        <v>123</v>
      </c>
      <c r="D39" s="14" t="s">
        <v>110</v>
      </c>
      <c r="E39" s="12" t="s">
        <v>6</v>
      </c>
      <c r="F39" s="12">
        <v>0</v>
      </c>
      <c r="G39" s="12">
        <v>31</v>
      </c>
      <c r="H39" s="12" t="s">
        <v>111</v>
      </c>
      <c r="I39" s="12">
        <v>258.68</v>
      </c>
      <c r="J39" s="12">
        <v>907.68</v>
      </c>
      <c r="K39" s="12">
        <v>11.78</v>
      </c>
      <c r="L39" s="12">
        <v>-1.3</v>
      </c>
      <c r="M39" s="12">
        <v>0</v>
      </c>
      <c r="N39" s="12">
        <v>918.16</v>
      </c>
    </row>
    <row r="40" spans="1:15" ht="15.6" x14ac:dyDescent="0.3">
      <c r="A40" s="12" t="s">
        <v>89</v>
      </c>
      <c r="B40" s="12" t="s">
        <v>164</v>
      </c>
      <c r="C40" s="12" t="s">
        <v>123</v>
      </c>
      <c r="D40" s="14" t="s">
        <v>110</v>
      </c>
      <c r="E40" s="12" t="s">
        <v>7</v>
      </c>
      <c r="F40" s="12">
        <v>0</v>
      </c>
      <c r="G40" s="12">
        <v>7</v>
      </c>
      <c r="H40" s="12" t="s">
        <v>111</v>
      </c>
      <c r="I40" s="17">
        <v>1180</v>
      </c>
      <c r="J40" s="12">
        <v>916.93</v>
      </c>
      <c r="K40" s="12">
        <v>-66.010000000000005</v>
      </c>
      <c r="L40" s="12">
        <v>-1.3</v>
      </c>
      <c r="M40" s="12">
        <v>0</v>
      </c>
      <c r="N40" s="12">
        <v>849.62</v>
      </c>
    </row>
    <row r="41" spans="1:15" ht="15.6" x14ac:dyDescent="0.3">
      <c r="A41" s="12" t="s">
        <v>89</v>
      </c>
      <c r="B41" s="12" t="s">
        <v>164</v>
      </c>
      <c r="C41" s="12" t="s">
        <v>123</v>
      </c>
      <c r="D41" s="14" t="s">
        <v>110</v>
      </c>
      <c r="E41" s="12" t="s">
        <v>8</v>
      </c>
      <c r="F41" s="12">
        <v>0</v>
      </c>
      <c r="G41" s="12">
        <v>231</v>
      </c>
      <c r="H41" s="12" t="s">
        <v>111</v>
      </c>
      <c r="I41" s="12">
        <v>34.01</v>
      </c>
      <c r="J41" s="12">
        <v>436.59</v>
      </c>
      <c r="K41" s="12">
        <v>-11.55</v>
      </c>
      <c r="L41" s="12">
        <v>-1.617</v>
      </c>
      <c r="M41" s="12">
        <v>0</v>
      </c>
      <c r="N41" s="12">
        <v>423.423</v>
      </c>
    </row>
    <row r="42" spans="1:15" ht="15.6" x14ac:dyDescent="0.3">
      <c r="A42" s="12" t="s">
        <v>89</v>
      </c>
      <c r="B42" s="12" t="s">
        <v>164</v>
      </c>
      <c r="C42" s="12" t="s">
        <v>123</v>
      </c>
      <c r="D42" s="14" t="s">
        <v>110</v>
      </c>
      <c r="E42" s="12" t="s">
        <v>9</v>
      </c>
      <c r="F42" s="12">
        <v>0</v>
      </c>
      <c r="G42" s="12">
        <v>1</v>
      </c>
      <c r="H42" s="12" t="s">
        <v>111</v>
      </c>
      <c r="I42" s="17">
        <v>3507.47</v>
      </c>
      <c r="J42" s="12">
        <v>87.53</v>
      </c>
      <c r="K42" s="12">
        <v>34.020000000000003</v>
      </c>
      <c r="L42" s="12">
        <v>-1.3</v>
      </c>
      <c r="M42" s="12">
        <v>0</v>
      </c>
      <c r="N42" s="12">
        <v>120.25</v>
      </c>
    </row>
    <row r="43" spans="1:15" ht="15.6" x14ac:dyDescent="0.3">
      <c r="A43" s="12" t="s">
        <v>89</v>
      </c>
      <c r="B43" s="12" t="s">
        <v>164</v>
      </c>
      <c r="C43" s="12" t="s">
        <v>123</v>
      </c>
      <c r="D43" s="14" t="s">
        <v>110</v>
      </c>
      <c r="E43" s="12" t="s">
        <v>3</v>
      </c>
      <c r="F43" s="12">
        <v>0</v>
      </c>
      <c r="G43" s="12">
        <v>148</v>
      </c>
      <c r="H43" s="12" t="s">
        <v>111</v>
      </c>
      <c r="I43" s="12">
        <v>56.17</v>
      </c>
      <c r="J43" s="12">
        <v>525.4</v>
      </c>
      <c r="K43" s="12">
        <v>182.04</v>
      </c>
      <c r="L43" s="12">
        <v>-1.3</v>
      </c>
      <c r="M43" s="12">
        <v>0</v>
      </c>
      <c r="N43" s="12">
        <v>706.14</v>
      </c>
    </row>
    <row r="44" spans="1:15" ht="15.6" x14ac:dyDescent="0.3">
      <c r="A44" s="12" t="s">
        <v>89</v>
      </c>
      <c r="B44" s="12" t="s">
        <v>164</v>
      </c>
      <c r="C44" s="12" t="s">
        <v>123</v>
      </c>
      <c r="D44" s="14" t="s">
        <v>110</v>
      </c>
      <c r="E44" s="12" t="s">
        <v>10</v>
      </c>
      <c r="F44" s="12">
        <v>0</v>
      </c>
      <c r="G44" s="12">
        <v>0</v>
      </c>
      <c r="H44" s="12" t="s">
        <v>111</v>
      </c>
      <c r="I44" s="12" t="s">
        <v>111</v>
      </c>
      <c r="J44" s="12">
        <v>-356.4</v>
      </c>
      <c r="K44" s="12">
        <v>-125.6</v>
      </c>
      <c r="L44" s="12">
        <v>-2.6</v>
      </c>
      <c r="M44" s="12">
        <v>0</v>
      </c>
      <c r="N44" s="12">
        <v>-484.6</v>
      </c>
    </row>
    <row r="45" spans="1:15" ht="15.6" x14ac:dyDescent="0.3">
      <c r="A45" s="12" t="s">
        <v>89</v>
      </c>
      <c r="B45" s="12" t="s">
        <v>164</v>
      </c>
      <c r="C45" s="12" t="s">
        <v>123</v>
      </c>
      <c r="D45" s="14" t="s">
        <v>110</v>
      </c>
      <c r="E45" s="12" t="s">
        <v>11</v>
      </c>
      <c r="F45" s="12">
        <v>0</v>
      </c>
      <c r="G45" s="12">
        <v>11</v>
      </c>
      <c r="H45" s="12" t="s">
        <v>111</v>
      </c>
      <c r="I45" s="12">
        <v>694.88</v>
      </c>
      <c r="J45" s="12">
        <v>511.83</v>
      </c>
      <c r="K45" s="12">
        <v>58.08</v>
      </c>
      <c r="L45" s="12">
        <v>-1.3</v>
      </c>
      <c r="M45" s="12">
        <v>0</v>
      </c>
      <c r="N45" s="12">
        <v>568.61</v>
      </c>
    </row>
    <row r="46" spans="1:15" ht="15.6" x14ac:dyDescent="0.3">
      <c r="A46" s="12" t="s">
        <v>89</v>
      </c>
      <c r="B46" s="12" t="s">
        <v>164</v>
      </c>
      <c r="C46" s="12" t="s">
        <v>123</v>
      </c>
      <c r="D46" s="14" t="s">
        <v>110</v>
      </c>
      <c r="E46" s="12" t="s">
        <v>12</v>
      </c>
      <c r="F46" s="12">
        <v>0</v>
      </c>
      <c r="G46" s="12">
        <v>0</v>
      </c>
      <c r="H46" s="12" t="s">
        <v>111</v>
      </c>
      <c r="I46" s="12" t="s">
        <v>111</v>
      </c>
      <c r="J46" s="12">
        <v>-809.4</v>
      </c>
      <c r="K46" s="12">
        <v>-68.400000000000006</v>
      </c>
      <c r="L46" s="12">
        <v>-2.6</v>
      </c>
      <c r="M46" s="12">
        <v>0</v>
      </c>
      <c r="N46" s="12">
        <v>-880.4</v>
      </c>
    </row>
    <row r="47" spans="1:15" ht="15.6" x14ac:dyDescent="0.3">
      <c r="A47" s="12" t="s">
        <v>89</v>
      </c>
      <c r="B47" s="12" t="s">
        <v>164</v>
      </c>
      <c r="C47" s="12" t="s">
        <v>123</v>
      </c>
      <c r="D47" s="14" t="s">
        <v>110</v>
      </c>
      <c r="E47" s="12" t="s">
        <v>13</v>
      </c>
      <c r="F47" s="12">
        <v>0</v>
      </c>
      <c r="G47" s="12">
        <v>18</v>
      </c>
      <c r="H47" s="12" t="s">
        <v>111</v>
      </c>
      <c r="I47" s="12">
        <v>393.58</v>
      </c>
      <c r="J47" s="12">
        <v>-131.94</v>
      </c>
      <c r="K47" s="12">
        <v>16.2</v>
      </c>
      <c r="L47" s="12">
        <v>-1.3</v>
      </c>
      <c r="M47" s="12">
        <v>0</v>
      </c>
      <c r="N47" s="12">
        <v>-117.04</v>
      </c>
    </row>
    <row r="48" spans="1:15" ht="15.6" x14ac:dyDescent="0.3">
      <c r="A48" s="12" t="s">
        <v>89</v>
      </c>
      <c r="B48" s="12" t="s">
        <v>164</v>
      </c>
      <c r="C48" s="12" t="s">
        <v>123</v>
      </c>
      <c r="D48" s="14" t="s">
        <v>110</v>
      </c>
      <c r="E48" s="12" t="s">
        <v>14</v>
      </c>
      <c r="F48" s="12">
        <v>0</v>
      </c>
      <c r="G48" s="12">
        <v>0</v>
      </c>
      <c r="H48" s="12" t="s">
        <v>111</v>
      </c>
      <c r="I48" s="12" t="s">
        <v>111</v>
      </c>
      <c r="J48" s="12">
        <v>41.92</v>
      </c>
      <c r="K48" s="12">
        <v>26.24</v>
      </c>
      <c r="L48" s="12">
        <v>-2.6</v>
      </c>
      <c r="M48" s="12">
        <v>0</v>
      </c>
      <c r="N48" s="12">
        <v>65.56</v>
      </c>
    </row>
    <row r="49" spans="1:14" ht="15.6" x14ac:dyDescent="0.3">
      <c r="A49" s="12" t="s">
        <v>89</v>
      </c>
      <c r="B49" s="12" t="s">
        <v>164</v>
      </c>
      <c r="C49" s="12" t="s">
        <v>123</v>
      </c>
      <c r="D49" s="14" t="s">
        <v>110</v>
      </c>
      <c r="E49" s="12" t="s">
        <v>15</v>
      </c>
      <c r="F49" s="12">
        <v>0</v>
      </c>
      <c r="G49" s="12">
        <v>0</v>
      </c>
      <c r="H49" s="12" t="s">
        <v>111</v>
      </c>
      <c r="I49" s="12" t="s">
        <v>111</v>
      </c>
      <c r="J49" s="12">
        <v>-63.6</v>
      </c>
      <c r="K49" s="12">
        <v>85.64</v>
      </c>
      <c r="L49" s="12">
        <v>-3.9</v>
      </c>
      <c r="M49" s="12">
        <v>0</v>
      </c>
      <c r="N49" s="12">
        <v>18.14</v>
      </c>
    </row>
    <row r="50" spans="1:14" ht="15.6" x14ac:dyDescent="0.3">
      <c r="A50" s="12" t="s">
        <v>89</v>
      </c>
      <c r="B50" s="12" t="s">
        <v>164</v>
      </c>
      <c r="C50" s="12" t="s">
        <v>123</v>
      </c>
      <c r="D50" s="14" t="s">
        <v>110</v>
      </c>
      <c r="E50" s="12" t="s">
        <v>16</v>
      </c>
      <c r="F50" s="12">
        <v>0</v>
      </c>
      <c r="G50" s="12">
        <v>20</v>
      </c>
      <c r="H50" s="12" t="s">
        <v>111</v>
      </c>
      <c r="I50" s="12">
        <v>113.79</v>
      </c>
      <c r="J50" s="12">
        <v>-144.6</v>
      </c>
      <c r="K50" s="12">
        <v>-80.599999999999994</v>
      </c>
      <c r="L50" s="12">
        <v>-1.3</v>
      </c>
      <c r="M50" s="12">
        <v>12.74</v>
      </c>
      <c r="N50" s="12">
        <v>-213.76</v>
      </c>
    </row>
    <row r="51" spans="1:14" ht="15.6" x14ac:dyDescent="0.3">
      <c r="A51" s="12" t="s">
        <v>89</v>
      </c>
      <c r="B51" s="12" t="s">
        <v>164</v>
      </c>
      <c r="C51" s="12" t="s">
        <v>123</v>
      </c>
      <c r="D51" s="14" t="s">
        <v>110</v>
      </c>
      <c r="E51" s="12" t="s">
        <v>17</v>
      </c>
      <c r="F51" s="12">
        <v>0</v>
      </c>
      <c r="G51" s="12">
        <v>106</v>
      </c>
      <c r="H51" s="12" t="s">
        <v>111</v>
      </c>
      <c r="I51" s="12">
        <v>32.69</v>
      </c>
      <c r="J51" s="12">
        <v>7.42</v>
      </c>
      <c r="K51" s="12">
        <v>3.18</v>
      </c>
      <c r="L51" s="12">
        <v>-1.3</v>
      </c>
      <c r="M51" s="12">
        <v>0</v>
      </c>
      <c r="N51" s="12">
        <v>9.3000000000000007</v>
      </c>
    </row>
    <row r="52" spans="1:14" ht="15.6" x14ac:dyDescent="0.3">
      <c r="A52" s="12" t="s">
        <v>89</v>
      </c>
      <c r="B52" s="12" t="s">
        <v>164</v>
      </c>
      <c r="C52" s="12" t="s">
        <v>123</v>
      </c>
      <c r="D52" s="14" t="s">
        <v>110</v>
      </c>
      <c r="E52" s="12" t="s">
        <v>18</v>
      </c>
      <c r="F52" s="12">
        <v>0</v>
      </c>
      <c r="G52" s="12">
        <v>14</v>
      </c>
      <c r="H52" s="12" t="s">
        <v>111</v>
      </c>
      <c r="I52" s="12">
        <v>264.99</v>
      </c>
      <c r="J52" s="12">
        <v>123.34</v>
      </c>
      <c r="K52" s="12">
        <v>-16.100000000000001</v>
      </c>
      <c r="L52" s="12">
        <v>-1.3</v>
      </c>
      <c r="M52" s="12">
        <v>0</v>
      </c>
      <c r="N52" s="12">
        <v>105.94</v>
      </c>
    </row>
    <row r="53" spans="1:14" ht="15.6" x14ac:dyDescent="0.3">
      <c r="A53" s="12" t="s">
        <v>89</v>
      </c>
      <c r="B53" s="12" t="s">
        <v>164</v>
      </c>
      <c r="C53" s="12" t="s">
        <v>123</v>
      </c>
      <c r="D53" s="14" t="s">
        <v>110</v>
      </c>
      <c r="E53" s="12" t="s">
        <v>19</v>
      </c>
      <c r="F53" s="12">
        <v>0</v>
      </c>
      <c r="G53" s="12">
        <v>107</v>
      </c>
      <c r="H53" s="12" t="s">
        <v>111</v>
      </c>
      <c r="I53" s="12">
        <v>140.1</v>
      </c>
      <c r="J53" s="12">
        <v>126.26</v>
      </c>
      <c r="K53" s="12">
        <v>-16.05</v>
      </c>
      <c r="L53" s="12">
        <v>-1.3</v>
      </c>
      <c r="M53" s="12">
        <v>0</v>
      </c>
      <c r="N53" s="12">
        <v>108.91</v>
      </c>
    </row>
    <row r="54" spans="1:14" ht="15.6" x14ac:dyDescent="0.3">
      <c r="A54" s="12" t="s">
        <v>89</v>
      </c>
      <c r="B54" s="12" t="s">
        <v>164</v>
      </c>
      <c r="C54" s="12" t="s">
        <v>123</v>
      </c>
      <c r="D54" s="14" t="s">
        <v>110</v>
      </c>
      <c r="E54" s="12" t="s">
        <v>20</v>
      </c>
      <c r="F54" s="12">
        <v>0</v>
      </c>
      <c r="G54" s="12">
        <v>11</v>
      </c>
      <c r="H54" s="12" t="s">
        <v>111</v>
      </c>
      <c r="I54" s="12">
        <v>352.96</v>
      </c>
      <c r="J54" s="12">
        <v>158.07</v>
      </c>
      <c r="K54" s="12">
        <v>-4.18</v>
      </c>
      <c r="L54" s="12">
        <v>-1.3</v>
      </c>
      <c r="M54" s="12">
        <v>0</v>
      </c>
      <c r="N54" s="12">
        <v>152.59</v>
      </c>
    </row>
    <row r="55" spans="1:14" ht="15.6" x14ac:dyDescent="0.3">
      <c r="A55" s="12" t="s">
        <v>89</v>
      </c>
      <c r="B55" s="12" t="s">
        <v>164</v>
      </c>
      <c r="C55" s="12" t="s">
        <v>123</v>
      </c>
      <c r="D55" s="14" t="s">
        <v>110</v>
      </c>
      <c r="E55" s="12" t="s">
        <v>21</v>
      </c>
      <c r="F55" s="12">
        <v>0</v>
      </c>
      <c r="G55" s="12">
        <v>6</v>
      </c>
      <c r="H55" s="12" t="s">
        <v>111</v>
      </c>
      <c r="I55" s="12">
        <v>611</v>
      </c>
      <c r="J55" s="12">
        <v>378.84</v>
      </c>
      <c r="K55" s="12">
        <v>-61.44</v>
      </c>
      <c r="L55" s="12">
        <v>-1.3</v>
      </c>
      <c r="M55" s="12">
        <v>0</v>
      </c>
      <c r="N55" s="12">
        <v>316.10000000000002</v>
      </c>
    </row>
    <row r="56" spans="1:14" ht="15.6" x14ac:dyDescent="0.3">
      <c r="A56" s="12" t="s">
        <v>89</v>
      </c>
      <c r="B56" s="12" t="s">
        <v>164</v>
      </c>
      <c r="C56" s="12" t="s">
        <v>123</v>
      </c>
      <c r="D56" s="14" t="s">
        <v>110</v>
      </c>
      <c r="E56" s="12" t="s">
        <v>22</v>
      </c>
      <c r="F56" s="12">
        <v>0</v>
      </c>
      <c r="G56" s="12">
        <v>66</v>
      </c>
      <c r="H56" s="12" t="s">
        <v>111</v>
      </c>
      <c r="I56" s="12">
        <v>56.26</v>
      </c>
      <c r="J56" s="12">
        <v>241.56</v>
      </c>
      <c r="K56" s="12">
        <v>-24.42</v>
      </c>
      <c r="L56" s="12">
        <v>-1.3</v>
      </c>
      <c r="M56" s="12">
        <v>0</v>
      </c>
      <c r="N56" s="12">
        <v>215.84</v>
      </c>
    </row>
    <row r="57" spans="1:14" ht="15.6" x14ac:dyDescent="0.3">
      <c r="A57" s="12" t="s">
        <v>89</v>
      </c>
      <c r="B57" s="12" t="s">
        <v>164</v>
      </c>
      <c r="C57" s="12" t="s">
        <v>123</v>
      </c>
      <c r="D57" s="14" t="s">
        <v>110</v>
      </c>
      <c r="E57" s="12" t="s">
        <v>23</v>
      </c>
      <c r="F57" s="12">
        <v>0</v>
      </c>
      <c r="G57" s="12">
        <v>13</v>
      </c>
      <c r="H57" s="12" t="s">
        <v>111</v>
      </c>
      <c r="I57" s="12">
        <v>631.33000000000004</v>
      </c>
      <c r="J57" s="12">
        <v>578.63</v>
      </c>
      <c r="K57" s="12">
        <v>-39.65</v>
      </c>
      <c r="L57" s="12">
        <v>-1.3</v>
      </c>
      <c r="M57" s="12">
        <v>8.19</v>
      </c>
      <c r="N57" s="12">
        <v>545.87</v>
      </c>
    </row>
    <row r="58" spans="1:14" ht="15.6" x14ac:dyDescent="0.3">
      <c r="A58" s="12" t="s">
        <v>89</v>
      </c>
      <c r="B58" s="12" t="s">
        <v>164</v>
      </c>
      <c r="C58" s="12" t="s">
        <v>123</v>
      </c>
      <c r="D58" s="14" t="s">
        <v>110</v>
      </c>
      <c r="E58" s="12" t="s">
        <v>24</v>
      </c>
      <c r="F58" s="12">
        <v>0</v>
      </c>
      <c r="G58" s="12">
        <v>45</v>
      </c>
      <c r="H58" s="12" t="s">
        <v>111</v>
      </c>
      <c r="I58" s="12">
        <v>79.86</v>
      </c>
      <c r="J58" s="12">
        <v>186.3</v>
      </c>
      <c r="K58" s="12">
        <v>56.25</v>
      </c>
      <c r="L58" s="12">
        <v>-1.3</v>
      </c>
      <c r="M58" s="12">
        <v>0</v>
      </c>
      <c r="N58" s="12">
        <v>241.25</v>
      </c>
    </row>
    <row r="59" spans="1:14" ht="15.6" x14ac:dyDescent="0.3">
      <c r="A59" s="12" t="s">
        <v>89</v>
      </c>
      <c r="B59" s="12" t="s">
        <v>164</v>
      </c>
      <c r="C59" s="12" t="s">
        <v>123</v>
      </c>
      <c r="D59" s="14" t="s">
        <v>110</v>
      </c>
      <c r="E59" s="12" t="s">
        <v>25</v>
      </c>
      <c r="F59" s="12">
        <v>0</v>
      </c>
      <c r="G59" s="12">
        <v>8</v>
      </c>
      <c r="H59" s="12" t="s">
        <v>111</v>
      </c>
      <c r="I59" s="12">
        <v>453.82</v>
      </c>
      <c r="J59" s="12">
        <v>-252.28</v>
      </c>
      <c r="K59" s="12">
        <v>-15.62</v>
      </c>
      <c r="L59" s="12">
        <v>-3.9</v>
      </c>
      <c r="M59" s="12">
        <v>0</v>
      </c>
      <c r="N59" s="12">
        <v>-271.8</v>
      </c>
    </row>
    <row r="60" spans="1:14" ht="15.6" x14ac:dyDescent="0.3">
      <c r="A60" s="12" t="s">
        <v>89</v>
      </c>
      <c r="B60" s="12" t="s">
        <v>164</v>
      </c>
      <c r="C60" s="12" t="s">
        <v>123</v>
      </c>
      <c r="D60" s="14" t="s">
        <v>110</v>
      </c>
      <c r="E60" s="12" t="s">
        <v>26</v>
      </c>
      <c r="F60" s="12">
        <v>0</v>
      </c>
      <c r="G60" s="12">
        <v>9</v>
      </c>
      <c r="H60" s="12" t="s">
        <v>111</v>
      </c>
      <c r="I60" s="12">
        <v>392.04</v>
      </c>
      <c r="J60" s="12">
        <v>157.94999999999999</v>
      </c>
      <c r="K60" s="12">
        <v>-10.35</v>
      </c>
      <c r="L60" s="12">
        <v>-1.3</v>
      </c>
      <c r="M60" s="12">
        <v>0</v>
      </c>
      <c r="N60" s="12">
        <v>146.30000000000001</v>
      </c>
    </row>
    <row r="61" spans="1:14" ht="15.6" x14ac:dyDescent="0.3">
      <c r="A61" s="12" t="s">
        <v>89</v>
      </c>
      <c r="B61" s="12" t="s">
        <v>164</v>
      </c>
      <c r="C61" s="12" t="s">
        <v>123</v>
      </c>
      <c r="D61" s="14" t="s">
        <v>110</v>
      </c>
      <c r="E61" s="12" t="s">
        <v>27</v>
      </c>
      <c r="F61" s="12">
        <v>0</v>
      </c>
      <c r="G61" s="12">
        <v>21</v>
      </c>
      <c r="H61" s="12" t="s">
        <v>111</v>
      </c>
      <c r="I61" s="12">
        <v>390.14</v>
      </c>
      <c r="J61" s="12">
        <v>920.85</v>
      </c>
      <c r="K61" s="12">
        <v>82.95</v>
      </c>
      <c r="L61" s="12">
        <v>-1.3</v>
      </c>
      <c r="M61" s="12">
        <v>0</v>
      </c>
      <c r="N61" s="12">
        <v>1002.5</v>
      </c>
    </row>
    <row r="62" spans="1:14" ht="15.6" x14ac:dyDescent="0.3">
      <c r="A62" s="12" t="s">
        <v>89</v>
      </c>
      <c r="B62" s="12" t="s">
        <v>164</v>
      </c>
      <c r="C62" s="12" t="s">
        <v>123</v>
      </c>
      <c r="D62" s="14" t="s">
        <v>110</v>
      </c>
      <c r="E62" s="12" t="s">
        <v>28</v>
      </c>
      <c r="F62" s="12">
        <v>0</v>
      </c>
      <c r="G62" s="12">
        <v>49</v>
      </c>
      <c r="H62" s="12" t="s">
        <v>111</v>
      </c>
      <c r="I62" s="12">
        <v>397.58</v>
      </c>
      <c r="J62" s="12">
        <v>1322.02</v>
      </c>
      <c r="K62" s="12">
        <v>154.84</v>
      </c>
      <c r="L62" s="12">
        <v>-1.3</v>
      </c>
      <c r="M62" s="12">
        <v>0</v>
      </c>
      <c r="N62" s="12">
        <v>1475.56</v>
      </c>
    </row>
    <row r="63" spans="1:14" ht="15.6" x14ac:dyDescent="0.3">
      <c r="A63" s="12" t="s">
        <v>89</v>
      </c>
      <c r="B63" s="12" t="s">
        <v>164</v>
      </c>
      <c r="C63" s="12" t="s">
        <v>123</v>
      </c>
      <c r="D63" s="14" t="s">
        <v>110</v>
      </c>
      <c r="E63" s="12" t="s">
        <v>29</v>
      </c>
      <c r="F63" s="12">
        <v>0</v>
      </c>
      <c r="G63" s="12">
        <v>12</v>
      </c>
      <c r="H63" s="12" t="s">
        <v>111</v>
      </c>
      <c r="I63" s="12">
        <v>338.51</v>
      </c>
      <c r="J63" s="12">
        <v>662.52</v>
      </c>
      <c r="K63" s="12">
        <v>-13.08</v>
      </c>
      <c r="L63" s="12">
        <v>-1.3</v>
      </c>
      <c r="M63" s="12">
        <v>0</v>
      </c>
      <c r="N63" s="12">
        <v>648.14</v>
      </c>
    </row>
    <row r="64" spans="1:14" ht="15.6" x14ac:dyDescent="0.3">
      <c r="A64" s="12" t="s">
        <v>89</v>
      </c>
      <c r="B64" s="12" t="s">
        <v>164</v>
      </c>
      <c r="C64" s="12" t="s">
        <v>123</v>
      </c>
      <c r="D64" s="14" t="s">
        <v>110</v>
      </c>
      <c r="E64" s="12" t="s">
        <v>30</v>
      </c>
      <c r="F64" s="12">
        <v>0</v>
      </c>
      <c r="G64" s="12">
        <v>26</v>
      </c>
      <c r="H64" s="12" t="s">
        <v>111</v>
      </c>
      <c r="I64" s="12">
        <v>140.28</v>
      </c>
      <c r="J64" s="12">
        <v>149.51</v>
      </c>
      <c r="K64" s="12">
        <v>-14.69</v>
      </c>
      <c r="L64" s="12">
        <v>-2.6</v>
      </c>
      <c r="M64" s="12">
        <v>0</v>
      </c>
      <c r="N64" s="12">
        <v>132.22</v>
      </c>
    </row>
    <row r="65" spans="1:18" ht="15.6" x14ac:dyDescent="0.3">
      <c r="A65" s="12" t="s">
        <v>89</v>
      </c>
      <c r="B65" s="12" t="s">
        <v>164</v>
      </c>
      <c r="C65" s="12" t="s">
        <v>123</v>
      </c>
      <c r="D65" s="14" t="s">
        <v>110</v>
      </c>
      <c r="E65" s="12" t="s">
        <v>31</v>
      </c>
      <c r="F65" s="12">
        <v>0</v>
      </c>
      <c r="G65" s="12">
        <v>18</v>
      </c>
      <c r="H65" s="12" t="s">
        <v>111</v>
      </c>
      <c r="I65" s="12">
        <v>195.64</v>
      </c>
      <c r="J65" s="12">
        <v>214.56</v>
      </c>
      <c r="K65" s="12">
        <v>11.88</v>
      </c>
      <c r="L65" s="12">
        <v>-1.3</v>
      </c>
      <c r="M65" s="12">
        <v>0</v>
      </c>
      <c r="N65" s="12">
        <v>225.14</v>
      </c>
    </row>
    <row r="66" spans="1:18" ht="15.6" x14ac:dyDescent="0.3">
      <c r="A66" s="12" t="s">
        <v>89</v>
      </c>
      <c r="B66" s="12" t="s">
        <v>164</v>
      </c>
      <c r="C66" s="12" t="s">
        <v>123</v>
      </c>
      <c r="D66" s="14" t="s">
        <v>110</v>
      </c>
      <c r="E66" s="12" t="s">
        <v>32</v>
      </c>
      <c r="F66" s="12">
        <v>0</v>
      </c>
      <c r="G66" s="12">
        <v>106</v>
      </c>
      <c r="H66" s="12" t="s">
        <v>111</v>
      </c>
      <c r="I66" s="12">
        <v>65.27</v>
      </c>
      <c r="J66" s="12">
        <v>791.82</v>
      </c>
      <c r="K66" s="12">
        <v>-25.44</v>
      </c>
      <c r="L66" s="12">
        <v>-1.3</v>
      </c>
      <c r="M66" s="12">
        <v>0</v>
      </c>
      <c r="N66" s="12">
        <v>765.08</v>
      </c>
    </row>
    <row r="67" spans="1:18" ht="15.6" x14ac:dyDescent="0.3">
      <c r="A67" s="12" t="s">
        <v>89</v>
      </c>
      <c r="B67" s="12" t="s">
        <v>164</v>
      </c>
      <c r="C67" s="12" t="s">
        <v>123</v>
      </c>
      <c r="D67" s="14" t="s">
        <v>110</v>
      </c>
      <c r="E67" s="12" t="s">
        <v>33</v>
      </c>
      <c r="F67" s="12">
        <v>0</v>
      </c>
      <c r="G67" s="12">
        <v>7</v>
      </c>
      <c r="H67" s="12" t="s">
        <v>111</v>
      </c>
      <c r="I67" s="12">
        <v>502.05</v>
      </c>
      <c r="J67" s="12">
        <v>197.61</v>
      </c>
      <c r="K67" s="12">
        <v>0</v>
      </c>
      <c r="L67" s="12">
        <v>-1.3</v>
      </c>
      <c r="M67" s="12">
        <v>0</v>
      </c>
      <c r="N67" s="12">
        <v>196.31</v>
      </c>
    </row>
    <row r="68" spans="1:18" ht="15.6" x14ac:dyDescent="0.3">
      <c r="A68" s="12" t="s">
        <v>89</v>
      </c>
      <c r="B68" s="12" t="s">
        <v>164</v>
      </c>
      <c r="C68" s="12" t="s">
        <v>123</v>
      </c>
      <c r="D68" s="14" t="s">
        <v>110</v>
      </c>
      <c r="E68" s="12" t="s">
        <v>34</v>
      </c>
      <c r="F68" s="12">
        <v>0</v>
      </c>
      <c r="G68" s="12">
        <v>13</v>
      </c>
      <c r="H68" s="12" t="s">
        <v>111</v>
      </c>
      <c r="I68" s="12">
        <v>291.07</v>
      </c>
      <c r="J68" s="12">
        <v>294.58</v>
      </c>
      <c r="K68" s="12">
        <v>-1.04</v>
      </c>
      <c r="L68" s="12">
        <v>-1.3</v>
      </c>
      <c r="M68" s="12">
        <v>0</v>
      </c>
      <c r="N68" s="12">
        <v>292.24</v>
      </c>
    </row>
    <row r="69" spans="1:18" ht="15.6" x14ac:dyDescent="0.3">
      <c r="A69" s="12" t="s">
        <v>89</v>
      </c>
      <c r="B69" s="12" t="s">
        <v>164</v>
      </c>
      <c r="C69" s="12" t="s">
        <v>123</v>
      </c>
      <c r="D69" s="14" t="s">
        <v>110</v>
      </c>
      <c r="E69" s="12" t="s">
        <v>35</v>
      </c>
      <c r="F69" s="12">
        <v>0</v>
      </c>
      <c r="G69" s="12">
        <v>24</v>
      </c>
      <c r="H69" s="12" t="s">
        <v>111</v>
      </c>
      <c r="I69" s="12">
        <v>102.81</v>
      </c>
      <c r="J69" s="12">
        <v>11.76</v>
      </c>
      <c r="K69" s="12">
        <v>-28.56</v>
      </c>
      <c r="L69" s="12">
        <v>-1.3</v>
      </c>
      <c r="M69" s="12">
        <v>0</v>
      </c>
      <c r="N69" s="12">
        <v>-18.100000000000001</v>
      </c>
    </row>
    <row r="70" spans="1:18" ht="15.6" x14ac:dyDescent="0.3">
      <c r="A70" s="12" t="s">
        <v>89</v>
      </c>
      <c r="B70" s="12" t="s">
        <v>164</v>
      </c>
      <c r="C70" s="12" t="s">
        <v>123</v>
      </c>
      <c r="D70" s="14" t="s">
        <v>97</v>
      </c>
      <c r="E70" s="14"/>
      <c r="F70" s="14"/>
      <c r="G70" s="14"/>
      <c r="H70" s="14"/>
      <c r="I70" s="14"/>
      <c r="J70" s="18">
        <v>9426.5499999999993</v>
      </c>
      <c r="K70" s="14">
        <v>58.19</v>
      </c>
      <c r="L70" s="14">
        <v>-56.216999999999999</v>
      </c>
      <c r="M70" s="14">
        <v>20.93</v>
      </c>
      <c r="N70" s="18">
        <v>9449.4529999999995</v>
      </c>
    </row>
    <row r="71" spans="1:18" ht="15.6" x14ac:dyDescent="0.3">
      <c r="A71" s="12" t="s">
        <v>89</v>
      </c>
      <c r="B71" s="12" t="s">
        <v>164</v>
      </c>
      <c r="C71" s="12" t="s">
        <v>123</v>
      </c>
      <c r="D71" s="16" t="s">
        <v>112</v>
      </c>
      <c r="E71" s="12" t="s">
        <v>36</v>
      </c>
      <c r="F71" s="12">
        <v>0</v>
      </c>
      <c r="G71" s="12">
        <v>-8</v>
      </c>
      <c r="H71" s="12" t="s">
        <v>111</v>
      </c>
      <c r="I71" s="17">
        <v>4870.5</v>
      </c>
      <c r="J71" s="12">
        <v>-5153.75</v>
      </c>
      <c r="K71" s="12">
        <v>590</v>
      </c>
      <c r="L71" s="12">
        <v>-24</v>
      </c>
      <c r="M71" s="12">
        <v>0</v>
      </c>
      <c r="N71" s="12">
        <v>-4587.75</v>
      </c>
    </row>
    <row r="72" spans="1:18" x14ac:dyDescent="0.3">
      <c r="A72" s="12" t="s">
        <v>89</v>
      </c>
      <c r="B72" s="12" t="s">
        <v>164</v>
      </c>
      <c r="C72" s="12" t="s">
        <v>123</v>
      </c>
      <c r="D72" s="12" t="s">
        <v>97</v>
      </c>
      <c r="J72" s="12">
        <v>-5153.75</v>
      </c>
      <c r="K72" s="12">
        <v>590</v>
      </c>
      <c r="L72" s="12">
        <v>-24</v>
      </c>
      <c r="M72" s="12">
        <v>0</v>
      </c>
      <c r="N72" s="12">
        <v>-4587.75</v>
      </c>
    </row>
    <row r="73" spans="1:18" x14ac:dyDescent="0.3">
      <c r="A73" s="12" t="s">
        <v>89</v>
      </c>
      <c r="B73" s="12" t="s">
        <v>164</v>
      </c>
      <c r="C73" s="12" t="s">
        <v>123</v>
      </c>
      <c r="D73" s="12" t="s">
        <v>113</v>
      </c>
      <c r="E73" s="12" t="s">
        <v>114</v>
      </c>
      <c r="F73" s="12">
        <v>250000</v>
      </c>
      <c r="G73" s="12">
        <v>68923.413</v>
      </c>
      <c r="H73" s="12">
        <v>1</v>
      </c>
      <c r="I73" s="12">
        <v>1</v>
      </c>
      <c r="J73" s="12">
        <v>0</v>
      </c>
      <c r="K73" s="12">
        <v>0</v>
      </c>
      <c r="L73" s="12">
        <v>0</v>
      </c>
      <c r="M73" s="12">
        <v>0</v>
      </c>
      <c r="N73" s="12">
        <v>0</v>
      </c>
    </row>
    <row r="74" spans="1:18" x14ac:dyDescent="0.3">
      <c r="A74" s="12" t="s">
        <v>89</v>
      </c>
      <c r="B74" s="12" t="s">
        <v>164</v>
      </c>
      <c r="C74" s="12" t="s">
        <v>123</v>
      </c>
      <c r="D74" s="12" t="s">
        <v>97</v>
      </c>
      <c r="J74" s="12">
        <v>0</v>
      </c>
      <c r="K74" s="12">
        <v>0</v>
      </c>
      <c r="L74" s="12">
        <v>0</v>
      </c>
      <c r="M74" s="12">
        <v>0</v>
      </c>
      <c r="N74" s="12">
        <v>0</v>
      </c>
    </row>
    <row r="75" spans="1:18" ht="15.6" x14ac:dyDescent="0.3">
      <c r="A75" s="12" t="s">
        <v>89</v>
      </c>
      <c r="B75" s="12" t="s">
        <v>164</v>
      </c>
      <c r="C75" s="12" t="s">
        <v>123</v>
      </c>
      <c r="D75" s="12" t="s">
        <v>115</v>
      </c>
      <c r="J75" s="12">
        <v>4272.8</v>
      </c>
      <c r="K75" s="12">
        <v>648.19000000000005</v>
      </c>
      <c r="L75" s="12">
        <v>-80.216999999999999</v>
      </c>
      <c r="M75" s="12">
        <v>20.93</v>
      </c>
      <c r="N75" s="14">
        <v>4861.7030000000004</v>
      </c>
    </row>
    <row r="76" spans="1:18" ht="15.6" x14ac:dyDescent="0.3">
      <c r="A76" s="12" t="s">
        <v>89</v>
      </c>
      <c r="B76" s="12" t="s">
        <v>164</v>
      </c>
      <c r="C76" s="12" t="s">
        <v>123</v>
      </c>
      <c r="D76" s="12" t="s">
        <v>116</v>
      </c>
      <c r="N76" s="14">
        <v>193.2</v>
      </c>
    </row>
    <row r="77" spans="1:18" ht="15.6" x14ac:dyDescent="0.3">
      <c r="A77" s="12" t="s">
        <v>89</v>
      </c>
      <c r="B77" s="12" t="s">
        <v>164</v>
      </c>
      <c r="C77" s="12" t="s">
        <v>123</v>
      </c>
      <c r="D77" s="12" t="s">
        <v>117</v>
      </c>
      <c r="N77" s="14">
        <v>-57.96</v>
      </c>
    </row>
    <row r="78" spans="1:18" ht="15.6" x14ac:dyDescent="0.3">
      <c r="A78" s="12" t="s">
        <v>89</v>
      </c>
      <c r="B78" s="12" t="s">
        <v>164</v>
      </c>
      <c r="C78" s="12" t="s">
        <v>123</v>
      </c>
      <c r="D78" s="12" t="s">
        <v>118</v>
      </c>
      <c r="N78" s="14">
        <v>-9.66</v>
      </c>
    </row>
    <row r="79" spans="1:18" ht="15.6" x14ac:dyDescent="0.3">
      <c r="A79" s="12" t="s">
        <v>89</v>
      </c>
      <c r="B79" s="12" t="s">
        <v>166</v>
      </c>
      <c r="N79" s="14">
        <v>5045.2430000000004</v>
      </c>
    </row>
    <row r="80" spans="1:18" x14ac:dyDescent="0.3">
      <c r="A80" s="12" t="s">
        <v>89</v>
      </c>
      <c r="B80" s="12" t="s">
        <v>167</v>
      </c>
      <c r="C80" s="12" t="s">
        <v>120</v>
      </c>
      <c r="D80" s="12" t="s">
        <v>100</v>
      </c>
      <c r="E80" s="12" t="s">
        <v>0</v>
      </c>
      <c r="F80" s="12" t="s">
        <v>168</v>
      </c>
      <c r="G80" s="12" t="s">
        <v>169</v>
      </c>
      <c r="H80" s="12" t="s">
        <v>170</v>
      </c>
      <c r="I80" s="12" t="s">
        <v>171</v>
      </c>
      <c r="J80" s="12" t="s">
        <v>172</v>
      </c>
      <c r="K80" s="12" t="s">
        <v>173</v>
      </c>
      <c r="L80" s="12" t="s">
        <v>174</v>
      </c>
      <c r="M80" s="12" t="s">
        <v>175</v>
      </c>
      <c r="N80" s="12" t="s">
        <v>176</v>
      </c>
      <c r="O80" s="12" t="s">
        <v>177</v>
      </c>
      <c r="P80" s="12" t="s">
        <v>178</v>
      </c>
      <c r="Q80" s="12" t="s">
        <v>97</v>
      </c>
      <c r="R80" s="12" t="s">
        <v>165</v>
      </c>
    </row>
    <row r="81" spans="1:17" x14ac:dyDescent="0.3">
      <c r="A81" s="12" t="s">
        <v>89</v>
      </c>
      <c r="B81" s="12" t="s">
        <v>167</v>
      </c>
      <c r="C81" s="12" t="s">
        <v>123</v>
      </c>
      <c r="D81" s="12" t="s">
        <v>110</v>
      </c>
      <c r="E81" s="12" t="s">
        <v>2</v>
      </c>
      <c r="F81" s="12">
        <v>0</v>
      </c>
      <c r="G81" s="12">
        <v>346.24</v>
      </c>
      <c r="H81" s="12">
        <v>0</v>
      </c>
      <c r="I81" s="12">
        <v>0</v>
      </c>
      <c r="J81" s="12">
        <v>0</v>
      </c>
      <c r="K81" s="12">
        <v>346.24</v>
      </c>
      <c r="L81" s="12">
        <v>25.2</v>
      </c>
      <c r="M81" s="12">
        <v>0</v>
      </c>
      <c r="N81" s="12">
        <v>0</v>
      </c>
      <c r="O81" s="12">
        <v>0</v>
      </c>
      <c r="P81" s="12">
        <v>25.2</v>
      </c>
      <c r="Q81" s="12">
        <v>371.44</v>
      </c>
    </row>
    <row r="82" spans="1:17" x14ac:dyDescent="0.3">
      <c r="A82" s="12" t="s">
        <v>89</v>
      </c>
      <c r="B82" s="12" t="s">
        <v>167</v>
      </c>
      <c r="C82" s="12" t="s">
        <v>123</v>
      </c>
      <c r="D82" s="12" t="s">
        <v>110</v>
      </c>
      <c r="E82" s="12" t="s">
        <v>4</v>
      </c>
      <c r="F82" s="12">
        <v>0</v>
      </c>
      <c r="G82" s="12">
        <v>0</v>
      </c>
      <c r="H82" s="12">
        <v>0</v>
      </c>
      <c r="I82" s="12">
        <v>0</v>
      </c>
      <c r="J82" s="12">
        <v>0</v>
      </c>
      <c r="K82" s="12">
        <v>0</v>
      </c>
      <c r="L82" s="12">
        <v>0</v>
      </c>
      <c r="M82" s="12">
        <v>-218.98</v>
      </c>
      <c r="N82" s="12">
        <v>0</v>
      </c>
      <c r="O82" s="12">
        <v>0</v>
      </c>
      <c r="P82" s="12">
        <v>-218.98</v>
      </c>
      <c r="Q82" s="12">
        <v>-218.98</v>
      </c>
    </row>
    <row r="83" spans="1:17" x14ac:dyDescent="0.3">
      <c r="A83" s="12" t="s">
        <v>89</v>
      </c>
      <c r="B83" s="12" t="s">
        <v>167</v>
      </c>
      <c r="C83" s="12" t="s">
        <v>123</v>
      </c>
      <c r="D83" s="12" t="s">
        <v>110</v>
      </c>
      <c r="E83" s="12" t="s">
        <v>5</v>
      </c>
      <c r="F83" s="12">
        <v>0</v>
      </c>
      <c r="G83" s="12">
        <v>0</v>
      </c>
      <c r="H83" s="12">
        <v>0</v>
      </c>
      <c r="I83" s="12">
        <v>0</v>
      </c>
      <c r="J83" s="12">
        <v>0</v>
      </c>
      <c r="K83" s="12">
        <v>0</v>
      </c>
      <c r="L83" s="12">
        <v>1033.5</v>
      </c>
      <c r="M83" s="12">
        <v>0</v>
      </c>
      <c r="N83" s="12">
        <v>0</v>
      </c>
      <c r="O83" s="12">
        <v>0</v>
      </c>
      <c r="P83" s="12">
        <v>1033.5</v>
      </c>
      <c r="Q83" s="12">
        <v>1033.5</v>
      </c>
    </row>
    <row r="84" spans="1:17" x14ac:dyDescent="0.3">
      <c r="A84" s="12" t="s">
        <v>89</v>
      </c>
      <c r="B84" s="12" t="s">
        <v>167</v>
      </c>
      <c r="C84" s="12" t="s">
        <v>123</v>
      </c>
      <c r="D84" s="12" t="s">
        <v>110</v>
      </c>
      <c r="E84" s="12" t="s">
        <v>6</v>
      </c>
      <c r="F84" s="12">
        <v>0</v>
      </c>
      <c r="G84" s="12">
        <v>0</v>
      </c>
      <c r="H84" s="12">
        <v>0</v>
      </c>
      <c r="I84" s="12">
        <v>0</v>
      </c>
      <c r="J84" s="12">
        <v>0</v>
      </c>
      <c r="K84" s="12">
        <v>0</v>
      </c>
      <c r="L84" s="12">
        <v>918.16</v>
      </c>
      <c r="M84" s="12">
        <v>0</v>
      </c>
      <c r="N84" s="12">
        <v>0</v>
      </c>
      <c r="O84" s="12">
        <v>0</v>
      </c>
      <c r="P84" s="12">
        <v>918.16</v>
      </c>
      <c r="Q84" s="12">
        <v>918.16</v>
      </c>
    </row>
    <row r="85" spans="1:17" x14ac:dyDescent="0.3">
      <c r="A85" s="12" t="s">
        <v>89</v>
      </c>
      <c r="B85" s="12" t="s">
        <v>167</v>
      </c>
      <c r="C85" s="12" t="s">
        <v>123</v>
      </c>
      <c r="D85" s="12" t="s">
        <v>110</v>
      </c>
      <c r="E85" s="12" t="s">
        <v>7</v>
      </c>
      <c r="F85" s="12">
        <v>0</v>
      </c>
      <c r="G85" s="12">
        <v>0</v>
      </c>
      <c r="H85" s="12">
        <v>0</v>
      </c>
      <c r="I85" s="12">
        <v>0</v>
      </c>
      <c r="J85" s="12">
        <v>0</v>
      </c>
      <c r="K85" s="12">
        <v>0</v>
      </c>
      <c r="L85" s="12">
        <v>849.62</v>
      </c>
      <c r="M85" s="12">
        <v>0</v>
      </c>
      <c r="N85" s="12">
        <v>0</v>
      </c>
      <c r="O85" s="12">
        <v>0</v>
      </c>
      <c r="P85" s="12">
        <v>849.62</v>
      </c>
      <c r="Q85" s="12">
        <v>849.62</v>
      </c>
    </row>
    <row r="86" spans="1:17" x14ac:dyDescent="0.3">
      <c r="A86" s="12" t="s">
        <v>89</v>
      </c>
      <c r="B86" s="12" t="s">
        <v>167</v>
      </c>
      <c r="C86" s="12" t="s">
        <v>123</v>
      </c>
      <c r="D86" s="12" t="s">
        <v>110</v>
      </c>
      <c r="E86" s="12" t="s">
        <v>8</v>
      </c>
      <c r="F86" s="12">
        <v>0</v>
      </c>
      <c r="G86" s="12">
        <v>0</v>
      </c>
      <c r="H86" s="12">
        <v>0</v>
      </c>
      <c r="I86" s="12">
        <v>0</v>
      </c>
      <c r="J86" s="12">
        <v>0</v>
      </c>
      <c r="K86" s="12">
        <v>0</v>
      </c>
      <c r="L86" s="12">
        <v>423.423</v>
      </c>
      <c r="M86" s="12">
        <v>0</v>
      </c>
      <c r="N86" s="12">
        <v>0</v>
      </c>
      <c r="O86" s="12">
        <v>0</v>
      </c>
      <c r="P86" s="12">
        <v>423.423</v>
      </c>
      <c r="Q86" s="12">
        <v>423.423</v>
      </c>
    </row>
    <row r="87" spans="1:17" x14ac:dyDescent="0.3">
      <c r="A87" s="12" t="s">
        <v>89</v>
      </c>
      <c r="B87" s="12" t="s">
        <v>167</v>
      </c>
      <c r="C87" s="12" t="s">
        <v>123</v>
      </c>
      <c r="D87" s="12" t="s">
        <v>110</v>
      </c>
      <c r="E87" s="12" t="s">
        <v>9</v>
      </c>
      <c r="F87" s="12">
        <v>0</v>
      </c>
      <c r="G87" s="12">
        <v>0</v>
      </c>
      <c r="H87" s="12">
        <v>0</v>
      </c>
      <c r="I87" s="12">
        <v>0</v>
      </c>
      <c r="J87" s="12">
        <v>0</v>
      </c>
      <c r="K87" s="12">
        <v>0</v>
      </c>
      <c r="L87" s="12">
        <v>120.25</v>
      </c>
      <c r="M87" s="12">
        <v>0</v>
      </c>
      <c r="N87" s="12">
        <v>0</v>
      </c>
      <c r="O87" s="12">
        <v>0</v>
      </c>
      <c r="P87" s="12">
        <v>120.25</v>
      </c>
      <c r="Q87" s="12">
        <v>120.25</v>
      </c>
    </row>
    <row r="88" spans="1:17" x14ac:dyDescent="0.3">
      <c r="A88" s="12" t="s">
        <v>89</v>
      </c>
      <c r="B88" s="12" t="s">
        <v>167</v>
      </c>
      <c r="C88" s="12" t="s">
        <v>123</v>
      </c>
      <c r="D88" s="12" t="s">
        <v>110</v>
      </c>
      <c r="E88" s="12" t="s">
        <v>3</v>
      </c>
      <c r="F88" s="12">
        <v>0</v>
      </c>
      <c r="G88" s="12">
        <v>0</v>
      </c>
      <c r="H88" s="12">
        <v>0</v>
      </c>
      <c r="I88" s="12">
        <v>0</v>
      </c>
      <c r="J88" s="12">
        <v>0</v>
      </c>
      <c r="K88" s="12">
        <v>0</v>
      </c>
      <c r="L88" s="12">
        <v>706.14</v>
      </c>
      <c r="M88" s="12">
        <v>0</v>
      </c>
      <c r="N88" s="12">
        <v>0</v>
      </c>
      <c r="O88" s="12">
        <v>0</v>
      </c>
      <c r="P88" s="12">
        <v>706.14</v>
      </c>
      <c r="Q88" s="12">
        <v>706.14</v>
      </c>
    </row>
    <row r="89" spans="1:17" x14ac:dyDescent="0.3">
      <c r="A89" s="12" t="s">
        <v>89</v>
      </c>
      <c r="B89" s="12" t="s">
        <v>167</v>
      </c>
      <c r="C89" s="12" t="s">
        <v>123</v>
      </c>
      <c r="D89" s="12" t="s">
        <v>110</v>
      </c>
      <c r="E89" s="12" t="s">
        <v>10</v>
      </c>
      <c r="F89" s="12">
        <v>0</v>
      </c>
      <c r="G89" s="12">
        <v>0</v>
      </c>
      <c r="H89" s="12">
        <v>-484.6</v>
      </c>
      <c r="I89" s="12">
        <v>0</v>
      </c>
      <c r="J89" s="12">
        <v>0</v>
      </c>
      <c r="K89" s="12">
        <v>-484.6</v>
      </c>
      <c r="L89" s="12">
        <v>0</v>
      </c>
      <c r="M89" s="12">
        <v>0</v>
      </c>
      <c r="N89" s="12">
        <v>0</v>
      </c>
      <c r="O89" s="12">
        <v>0</v>
      </c>
      <c r="P89" s="12">
        <v>0</v>
      </c>
      <c r="Q89" s="12">
        <v>-484.6</v>
      </c>
    </row>
    <row r="90" spans="1:17" x14ac:dyDescent="0.3">
      <c r="A90" s="12" t="s">
        <v>89</v>
      </c>
      <c r="B90" t="s">
        <v>167</v>
      </c>
      <c r="C90" s="12" t="s">
        <v>123</v>
      </c>
      <c r="D90" s="12" t="s">
        <v>110</v>
      </c>
      <c r="E90" s="12" t="s">
        <v>11</v>
      </c>
      <c r="F90" s="12">
        <v>0</v>
      </c>
      <c r="G90" s="12">
        <v>0</v>
      </c>
      <c r="H90" s="12">
        <v>0</v>
      </c>
      <c r="I90" s="12">
        <v>0</v>
      </c>
      <c r="J90" s="12">
        <v>0</v>
      </c>
      <c r="K90" s="12">
        <v>0</v>
      </c>
      <c r="L90" s="12">
        <v>568.61</v>
      </c>
      <c r="M90" s="12">
        <v>0</v>
      </c>
      <c r="N90" s="12">
        <v>0</v>
      </c>
      <c r="O90" s="12">
        <v>0</v>
      </c>
      <c r="P90" s="12">
        <v>568.61</v>
      </c>
      <c r="Q90" s="12">
        <v>568.61</v>
      </c>
    </row>
    <row r="91" spans="1:17" x14ac:dyDescent="0.3">
      <c r="A91" s="12" t="s">
        <v>89</v>
      </c>
      <c r="B91" s="12" t="s">
        <v>167</v>
      </c>
      <c r="C91" s="12" t="s">
        <v>123</v>
      </c>
      <c r="D91" s="12" t="s">
        <v>110</v>
      </c>
      <c r="E91" s="12" t="s">
        <v>12</v>
      </c>
      <c r="F91" s="12">
        <v>0</v>
      </c>
      <c r="G91" s="12">
        <v>0</v>
      </c>
      <c r="H91" s="12">
        <v>-880.4</v>
      </c>
      <c r="I91" s="12">
        <v>0</v>
      </c>
      <c r="J91" s="12">
        <v>0</v>
      </c>
      <c r="K91" s="12">
        <v>-880.4</v>
      </c>
      <c r="L91" s="12">
        <v>0</v>
      </c>
      <c r="M91" s="12">
        <v>0</v>
      </c>
      <c r="N91" s="12">
        <v>0</v>
      </c>
      <c r="O91" s="12">
        <v>0</v>
      </c>
      <c r="P91" s="12">
        <v>0</v>
      </c>
      <c r="Q91" s="12">
        <v>-880.4</v>
      </c>
    </row>
    <row r="92" spans="1:17" x14ac:dyDescent="0.3">
      <c r="A92" s="12" t="s">
        <v>89</v>
      </c>
      <c r="B92" s="12" t="s">
        <v>167</v>
      </c>
      <c r="C92" s="12" t="s">
        <v>123</v>
      </c>
      <c r="D92" s="12" t="s">
        <v>110</v>
      </c>
      <c r="E92" s="12" t="s">
        <v>13</v>
      </c>
      <c r="F92" s="12">
        <v>0</v>
      </c>
      <c r="G92" s="12">
        <v>0</v>
      </c>
      <c r="H92" s="12">
        <v>0</v>
      </c>
      <c r="I92" s="12">
        <v>0</v>
      </c>
      <c r="J92" s="12">
        <v>0</v>
      </c>
      <c r="K92" s="12">
        <v>0</v>
      </c>
      <c r="L92" s="12">
        <v>0</v>
      </c>
      <c r="M92" s="12">
        <v>-117.04</v>
      </c>
      <c r="N92" s="12">
        <v>0</v>
      </c>
      <c r="O92" s="12">
        <v>0</v>
      </c>
      <c r="P92" s="12">
        <v>-117.04</v>
      </c>
      <c r="Q92" s="12">
        <v>-117.04</v>
      </c>
    </row>
    <row r="93" spans="1:17" x14ac:dyDescent="0.3">
      <c r="A93" s="12" t="s">
        <v>89</v>
      </c>
      <c r="B93" s="12" t="s">
        <v>167</v>
      </c>
      <c r="C93" s="12" t="s">
        <v>123</v>
      </c>
      <c r="D93" s="12" t="s">
        <v>110</v>
      </c>
      <c r="E93" s="12" t="s">
        <v>14</v>
      </c>
      <c r="F93" s="12">
        <v>0</v>
      </c>
      <c r="G93" s="12">
        <v>65.56</v>
      </c>
      <c r="H93" s="12">
        <v>0</v>
      </c>
      <c r="I93" s="12">
        <v>0</v>
      </c>
      <c r="J93" s="12">
        <v>0</v>
      </c>
      <c r="K93" s="12">
        <v>65.56</v>
      </c>
      <c r="L93" s="12">
        <v>0</v>
      </c>
      <c r="M93" s="12">
        <v>0</v>
      </c>
      <c r="N93" s="12">
        <v>0</v>
      </c>
      <c r="O93" s="12">
        <v>0</v>
      </c>
      <c r="P93" s="12">
        <v>0</v>
      </c>
      <c r="Q93" s="12">
        <v>65.56</v>
      </c>
    </row>
    <row r="94" spans="1:17" x14ac:dyDescent="0.3">
      <c r="A94" s="12" t="s">
        <v>89</v>
      </c>
      <c r="B94" s="12" t="s">
        <v>167</v>
      </c>
      <c r="C94" s="12" t="s">
        <v>123</v>
      </c>
      <c r="D94" s="12" t="s">
        <v>110</v>
      </c>
      <c r="E94" s="12" t="s">
        <v>15</v>
      </c>
      <c r="F94" s="12">
        <v>0</v>
      </c>
      <c r="G94" s="12">
        <v>18.14</v>
      </c>
      <c r="H94" s="12">
        <v>0</v>
      </c>
      <c r="I94" s="12">
        <v>0</v>
      </c>
      <c r="J94" s="12">
        <v>0</v>
      </c>
      <c r="K94" s="12">
        <v>18.14</v>
      </c>
      <c r="L94" s="12">
        <v>0</v>
      </c>
      <c r="M94" s="12">
        <v>0</v>
      </c>
      <c r="N94" s="12">
        <v>0</v>
      </c>
      <c r="O94" s="12">
        <v>0</v>
      </c>
      <c r="P94" s="12">
        <v>0</v>
      </c>
      <c r="Q94" s="12">
        <v>18.14</v>
      </c>
    </row>
    <row r="95" spans="1:17" x14ac:dyDescent="0.3">
      <c r="A95" s="12" t="s">
        <v>89</v>
      </c>
      <c r="B95" s="12" t="s">
        <v>167</v>
      </c>
      <c r="C95" s="12" t="s">
        <v>123</v>
      </c>
      <c r="D95" s="12" t="s">
        <v>110</v>
      </c>
      <c r="E95" s="12" t="s">
        <v>16</v>
      </c>
      <c r="F95" s="12">
        <v>0</v>
      </c>
      <c r="G95" s="12">
        <v>0</v>
      </c>
      <c r="H95" s="12">
        <v>0</v>
      </c>
      <c r="I95" s="12">
        <v>0</v>
      </c>
      <c r="J95" s="12">
        <v>0</v>
      </c>
      <c r="K95" s="12">
        <v>0</v>
      </c>
      <c r="L95" s="12">
        <v>0</v>
      </c>
      <c r="M95" s="12">
        <v>-226.5</v>
      </c>
      <c r="N95" s="12">
        <v>0</v>
      </c>
      <c r="O95" s="12">
        <v>0</v>
      </c>
      <c r="P95" s="12">
        <v>-226.5</v>
      </c>
      <c r="Q95" s="12">
        <v>-226.5</v>
      </c>
    </row>
    <row r="96" spans="1:17" x14ac:dyDescent="0.3">
      <c r="A96" s="12" t="s">
        <v>89</v>
      </c>
      <c r="B96" s="12" t="s">
        <v>167</v>
      </c>
      <c r="C96" s="12" t="s">
        <v>123</v>
      </c>
      <c r="D96" s="12" t="s">
        <v>110</v>
      </c>
      <c r="E96" s="12" t="s">
        <v>17</v>
      </c>
      <c r="F96" s="12">
        <v>0</v>
      </c>
      <c r="G96" s="12">
        <v>0</v>
      </c>
      <c r="H96" s="12">
        <v>0</v>
      </c>
      <c r="I96" s="12">
        <v>0</v>
      </c>
      <c r="J96" s="12">
        <v>0</v>
      </c>
      <c r="K96" s="12">
        <v>0</v>
      </c>
      <c r="L96" s="12">
        <v>10</v>
      </c>
      <c r="M96" s="12">
        <v>-0.7</v>
      </c>
      <c r="N96" s="12">
        <v>0</v>
      </c>
      <c r="O96" s="12">
        <v>0</v>
      </c>
      <c r="P96" s="12">
        <v>9.3000000000000007</v>
      </c>
      <c r="Q96" s="12">
        <v>9.3000000000000007</v>
      </c>
    </row>
    <row r="97" spans="1:17" x14ac:dyDescent="0.3">
      <c r="A97" s="12" t="s">
        <v>89</v>
      </c>
      <c r="B97" s="12" t="s">
        <v>167</v>
      </c>
      <c r="C97" s="12" t="s">
        <v>123</v>
      </c>
      <c r="D97" s="12" t="s">
        <v>110</v>
      </c>
      <c r="E97" s="12" t="s">
        <v>18</v>
      </c>
      <c r="F97" s="12">
        <v>0</v>
      </c>
      <c r="G97" s="12">
        <v>0</v>
      </c>
      <c r="H97" s="12">
        <v>0</v>
      </c>
      <c r="I97" s="12">
        <v>0</v>
      </c>
      <c r="J97" s="12">
        <v>0</v>
      </c>
      <c r="K97" s="12">
        <v>0</v>
      </c>
      <c r="L97" s="12">
        <v>105.94</v>
      </c>
      <c r="M97" s="12">
        <v>0</v>
      </c>
      <c r="N97" s="12">
        <v>0</v>
      </c>
      <c r="O97" s="12">
        <v>0</v>
      </c>
      <c r="P97" s="12">
        <v>105.94</v>
      </c>
      <c r="Q97" s="12">
        <v>105.94</v>
      </c>
    </row>
    <row r="98" spans="1:17" x14ac:dyDescent="0.3">
      <c r="A98" s="12" t="s">
        <v>89</v>
      </c>
      <c r="B98" s="12" t="s">
        <v>167</v>
      </c>
      <c r="C98" s="12" t="s">
        <v>123</v>
      </c>
      <c r="D98" s="12" t="s">
        <v>110</v>
      </c>
      <c r="E98" s="12" t="s">
        <v>19</v>
      </c>
      <c r="F98" s="12">
        <v>0</v>
      </c>
      <c r="G98" s="12">
        <v>0</v>
      </c>
      <c r="H98" s="12">
        <v>0</v>
      </c>
      <c r="I98" s="12">
        <v>0</v>
      </c>
      <c r="J98" s="12">
        <v>0</v>
      </c>
      <c r="K98" s="12">
        <v>0</v>
      </c>
      <c r="L98" s="12">
        <v>108.91</v>
      </c>
      <c r="M98" s="12">
        <v>0</v>
      </c>
      <c r="N98" s="12">
        <v>0</v>
      </c>
      <c r="O98" s="12">
        <v>0</v>
      </c>
      <c r="P98" s="12">
        <v>108.91</v>
      </c>
      <c r="Q98" s="12">
        <v>108.91</v>
      </c>
    </row>
    <row r="99" spans="1:17" x14ac:dyDescent="0.3">
      <c r="A99" s="12" t="s">
        <v>89</v>
      </c>
      <c r="B99" s="12" t="s">
        <v>167</v>
      </c>
      <c r="C99" s="12" t="s">
        <v>123</v>
      </c>
      <c r="D99" s="12" t="s">
        <v>110</v>
      </c>
      <c r="E99" s="12" t="s">
        <v>20</v>
      </c>
      <c r="F99" s="12">
        <v>0</v>
      </c>
      <c r="G99" s="12">
        <v>0</v>
      </c>
      <c r="H99" s="12">
        <v>0</v>
      </c>
      <c r="I99" s="12">
        <v>0</v>
      </c>
      <c r="J99" s="12">
        <v>0</v>
      </c>
      <c r="K99" s="12">
        <v>0</v>
      </c>
      <c r="L99" s="12">
        <v>152.59</v>
      </c>
      <c r="M99" s="12">
        <v>0</v>
      </c>
      <c r="N99" s="12">
        <v>0</v>
      </c>
      <c r="O99" s="12">
        <v>0</v>
      </c>
      <c r="P99" s="12">
        <v>152.59</v>
      </c>
      <c r="Q99" s="12">
        <v>152.59</v>
      </c>
    </row>
    <row r="100" spans="1:17" x14ac:dyDescent="0.3">
      <c r="A100" s="12" t="s">
        <v>89</v>
      </c>
      <c r="B100" s="12" t="s">
        <v>167</v>
      </c>
      <c r="C100" s="12" t="s">
        <v>123</v>
      </c>
      <c r="D100" s="12" t="s">
        <v>110</v>
      </c>
      <c r="E100" s="12" t="s">
        <v>21</v>
      </c>
      <c r="F100" s="12">
        <v>0</v>
      </c>
      <c r="G100" s="12">
        <v>0</v>
      </c>
      <c r="H100" s="12">
        <v>0</v>
      </c>
      <c r="I100" s="12">
        <v>0</v>
      </c>
      <c r="J100" s="12">
        <v>0</v>
      </c>
      <c r="K100" s="12">
        <v>0</v>
      </c>
      <c r="L100" s="12">
        <v>316.10000000000002</v>
      </c>
      <c r="M100" s="12">
        <v>0</v>
      </c>
      <c r="N100" s="12">
        <v>0</v>
      </c>
      <c r="O100" s="12">
        <v>0</v>
      </c>
      <c r="P100" s="12">
        <v>316.10000000000002</v>
      </c>
      <c r="Q100" s="12">
        <v>316.10000000000002</v>
      </c>
    </row>
    <row r="101" spans="1:17" x14ac:dyDescent="0.3">
      <c r="A101" s="12" t="s">
        <v>89</v>
      </c>
      <c r="B101" s="12" t="s">
        <v>167</v>
      </c>
      <c r="C101" s="12" t="s">
        <v>123</v>
      </c>
      <c r="D101" s="12" t="s">
        <v>110</v>
      </c>
      <c r="E101" s="12" t="s">
        <v>22</v>
      </c>
      <c r="F101" s="12">
        <v>0</v>
      </c>
      <c r="G101" s="12">
        <v>0</v>
      </c>
      <c r="H101" s="12">
        <v>0</v>
      </c>
      <c r="I101" s="12">
        <v>0</v>
      </c>
      <c r="J101" s="12">
        <v>0</v>
      </c>
      <c r="K101" s="12">
        <v>0</v>
      </c>
      <c r="L101" s="12">
        <v>215.84</v>
      </c>
      <c r="M101" s="12">
        <v>0</v>
      </c>
      <c r="N101" s="12">
        <v>0</v>
      </c>
      <c r="O101" s="12">
        <v>0</v>
      </c>
      <c r="P101" s="12">
        <v>215.84</v>
      </c>
      <c r="Q101" s="12">
        <v>215.84</v>
      </c>
    </row>
    <row r="102" spans="1:17" x14ac:dyDescent="0.3">
      <c r="A102" s="12" t="s">
        <v>89</v>
      </c>
      <c r="B102" s="12" t="s">
        <v>167</v>
      </c>
      <c r="C102" s="12" t="s">
        <v>123</v>
      </c>
      <c r="D102" s="12" t="s">
        <v>110</v>
      </c>
      <c r="E102" s="12" t="s">
        <v>23</v>
      </c>
      <c r="F102" s="12">
        <v>0</v>
      </c>
      <c r="G102" s="12">
        <v>0</v>
      </c>
      <c r="H102" s="12">
        <v>0</v>
      </c>
      <c r="I102" s="12">
        <v>0</v>
      </c>
      <c r="J102" s="12">
        <v>0</v>
      </c>
      <c r="K102" s="12">
        <v>0</v>
      </c>
      <c r="L102" s="12">
        <v>537.67999999999995</v>
      </c>
      <c r="M102" s="12">
        <v>0</v>
      </c>
      <c r="N102" s="12">
        <v>0</v>
      </c>
      <c r="O102" s="12">
        <v>0</v>
      </c>
      <c r="P102" s="12">
        <v>537.67999999999995</v>
      </c>
      <c r="Q102" s="12">
        <v>537.67999999999995</v>
      </c>
    </row>
    <row r="103" spans="1:17" x14ac:dyDescent="0.3">
      <c r="A103" s="12" t="s">
        <v>89</v>
      </c>
      <c r="B103" s="12" t="s">
        <v>167</v>
      </c>
      <c r="C103" s="12" t="s">
        <v>123</v>
      </c>
      <c r="D103" s="12" t="s">
        <v>110</v>
      </c>
      <c r="E103" s="12" t="s">
        <v>24</v>
      </c>
      <c r="F103" s="12">
        <v>0</v>
      </c>
      <c r="G103" s="12">
        <v>0</v>
      </c>
      <c r="H103" s="12">
        <v>0</v>
      </c>
      <c r="I103" s="12">
        <v>0</v>
      </c>
      <c r="J103" s="12">
        <v>0</v>
      </c>
      <c r="K103" s="12">
        <v>0</v>
      </c>
      <c r="L103" s="12">
        <v>241.25</v>
      </c>
      <c r="M103" s="12">
        <v>0</v>
      </c>
      <c r="N103" s="12">
        <v>0</v>
      </c>
      <c r="O103" s="12">
        <v>0</v>
      </c>
      <c r="P103" s="12">
        <v>241.25</v>
      </c>
      <c r="Q103" s="12">
        <v>241.25</v>
      </c>
    </row>
    <row r="104" spans="1:17" x14ac:dyDescent="0.3">
      <c r="A104" s="12" t="s">
        <v>89</v>
      </c>
      <c r="B104" s="12" t="s">
        <v>167</v>
      </c>
      <c r="C104" s="12" t="s">
        <v>123</v>
      </c>
      <c r="D104" s="12" t="s">
        <v>110</v>
      </c>
      <c r="E104" s="12" t="s">
        <v>25</v>
      </c>
      <c r="F104" s="12">
        <v>0</v>
      </c>
      <c r="G104" s="12">
        <v>0</v>
      </c>
      <c r="H104" s="12">
        <v>-76.099999999999994</v>
      </c>
      <c r="I104" s="12">
        <v>0</v>
      </c>
      <c r="J104" s="12">
        <v>0</v>
      </c>
      <c r="K104" s="12">
        <v>-76.099999999999994</v>
      </c>
      <c r="L104" s="12">
        <v>0</v>
      </c>
      <c r="M104" s="12">
        <v>-195.7</v>
      </c>
      <c r="N104" s="12">
        <v>0</v>
      </c>
      <c r="O104" s="12">
        <v>0</v>
      </c>
      <c r="P104" s="12">
        <v>-195.7</v>
      </c>
      <c r="Q104" s="12">
        <v>-271.8</v>
      </c>
    </row>
    <row r="105" spans="1:17" x14ac:dyDescent="0.3">
      <c r="A105" s="12" t="s">
        <v>89</v>
      </c>
      <c r="B105" s="12" t="s">
        <v>167</v>
      </c>
      <c r="C105" s="12" t="s">
        <v>123</v>
      </c>
      <c r="D105" s="12" t="s">
        <v>110</v>
      </c>
      <c r="E105" s="12" t="s">
        <v>26</v>
      </c>
      <c r="F105" s="12">
        <v>0</v>
      </c>
      <c r="G105" s="12">
        <v>0</v>
      </c>
      <c r="H105" s="12">
        <v>0</v>
      </c>
      <c r="I105" s="12">
        <v>0</v>
      </c>
      <c r="J105" s="12">
        <v>0</v>
      </c>
      <c r="K105" s="12">
        <v>0</v>
      </c>
      <c r="L105" s="12">
        <v>146.30000000000001</v>
      </c>
      <c r="M105" s="12">
        <v>0</v>
      </c>
      <c r="N105" s="12">
        <v>0</v>
      </c>
      <c r="O105" s="12">
        <v>0</v>
      </c>
      <c r="P105" s="12">
        <v>146.30000000000001</v>
      </c>
      <c r="Q105" s="12">
        <v>146.30000000000001</v>
      </c>
    </row>
    <row r="106" spans="1:17" x14ac:dyDescent="0.3">
      <c r="A106" s="12" t="s">
        <v>89</v>
      </c>
      <c r="B106" s="12" t="s">
        <v>167</v>
      </c>
      <c r="C106" s="12" t="s">
        <v>123</v>
      </c>
      <c r="D106" s="12" t="s">
        <v>110</v>
      </c>
      <c r="E106" s="12" t="s">
        <v>27</v>
      </c>
      <c r="F106" s="12">
        <v>0</v>
      </c>
      <c r="G106" s="12">
        <v>0</v>
      </c>
      <c r="H106" s="12">
        <v>0</v>
      </c>
      <c r="I106" s="12">
        <v>0</v>
      </c>
      <c r="J106" s="12">
        <v>0</v>
      </c>
      <c r="K106" s="12">
        <v>0</v>
      </c>
      <c r="L106" s="12">
        <v>1002.5</v>
      </c>
      <c r="M106" s="12">
        <v>0</v>
      </c>
      <c r="N106" s="12">
        <v>0</v>
      </c>
      <c r="O106" s="12">
        <v>0</v>
      </c>
      <c r="P106" s="12">
        <v>1002.5</v>
      </c>
      <c r="Q106" s="12">
        <v>1002.5</v>
      </c>
    </row>
    <row r="107" spans="1:17" x14ac:dyDescent="0.3">
      <c r="A107" s="12" t="s">
        <v>89</v>
      </c>
      <c r="B107" s="12" t="s">
        <v>167</v>
      </c>
      <c r="C107" s="12" t="s">
        <v>123</v>
      </c>
      <c r="D107" s="12" t="s">
        <v>110</v>
      </c>
      <c r="E107" s="12" t="s">
        <v>28</v>
      </c>
      <c r="F107" s="12">
        <v>0</v>
      </c>
      <c r="G107" s="12">
        <v>0</v>
      </c>
      <c r="H107" s="12">
        <v>0</v>
      </c>
      <c r="I107" s="12">
        <v>0</v>
      </c>
      <c r="J107" s="12">
        <v>0</v>
      </c>
      <c r="K107" s="12">
        <v>0</v>
      </c>
      <c r="L107" s="12">
        <v>1475.56</v>
      </c>
      <c r="M107" s="12">
        <v>0</v>
      </c>
      <c r="N107" s="12">
        <v>0</v>
      </c>
      <c r="O107" s="12">
        <v>0</v>
      </c>
      <c r="P107" s="12">
        <v>1475.56</v>
      </c>
      <c r="Q107" s="12">
        <v>1475.56</v>
      </c>
    </row>
    <row r="108" spans="1:17" x14ac:dyDescent="0.3">
      <c r="A108" s="12" t="s">
        <v>89</v>
      </c>
      <c r="B108" s="12" t="s">
        <v>167</v>
      </c>
      <c r="C108" s="12" t="s">
        <v>123</v>
      </c>
      <c r="D108" s="12" t="s">
        <v>110</v>
      </c>
      <c r="E108" s="12" t="s">
        <v>29</v>
      </c>
      <c r="F108" s="12">
        <v>0</v>
      </c>
      <c r="G108" s="12">
        <v>0</v>
      </c>
      <c r="H108" s="12">
        <v>0</v>
      </c>
      <c r="I108" s="12">
        <v>0</v>
      </c>
      <c r="J108" s="12">
        <v>0</v>
      </c>
      <c r="K108" s="12">
        <v>0</v>
      </c>
      <c r="L108" s="12">
        <v>648.14</v>
      </c>
      <c r="M108" s="12">
        <v>0</v>
      </c>
      <c r="N108" s="12">
        <v>0</v>
      </c>
      <c r="O108" s="12">
        <v>0</v>
      </c>
      <c r="P108" s="12">
        <v>648.14</v>
      </c>
      <c r="Q108" s="12">
        <v>648.14</v>
      </c>
    </row>
    <row r="109" spans="1:17" x14ac:dyDescent="0.3">
      <c r="A109" s="12" t="s">
        <v>89</v>
      </c>
      <c r="B109" s="12" t="s">
        <v>167</v>
      </c>
      <c r="C109" s="12" t="s">
        <v>123</v>
      </c>
      <c r="D109" s="12" t="s">
        <v>110</v>
      </c>
      <c r="E109" s="12" t="s">
        <v>30</v>
      </c>
      <c r="F109" s="12">
        <v>0</v>
      </c>
      <c r="G109" s="12">
        <v>0</v>
      </c>
      <c r="H109" s="12">
        <v>0</v>
      </c>
      <c r="I109" s="12">
        <v>0</v>
      </c>
      <c r="J109" s="12">
        <v>0</v>
      </c>
      <c r="K109" s="12">
        <v>0</v>
      </c>
      <c r="L109" s="12">
        <v>132.22</v>
      </c>
      <c r="M109" s="12">
        <v>0</v>
      </c>
      <c r="N109" s="12">
        <v>0</v>
      </c>
      <c r="O109" s="12">
        <v>0</v>
      </c>
      <c r="P109" s="12">
        <v>132.22</v>
      </c>
      <c r="Q109" s="12">
        <v>132.22</v>
      </c>
    </row>
    <row r="110" spans="1:17" x14ac:dyDescent="0.3">
      <c r="A110" s="12" t="s">
        <v>89</v>
      </c>
      <c r="B110" s="12" t="s">
        <v>167</v>
      </c>
      <c r="C110" s="12" t="s">
        <v>123</v>
      </c>
      <c r="D110" s="12" t="s">
        <v>110</v>
      </c>
      <c r="E110" s="12" t="s">
        <v>31</v>
      </c>
      <c r="F110" s="12">
        <v>0</v>
      </c>
      <c r="G110" s="12">
        <v>0</v>
      </c>
      <c r="H110" s="12">
        <v>0</v>
      </c>
      <c r="I110" s="12">
        <v>0</v>
      </c>
      <c r="J110" s="12">
        <v>0</v>
      </c>
      <c r="K110" s="12">
        <v>0</v>
      </c>
      <c r="L110" s="12">
        <v>225.14</v>
      </c>
      <c r="M110" s="12">
        <v>0</v>
      </c>
      <c r="N110" s="12">
        <v>0</v>
      </c>
      <c r="O110" s="12">
        <v>0</v>
      </c>
      <c r="P110" s="12">
        <v>225.14</v>
      </c>
      <c r="Q110" s="12">
        <v>225.14</v>
      </c>
    </row>
    <row r="111" spans="1:17" x14ac:dyDescent="0.3">
      <c r="A111" s="12" t="s">
        <v>89</v>
      </c>
      <c r="B111" s="12" t="s">
        <v>167</v>
      </c>
      <c r="C111" s="12" t="s">
        <v>123</v>
      </c>
      <c r="D111" s="12" t="s">
        <v>110</v>
      </c>
      <c r="E111" s="12" t="s">
        <v>32</v>
      </c>
      <c r="F111" s="12">
        <v>0</v>
      </c>
      <c r="G111" s="12">
        <v>0</v>
      </c>
      <c r="H111" s="12">
        <v>0</v>
      </c>
      <c r="I111" s="12">
        <v>0</v>
      </c>
      <c r="J111" s="12">
        <v>0</v>
      </c>
      <c r="K111" s="12">
        <v>0</v>
      </c>
      <c r="L111" s="12">
        <v>765.08</v>
      </c>
      <c r="M111" s="12">
        <v>0</v>
      </c>
      <c r="N111" s="12">
        <v>0</v>
      </c>
      <c r="O111" s="12">
        <v>0</v>
      </c>
      <c r="P111" s="12">
        <v>765.08</v>
      </c>
      <c r="Q111" s="12">
        <v>765.08</v>
      </c>
    </row>
    <row r="112" spans="1:17" x14ac:dyDescent="0.3">
      <c r="A112" s="12" t="s">
        <v>89</v>
      </c>
      <c r="B112" s="12" t="s">
        <v>167</v>
      </c>
      <c r="C112" s="12" t="s">
        <v>123</v>
      </c>
      <c r="D112" s="12" t="s">
        <v>110</v>
      </c>
      <c r="E112" s="12" t="s">
        <v>33</v>
      </c>
      <c r="F112" s="12">
        <v>0</v>
      </c>
      <c r="G112" s="12">
        <v>0</v>
      </c>
      <c r="H112" s="12">
        <v>0</v>
      </c>
      <c r="I112" s="12">
        <v>0</v>
      </c>
      <c r="J112" s="12">
        <v>0</v>
      </c>
      <c r="K112" s="12">
        <v>0</v>
      </c>
      <c r="L112" s="12">
        <v>196.31</v>
      </c>
      <c r="M112" s="12">
        <v>0</v>
      </c>
      <c r="N112" s="12">
        <v>0</v>
      </c>
      <c r="O112" s="12">
        <v>0</v>
      </c>
      <c r="P112" s="12">
        <v>196.31</v>
      </c>
      <c r="Q112" s="12">
        <v>196.31</v>
      </c>
    </row>
    <row r="113" spans="1:17" x14ac:dyDescent="0.3">
      <c r="A113" s="12" t="s">
        <v>89</v>
      </c>
      <c r="B113" s="12" t="s">
        <v>167</v>
      </c>
      <c r="C113" s="12" t="s">
        <v>123</v>
      </c>
      <c r="D113" s="12" t="s">
        <v>110</v>
      </c>
      <c r="E113" s="12" t="s">
        <v>34</v>
      </c>
      <c r="F113" s="12">
        <v>0</v>
      </c>
      <c r="G113" s="12">
        <v>0</v>
      </c>
      <c r="H113" s="12">
        <v>0</v>
      </c>
      <c r="I113" s="12">
        <v>0</v>
      </c>
      <c r="J113" s="12">
        <v>0</v>
      </c>
      <c r="K113" s="12">
        <v>0</v>
      </c>
      <c r="L113" s="12">
        <v>292.24</v>
      </c>
      <c r="M113" s="12">
        <v>0</v>
      </c>
      <c r="N113" s="12">
        <v>0</v>
      </c>
      <c r="O113" s="12">
        <v>0</v>
      </c>
      <c r="P113" s="12">
        <v>292.24</v>
      </c>
      <c r="Q113" s="12">
        <v>292.24</v>
      </c>
    </row>
    <row r="114" spans="1:17" x14ac:dyDescent="0.3">
      <c r="A114" s="12" t="s">
        <v>89</v>
      </c>
      <c r="B114" s="12" t="s">
        <v>167</v>
      </c>
      <c r="C114" s="12" t="s">
        <v>123</v>
      </c>
      <c r="D114" s="12" t="s">
        <v>110</v>
      </c>
      <c r="E114" s="12" t="s">
        <v>35</v>
      </c>
      <c r="F114" s="12">
        <v>0</v>
      </c>
      <c r="G114" s="12">
        <v>0</v>
      </c>
      <c r="H114" s="12">
        <v>0</v>
      </c>
      <c r="I114" s="12">
        <v>0</v>
      </c>
      <c r="J114" s="12">
        <v>0</v>
      </c>
      <c r="K114" s="12">
        <v>0</v>
      </c>
      <c r="L114" s="12">
        <v>0</v>
      </c>
      <c r="M114" s="12">
        <v>-18.100000000000001</v>
      </c>
      <c r="N114" s="12">
        <v>0</v>
      </c>
      <c r="O114" s="12">
        <v>0</v>
      </c>
      <c r="P114" s="12">
        <v>-18.100000000000001</v>
      </c>
      <c r="Q114" s="12">
        <v>-18.100000000000001</v>
      </c>
    </row>
    <row r="115" spans="1:17" x14ac:dyDescent="0.3">
      <c r="A115" s="24" t="s">
        <v>89</v>
      </c>
      <c r="B115" s="24" t="s">
        <v>167</v>
      </c>
      <c r="C115" s="24" t="s">
        <v>123</v>
      </c>
      <c r="D115" s="24" t="s">
        <v>97</v>
      </c>
      <c r="E115" s="24"/>
      <c r="F115" s="12">
        <v>0</v>
      </c>
      <c r="G115" s="12">
        <v>429.94</v>
      </c>
      <c r="H115" s="12">
        <v>-1441.1</v>
      </c>
      <c r="I115" s="12">
        <v>0</v>
      </c>
      <c r="J115" s="12">
        <v>0</v>
      </c>
      <c r="K115" s="12">
        <v>-1011.16</v>
      </c>
      <c r="L115" s="12">
        <v>11216.703</v>
      </c>
      <c r="M115" s="12">
        <v>-777.02</v>
      </c>
      <c r="N115" s="12">
        <v>0</v>
      </c>
      <c r="O115" s="12">
        <v>0</v>
      </c>
      <c r="P115" s="12">
        <v>10439.683000000001</v>
      </c>
      <c r="Q115" s="19">
        <v>9428.5229999999992</v>
      </c>
    </row>
    <row r="116" spans="1:17" x14ac:dyDescent="0.3">
      <c r="A116" s="12" t="s">
        <v>89</v>
      </c>
      <c r="B116" s="12" t="s">
        <v>167</v>
      </c>
      <c r="C116" s="12" t="s">
        <v>123</v>
      </c>
      <c r="D116" t="s">
        <v>112</v>
      </c>
      <c r="E116" s="12" t="s">
        <v>36</v>
      </c>
      <c r="F116" s="12">
        <v>0</v>
      </c>
      <c r="G116" s="12">
        <v>0</v>
      </c>
      <c r="H116" s="12">
        <v>0</v>
      </c>
      <c r="I116" s="12">
        <v>0</v>
      </c>
      <c r="J116" s="12">
        <v>0</v>
      </c>
      <c r="K116" s="12">
        <v>0</v>
      </c>
      <c r="L116" s="12">
        <v>0</v>
      </c>
      <c r="M116" s="12">
        <v>-4587.75</v>
      </c>
      <c r="N116" s="12">
        <v>0</v>
      </c>
      <c r="O116" s="12">
        <v>0</v>
      </c>
      <c r="P116" s="12">
        <v>-4587.75</v>
      </c>
      <c r="Q116" s="12">
        <v>-4587.75</v>
      </c>
    </row>
    <row r="117" spans="1:17" x14ac:dyDescent="0.3">
      <c r="A117" s="25" t="s">
        <v>89</v>
      </c>
      <c r="B117" s="25" t="s">
        <v>167</v>
      </c>
      <c r="C117" s="25" t="s">
        <v>123</v>
      </c>
      <c r="D117" s="25" t="s">
        <v>97</v>
      </c>
      <c r="E117" s="25"/>
      <c r="F117" s="25">
        <v>0</v>
      </c>
      <c r="G117" s="25">
        <v>0</v>
      </c>
      <c r="H117" s="25">
        <v>0</v>
      </c>
      <c r="I117" s="25">
        <v>0</v>
      </c>
      <c r="J117" s="25">
        <v>0</v>
      </c>
      <c r="K117" s="25">
        <v>0</v>
      </c>
      <c r="L117" s="25">
        <v>0</v>
      </c>
      <c r="M117" s="25">
        <v>-4587.75</v>
      </c>
      <c r="N117" s="25">
        <v>0</v>
      </c>
      <c r="O117" s="25">
        <v>0</v>
      </c>
      <c r="P117" s="25">
        <v>-4587.75</v>
      </c>
      <c r="Q117" s="25">
        <v>-4587.75</v>
      </c>
    </row>
    <row r="118" spans="1:17" x14ac:dyDescent="0.3">
      <c r="A118" s="12" t="s">
        <v>89</v>
      </c>
      <c r="B118" s="12" t="s">
        <v>167</v>
      </c>
      <c r="C118" s="12" t="s">
        <v>123</v>
      </c>
      <c r="D118" t="s">
        <v>115</v>
      </c>
      <c r="F118" s="12">
        <v>0</v>
      </c>
      <c r="G118" s="12">
        <v>429.94</v>
      </c>
      <c r="H118" s="12">
        <v>-1441.1</v>
      </c>
      <c r="I118" s="12">
        <v>0</v>
      </c>
      <c r="J118" s="12">
        <v>0</v>
      </c>
      <c r="K118" s="12">
        <v>-1011.16</v>
      </c>
      <c r="L118" s="12">
        <v>11216.703</v>
      </c>
      <c r="M118" s="12">
        <v>-5364.77</v>
      </c>
      <c r="N118" s="12">
        <v>0</v>
      </c>
      <c r="O118" s="12">
        <v>0</v>
      </c>
      <c r="P118" s="12">
        <v>5851.933</v>
      </c>
      <c r="Q118" s="12">
        <v>4840.7730000000001</v>
      </c>
    </row>
    <row r="119" spans="1:17" x14ac:dyDescent="0.3">
      <c r="A119" s="12" t="s">
        <v>89</v>
      </c>
      <c r="B119" s="12" t="s">
        <v>179</v>
      </c>
      <c r="C119" s="12" t="s">
        <v>120</v>
      </c>
      <c r="D119" s="12" t="s">
        <v>180</v>
      </c>
      <c r="E119" s="12" t="s">
        <v>181</v>
      </c>
      <c r="F119" s="12" t="s">
        <v>97</v>
      </c>
      <c r="G119" s="12" t="s">
        <v>182</v>
      </c>
      <c r="H119" s="12" t="s">
        <v>112</v>
      </c>
    </row>
    <row r="120" spans="1:17" x14ac:dyDescent="0.3">
      <c r="A120" s="12" t="s">
        <v>89</v>
      </c>
      <c r="B120" s="12" t="s">
        <v>179</v>
      </c>
      <c r="C120" s="12" t="s">
        <v>123</v>
      </c>
      <c r="D120" s="12" t="s">
        <v>183</v>
      </c>
      <c r="E120" s="12" t="s">
        <v>184</v>
      </c>
      <c r="F120" s="12">
        <v>250000</v>
      </c>
      <c r="G120" s="12">
        <v>250000</v>
      </c>
      <c r="H120" s="12">
        <v>0</v>
      </c>
    </row>
    <row r="121" spans="1:17" x14ac:dyDescent="0.3">
      <c r="A121" s="12" t="s">
        <v>89</v>
      </c>
      <c r="B121" s="12" t="s">
        <v>179</v>
      </c>
      <c r="C121" s="12" t="s">
        <v>123</v>
      </c>
      <c r="D121" s="12" t="s">
        <v>162</v>
      </c>
      <c r="E121" s="12" t="s">
        <v>184</v>
      </c>
      <c r="F121" s="12">
        <v>-80.216999999999999</v>
      </c>
      <c r="G121" s="12">
        <v>-56.216999999999999</v>
      </c>
      <c r="H121" s="12">
        <v>-24</v>
      </c>
    </row>
    <row r="122" spans="1:17" x14ac:dyDescent="0.3">
      <c r="A122" s="12" t="s">
        <v>89</v>
      </c>
      <c r="B122" s="12" t="s">
        <v>179</v>
      </c>
      <c r="C122" s="12" t="s">
        <v>123</v>
      </c>
      <c r="D122" s="12" t="s">
        <v>185</v>
      </c>
      <c r="E122" s="12" t="s">
        <v>184</v>
      </c>
      <c r="F122" s="12">
        <v>0</v>
      </c>
      <c r="G122" s="12">
        <v>-17555.509999999998</v>
      </c>
      <c r="H122" s="12">
        <v>17555.509999999998</v>
      </c>
    </row>
    <row r="123" spans="1:17" x14ac:dyDescent="0.3">
      <c r="A123" s="12" t="s">
        <v>89</v>
      </c>
      <c r="B123" s="12" t="s">
        <v>179</v>
      </c>
      <c r="C123" s="12" t="s">
        <v>123</v>
      </c>
      <c r="D123" s="12" t="s">
        <v>157</v>
      </c>
      <c r="E123" s="12" t="s">
        <v>184</v>
      </c>
      <c r="F123" s="12">
        <v>29.9</v>
      </c>
      <c r="G123" s="12">
        <v>29.9</v>
      </c>
      <c r="H123" s="12">
        <v>0</v>
      </c>
    </row>
    <row r="124" spans="1:17" x14ac:dyDescent="0.3">
      <c r="A124" s="12" t="s">
        <v>89</v>
      </c>
      <c r="B124" s="12" t="s">
        <v>179</v>
      </c>
      <c r="C124" s="12" t="s">
        <v>123</v>
      </c>
      <c r="D124" s="12" t="s">
        <v>116</v>
      </c>
      <c r="E124" s="12" t="s">
        <v>184</v>
      </c>
      <c r="F124" s="12">
        <v>193.2</v>
      </c>
      <c r="G124" s="12">
        <v>193.2</v>
      </c>
      <c r="H124" s="12">
        <v>0</v>
      </c>
    </row>
    <row r="125" spans="1:17" x14ac:dyDescent="0.3">
      <c r="A125" s="12" t="s">
        <v>89</v>
      </c>
      <c r="B125" s="12" t="s">
        <v>179</v>
      </c>
      <c r="C125" s="12" t="s">
        <v>123</v>
      </c>
      <c r="D125" s="12" t="s">
        <v>186</v>
      </c>
      <c r="E125" s="12" t="s">
        <v>184</v>
      </c>
      <c r="F125" s="12">
        <v>-4563.75</v>
      </c>
      <c r="G125" s="12">
        <v>0</v>
      </c>
      <c r="H125" s="12">
        <v>-4563.75</v>
      </c>
    </row>
    <row r="126" spans="1:17" x14ac:dyDescent="0.3">
      <c r="A126" s="12" t="s">
        <v>89</v>
      </c>
      <c r="B126" s="12" t="s">
        <v>179</v>
      </c>
      <c r="C126" s="12" t="s">
        <v>123</v>
      </c>
      <c r="D126" s="12" t="s">
        <v>187</v>
      </c>
      <c r="E126" s="12" t="s">
        <v>184</v>
      </c>
      <c r="F126" s="12">
        <v>38104.06</v>
      </c>
      <c r="G126" s="12">
        <v>38104.06</v>
      </c>
      <c r="H126" s="12">
        <v>0</v>
      </c>
    </row>
    <row r="127" spans="1:17" x14ac:dyDescent="0.3">
      <c r="A127" s="12" t="s">
        <v>89</v>
      </c>
      <c r="B127" s="12" t="s">
        <v>179</v>
      </c>
      <c r="C127" s="12" t="s">
        <v>123</v>
      </c>
      <c r="D127" s="12" t="s">
        <v>188</v>
      </c>
      <c r="E127" s="12" t="s">
        <v>184</v>
      </c>
      <c r="F127" s="12">
        <v>-214683.19</v>
      </c>
      <c r="G127" s="12">
        <v>-214683.19</v>
      </c>
      <c r="H127" s="12">
        <v>0</v>
      </c>
    </row>
    <row r="128" spans="1:17" x14ac:dyDescent="0.3">
      <c r="A128" s="12" t="s">
        <v>89</v>
      </c>
      <c r="B128" s="12" t="s">
        <v>179</v>
      </c>
      <c r="C128" s="12" t="s">
        <v>123</v>
      </c>
      <c r="D128" s="12" t="s">
        <v>118</v>
      </c>
      <c r="E128" s="12" t="s">
        <v>184</v>
      </c>
      <c r="F128" s="12">
        <v>-9.66</v>
      </c>
      <c r="G128" s="12">
        <v>-9.66</v>
      </c>
      <c r="H128" s="12">
        <v>0</v>
      </c>
    </row>
    <row r="129" spans="1:15" x14ac:dyDescent="0.3">
      <c r="A129" s="12" t="s">
        <v>89</v>
      </c>
      <c r="B129" s="12" t="s">
        <v>179</v>
      </c>
      <c r="C129" s="12" t="s">
        <v>123</v>
      </c>
      <c r="D129" s="12" t="s">
        <v>158</v>
      </c>
      <c r="E129" s="12" t="s">
        <v>184</v>
      </c>
      <c r="F129" s="12">
        <v>-66.930000000000007</v>
      </c>
      <c r="G129" s="12">
        <v>-66.930000000000007</v>
      </c>
      <c r="H129" s="12">
        <v>0</v>
      </c>
    </row>
    <row r="130" spans="1:15" x14ac:dyDescent="0.3">
      <c r="A130" s="12" t="s">
        <v>89</v>
      </c>
      <c r="B130" s="12" t="s">
        <v>179</v>
      </c>
      <c r="C130" s="12" t="s">
        <v>123</v>
      </c>
      <c r="D130" s="12" t="s">
        <v>189</v>
      </c>
      <c r="E130" s="12" t="s">
        <v>184</v>
      </c>
      <c r="F130" s="12">
        <v>68923.413</v>
      </c>
      <c r="G130" s="12">
        <v>55955.652999999998</v>
      </c>
      <c r="H130" s="12">
        <v>12967.76</v>
      </c>
    </row>
    <row r="131" spans="1:15" x14ac:dyDescent="0.3">
      <c r="A131" s="12" t="s">
        <v>89</v>
      </c>
      <c r="B131" s="12" t="s">
        <v>179</v>
      </c>
      <c r="C131" s="12" t="s">
        <v>123</v>
      </c>
      <c r="D131" s="12" t="s">
        <v>190</v>
      </c>
      <c r="E131" s="12" t="s">
        <v>184</v>
      </c>
      <c r="F131" s="12">
        <v>60911.773000000001</v>
      </c>
      <c r="G131" s="12">
        <v>51164.012999999999</v>
      </c>
      <c r="H131" s="12">
        <v>9747.76</v>
      </c>
    </row>
    <row r="132" spans="1:15" x14ac:dyDescent="0.3">
      <c r="A132" s="12" t="s">
        <v>89</v>
      </c>
      <c r="B132" s="12" t="s">
        <v>191</v>
      </c>
      <c r="C132" s="12" t="s">
        <v>120</v>
      </c>
      <c r="D132" s="12" t="s">
        <v>192</v>
      </c>
      <c r="E132" s="12" t="s">
        <v>100</v>
      </c>
      <c r="F132" s="12" t="s">
        <v>181</v>
      </c>
      <c r="G132" s="12" t="s">
        <v>0</v>
      </c>
      <c r="H132" s="12" t="s">
        <v>193</v>
      </c>
      <c r="I132" s="12" t="s">
        <v>194</v>
      </c>
      <c r="J132" s="12" t="s">
        <v>195</v>
      </c>
      <c r="K132" s="12" t="s">
        <v>196</v>
      </c>
      <c r="L132" s="12" t="s">
        <v>197</v>
      </c>
      <c r="M132" s="12" t="s">
        <v>198</v>
      </c>
      <c r="N132" s="12" t="s">
        <v>199</v>
      </c>
      <c r="O132" s="12" t="s">
        <v>165</v>
      </c>
    </row>
    <row r="133" spans="1:15" x14ac:dyDescent="0.3">
      <c r="A133" s="12" t="s">
        <v>89</v>
      </c>
      <c r="B133" s="12" t="s">
        <v>191</v>
      </c>
      <c r="C133" s="12" t="s">
        <v>123</v>
      </c>
      <c r="D133" s="12" t="s">
        <v>200</v>
      </c>
      <c r="E133" s="12" t="s">
        <v>110</v>
      </c>
      <c r="F133" s="12" t="s">
        <v>114</v>
      </c>
      <c r="G133" s="12" t="s">
        <v>2</v>
      </c>
      <c r="H133" s="12">
        <v>36</v>
      </c>
      <c r="I133" s="12">
        <v>1</v>
      </c>
      <c r="J133" s="12">
        <v>183.7</v>
      </c>
      <c r="K133" s="12">
        <v>6613.2</v>
      </c>
      <c r="L133" s="12">
        <v>184.4</v>
      </c>
      <c r="M133" s="12">
        <v>6638.4</v>
      </c>
      <c r="N133" s="12">
        <v>25.2</v>
      </c>
    </row>
    <row r="134" spans="1:15" x14ac:dyDescent="0.3">
      <c r="A134" s="12" t="s">
        <v>89</v>
      </c>
      <c r="B134" s="12" t="s">
        <v>191</v>
      </c>
      <c r="C134" s="12" t="s">
        <v>123</v>
      </c>
      <c r="D134" s="12" t="s">
        <v>200</v>
      </c>
      <c r="E134" s="12" t="s">
        <v>110</v>
      </c>
      <c r="F134" s="12" t="s">
        <v>114</v>
      </c>
      <c r="G134" s="12" t="s">
        <v>4</v>
      </c>
      <c r="H134" s="12">
        <v>12</v>
      </c>
      <c r="I134" s="12">
        <v>1</v>
      </c>
      <c r="J134" s="12">
        <v>213.89833333300001</v>
      </c>
      <c r="K134" s="12">
        <v>2566.7800000000002</v>
      </c>
      <c r="L134" s="12">
        <v>195.65</v>
      </c>
      <c r="M134" s="12">
        <v>2347.8000000000002</v>
      </c>
      <c r="N134" s="12">
        <v>-218.98</v>
      </c>
    </row>
    <row r="135" spans="1:15" x14ac:dyDescent="0.3">
      <c r="A135" s="12" t="s">
        <v>89</v>
      </c>
      <c r="B135" s="12" t="s">
        <v>191</v>
      </c>
      <c r="C135" s="12" t="s">
        <v>123</v>
      </c>
      <c r="D135" s="12" t="s">
        <v>200</v>
      </c>
      <c r="E135" s="12" t="s">
        <v>110</v>
      </c>
      <c r="F135" s="12" t="s">
        <v>114</v>
      </c>
      <c r="G135" s="12" t="s">
        <v>5</v>
      </c>
      <c r="H135" s="12">
        <v>104</v>
      </c>
      <c r="I135" s="12">
        <v>1</v>
      </c>
      <c r="J135" s="12">
        <v>145.26249999999999</v>
      </c>
      <c r="K135" s="12">
        <v>15107.3</v>
      </c>
      <c r="L135" s="12">
        <v>155.19999999999999</v>
      </c>
      <c r="M135" s="12">
        <v>16140.8</v>
      </c>
      <c r="N135" s="12">
        <v>1033.5</v>
      </c>
    </row>
    <row r="136" spans="1:15" x14ac:dyDescent="0.3">
      <c r="A136" s="12" t="s">
        <v>89</v>
      </c>
      <c r="B136" s="12" t="s">
        <v>191</v>
      </c>
      <c r="C136" s="12" t="s">
        <v>123</v>
      </c>
      <c r="D136" s="12" t="s">
        <v>200</v>
      </c>
      <c r="E136" s="12" t="s">
        <v>110</v>
      </c>
      <c r="F136" s="12" t="s">
        <v>114</v>
      </c>
      <c r="G136" s="12" t="s">
        <v>6</v>
      </c>
      <c r="H136" s="12">
        <v>31</v>
      </c>
      <c r="I136" s="12">
        <v>1</v>
      </c>
      <c r="J136" s="12">
        <v>229.061935484</v>
      </c>
      <c r="K136" s="12">
        <v>7100.92</v>
      </c>
      <c r="L136" s="12">
        <v>258.68</v>
      </c>
      <c r="M136" s="12">
        <v>8019.08</v>
      </c>
      <c r="N136" s="12">
        <v>918.16</v>
      </c>
    </row>
    <row r="137" spans="1:15" x14ac:dyDescent="0.3">
      <c r="A137" s="12" t="s">
        <v>89</v>
      </c>
      <c r="B137" s="12" t="s">
        <v>191</v>
      </c>
      <c r="C137" s="12" t="s">
        <v>123</v>
      </c>
      <c r="D137" s="12" t="s">
        <v>200</v>
      </c>
      <c r="E137" s="12" t="s">
        <v>110</v>
      </c>
      <c r="F137" s="12" t="s">
        <v>114</v>
      </c>
      <c r="G137" s="12" t="s">
        <v>7</v>
      </c>
      <c r="H137" s="12">
        <v>7</v>
      </c>
      <c r="I137" s="12">
        <v>1</v>
      </c>
      <c r="J137" s="12">
        <v>1058.6257142859999</v>
      </c>
      <c r="K137" s="12">
        <v>7410.38</v>
      </c>
      <c r="L137" s="12">
        <v>1180</v>
      </c>
      <c r="M137" s="12">
        <v>8260</v>
      </c>
      <c r="N137" s="12">
        <v>849.62</v>
      </c>
    </row>
    <row r="138" spans="1:15" x14ac:dyDescent="0.3">
      <c r="A138" s="12" t="s">
        <v>89</v>
      </c>
      <c r="B138" s="12" t="s">
        <v>191</v>
      </c>
      <c r="C138" s="12" t="s">
        <v>123</v>
      </c>
      <c r="D138" s="12" t="s">
        <v>200</v>
      </c>
      <c r="E138" s="12" t="s">
        <v>110</v>
      </c>
      <c r="F138" s="12" t="s">
        <v>114</v>
      </c>
      <c r="G138" s="12" t="s">
        <v>8</v>
      </c>
      <c r="H138" s="12">
        <v>231</v>
      </c>
      <c r="I138" s="12">
        <v>1</v>
      </c>
      <c r="J138" s="12">
        <v>32.177</v>
      </c>
      <c r="K138" s="12">
        <v>7432.8869999999997</v>
      </c>
      <c r="L138" s="12">
        <v>34.01</v>
      </c>
      <c r="M138" s="12">
        <v>7856.31</v>
      </c>
      <c r="N138" s="12">
        <v>423.423</v>
      </c>
    </row>
    <row r="139" spans="1:15" x14ac:dyDescent="0.3">
      <c r="A139" s="12" t="s">
        <v>89</v>
      </c>
      <c r="B139" s="12" t="s">
        <v>191</v>
      </c>
      <c r="C139" s="12" t="s">
        <v>123</v>
      </c>
      <c r="D139" s="12" t="s">
        <v>200</v>
      </c>
      <c r="E139" s="12" t="s">
        <v>110</v>
      </c>
      <c r="F139" s="12" t="s">
        <v>114</v>
      </c>
      <c r="G139" s="12" t="s">
        <v>9</v>
      </c>
      <c r="H139" s="12">
        <v>1</v>
      </c>
      <c r="I139" s="12">
        <v>1</v>
      </c>
      <c r="J139" s="12">
        <v>3387.22</v>
      </c>
      <c r="K139" s="12">
        <v>3387.22</v>
      </c>
      <c r="L139" s="12">
        <v>3507.47</v>
      </c>
      <c r="M139" s="12">
        <v>3507.47</v>
      </c>
      <c r="N139" s="12">
        <v>120.25</v>
      </c>
    </row>
    <row r="140" spans="1:15" x14ac:dyDescent="0.3">
      <c r="A140" s="12" t="s">
        <v>89</v>
      </c>
      <c r="B140" s="12" t="s">
        <v>191</v>
      </c>
      <c r="C140" s="12" t="s">
        <v>123</v>
      </c>
      <c r="D140" s="12" t="s">
        <v>200</v>
      </c>
      <c r="E140" s="12" t="s">
        <v>110</v>
      </c>
      <c r="F140" s="12" t="s">
        <v>114</v>
      </c>
      <c r="G140" s="12" t="s">
        <v>3</v>
      </c>
      <c r="H140" s="12">
        <v>148</v>
      </c>
      <c r="I140" s="12">
        <v>1</v>
      </c>
      <c r="J140" s="12">
        <v>51.398783784000003</v>
      </c>
      <c r="K140" s="12">
        <v>7607.02</v>
      </c>
      <c r="L140" s="12">
        <v>56.17</v>
      </c>
      <c r="M140" s="12">
        <v>8313.16</v>
      </c>
      <c r="N140" s="12">
        <v>706.14</v>
      </c>
    </row>
    <row r="141" spans="1:15" x14ac:dyDescent="0.3">
      <c r="A141" s="12" t="s">
        <v>89</v>
      </c>
      <c r="B141" s="12" t="s">
        <v>191</v>
      </c>
      <c r="C141" s="12" t="s">
        <v>123</v>
      </c>
      <c r="D141" s="12" t="s">
        <v>200</v>
      </c>
      <c r="E141" s="12" t="s">
        <v>110</v>
      </c>
      <c r="F141" s="12" t="s">
        <v>114</v>
      </c>
      <c r="G141" s="12" t="s">
        <v>11</v>
      </c>
      <c r="H141" s="12">
        <v>11</v>
      </c>
      <c r="I141" s="12">
        <v>1</v>
      </c>
      <c r="J141" s="12">
        <v>643.18818181799998</v>
      </c>
      <c r="K141" s="12">
        <v>7075.07</v>
      </c>
      <c r="L141" s="12">
        <v>694.88</v>
      </c>
      <c r="M141" s="12">
        <v>7643.68</v>
      </c>
      <c r="N141" s="12">
        <v>568.61</v>
      </c>
    </row>
    <row r="142" spans="1:15" x14ac:dyDescent="0.3">
      <c r="A142" s="12" t="s">
        <v>89</v>
      </c>
      <c r="B142" s="12" t="s">
        <v>191</v>
      </c>
      <c r="C142" s="12" t="s">
        <v>123</v>
      </c>
      <c r="D142" s="12" t="s">
        <v>200</v>
      </c>
      <c r="E142" s="12" t="s">
        <v>110</v>
      </c>
      <c r="F142" s="12" t="s">
        <v>114</v>
      </c>
      <c r="G142" s="12" t="s">
        <v>13</v>
      </c>
      <c r="H142" s="12">
        <v>18</v>
      </c>
      <c r="I142" s="12">
        <v>1</v>
      </c>
      <c r="J142" s="12">
        <v>400.08222222199998</v>
      </c>
      <c r="K142" s="12">
        <v>7201.48</v>
      </c>
      <c r="L142" s="12">
        <v>393.58</v>
      </c>
      <c r="M142" s="12">
        <v>7084.44</v>
      </c>
      <c r="N142" s="12">
        <v>-117.04</v>
      </c>
    </row>
    <row r="143" spans="1:15" x14ac:dyDescent="0.3">
      <c r="A143" s="12" t="s">
        <v>89</v>
      </c>
      <c r="B143" s="12" t="s">
        <v>191</v>
      </c>
      <c r="C143" s="12" t="s">
        <v>123</v>
      </c>
      <c r="D143" s="12" t="s">
        <v>200</v>
      </c>
      <c r="E143" s="12" t="s">
        <v>110</v>
      </c>
      <c r="F143" s="12" t="s">
        <v>114</v>
      </c>
      <c r="G143" s="12" t="s">
        <v>16</v>
      </c>
      <c r="H143" s="12">
        <v>20</v>
      </c>
      <c r="I143" s="12">
        <v>1</v>
      </c>
      <c r="J143" s="12">
        <v>125.11499999999999</v>
      </c>
      <c r="K143" s="12">
        <v>2502.3000000000002</v>
      </c>
      <c r="L143" s="12">
        <v>113.79</v>
      </c>
      <c r="M143" s="12">
        <v>2275.8000000000002</v>
      </c>
      <c r="N143" s="12">
        <v>-226.5</v>
      </c>
    </row>
    <row r="144" spans="1:15" x14ac:dyDescent="0.3">
      <c r="A144" s="12" t="s">
        <v>89</v>
      </c>
      <c r="B144" s="12" t="s">
        <v>191</v>
      </c>
      <c r="C144" s="12" t="s">
        <v>123</v>
      </c>
      <c r="D144" s="12" t="s">
        <v>200</v>
      </c>
      <c r="E144" s="12" t="s">
        <v>110</v>
      </c>
      <c r="F144" s="12" t="s">
        <v>114</v>
      </c>
      <c r="G144" s="12" t="s">
        <v>17</v>
      </c>
      <c r="H144" s="12">
        <v>106</v>
      </c>
      <c r="I144" s="12">
        <v>1</v>
      </c>
      <c r="J144" s="12">
        <v>32.602264151</v>
      </c>
      <c r="K144" s="12">
        <v>3455.84</v>
      </c>
      <c r="L144" s="12">
        <v>32.69</v>
      </c>
      <c r="M144" s="12">
        <v>3465.14</v>
      </c>
      <c r="N144" s="12">
        <v>9.3000000000000007</v>
      </c>
    </row>
    <row r="145" spans="1:14" x14ac:dyDescent="0.3">
      <c r="A145" s="12" t="s">
        <v>89</v>
      </c>
      <c r="B145" s="12" t="s">
        <v>191</v>
      </c>
      <c r="C145" s="12" t="s">
        <v>123</v>
      </c>
      <c r="D145" s="12" t="s">
        <v>200</v>
      </c>
      <c r="E145" s="12" t="s">
        <v>110</v>
      </c>
      <c r="F145" s="12" t="s">
        <v>114</v>
      </c>
      <c r="G145" s="12" t="s">
        <v>18</v>
      </c>
      <c r="H145" s="12">
        <v>14</v>
      </c>
      <c r="I145" s="12">
        <v>1</v>
      </c>
      <c r="J145" s="12">
        <v>257.42285714299999</v>
      </c>
      <c r="K145" s="12">
        <v>3603.92</v>
      </c>
      <c r="L145" s="12">
        <v>264.99</v>
      </c>
      <c r="M145" s="12">
        <v>3709.86</v>
      </c>
      <c r="N145" s="12">
        <v>105.94</v>
      </c>
    </row>
    <row r="146" spans="1:14" x14ac:dyDescent="0.3">
      <c r="A146" s="12" t="s">
        <v>89</v>
      </c>
      <c r="B146" s="12" t="s">
        <v>191</v>
      </c>
      <c r="C146" s="12" t="s">
        <v>123</v>
      </c>
      <c r="D146" s="12" t="s">
        <v>200</v>
      </c>
      <c r="E146" s="12" t="s">
        <v>110</v>
      </c>
      <c r="F146" s="12" t="s">
        <v>114</v>
      </c>
      <c r="G146" s="12" t="s">
        <v>19</v>
      </c>
      <c r="H146" s="12">
        <v>107</v>
      </c>
      <c r="I146" s="12">
        <v>1</v>
      </c>
      <c r="J146" s="12">
        <v>139.08214953300001</v>
      </c>
      <c r="K146" s="12">
        <v>14881.79</v>
      </c>
      <c r="L146" s="12">
        <v>140.1</v>
      </c>
      <c r="M146" s="12">
        <v>14990.7</v>
      </c>
      <c r="N146" s="12">
        <v>108.91</v>
      </c>
    </row>
    <row r="147" spans="1:14" x14ac:dyDescent="0.3">
      <c r="A147" s="12" t="s">
        <v>89</v>
      </c>
      <c r="B147" s="12" t="s">
        <v>191</v>
      </c>
      <c r="C147" s="12" t="s">
        <v>123</v>
      </c>
      <c r="D147" s="12" t="s">
        <v>200</v>
      </c>
      <c r="E147" s="12" t="s">
        <v>110</v>
      </c>
      <c r="F147" s="12" t="s">
        <v>114</v>
      </c>
      <c r="G147" s="12" t="s">
        <v>20</v>
      </c>
      <c r="H147" s="12">
        <v>11</v>
      </c>
      <c r="I147" s="12">
        <v>1</v>
      </c>
      <c r="J147" s="12">
        <v>339.08818181800001</v>
      </c>
      <c r="K147" s="12">
        <v>3729.97</v>
      </c>
      <c r="L147" s="12">
        <v>352.96</v>
      </c>
      <c r="M147" s="12">
        <v>3882.56</v>
      </c>
      <c r="N147" s="12">
        <v>152.59</v>
      </c>
    </row>
    <row r="148" spans="1:14" x14ac:dyDescent="0.3">
      <c r="A148" s="12" t="s">
        <v>89</v>
      </c>
      <c r="B148" s="12" t="s">
        <v>191</v>
      </c>
      <c r="C148" s="12" t="s">
        <v>123</v>
      </c>
      <c r="D148" s="12" t="s">
        <v>200</v>
      </c>
      <c r="E148" s="12" t="s">
        <v>110</v>
      </c>
      <c r="F148" s="12" t="s">
        <v>114</v>
      </c>
      <c r="G148" s="12" t="s">
        <v>21</v>
      </c>
      <c r="H148" s="12">
        <v>6</v>
      </c>
      <c r="I148" s="12">
        <v>1</v>
      </c>
      <c r="J148" s="12">
        <v>558.31666666700005</v>
      </c>
      <c r="K148" s="12">
        <v>3349.9</v>
      </c>
      <c r="L148" s="12">
        <v>611</v>
      </c>
      <c r="M148" s="12">
        <v>3666</v>
      </c>
      <c r="N148" s="12">
        <v>316.10000000000002</v>
      </c>
    </row>
    <row r="149" spans="1:14" x14ac:dyDescent="0.3">
      <c r="A149" s="12" t="s">
        <v>89</v>
      </c>
      <c r="B149" s="12" t="s">
        <v>191</v>
      </c>
      <c r="C149" s="12" t="s">
        <v>123</v>
      </c>
      <c r="D149" s="12" t="s">
        <v>200</v>
      </c>
      <c r="E149" s="12" t="s">
        <v>110</v>
      </c>
      <c r="F149" s="12" t="s">
        <v>114</v>
      </c>
      <c r="G149" s="12" t="s">
        <v>22</v>
      </c>
      <c r="H149" s="12">
        <v>66</v>
      </c>
      <c r="I149" s="12">
        <v>1</v>
      </c>
      <c r="J149" s="12">
        <v>52.989696969999997</v>
      </c>
      <c r="K149" s="12">
        <v>3497.32</v>
      </c>
      <c r="L149" s="12">
        <v>56.26</v>
      </c>
      <c r="M149" s="12">
        <v>3713.16</v>
      </c>
      <c r="N149" s="12">
        <v>215.84</v>
      </c>
    </row>
    <row r="150" spans="1:14" x14ac:dyDescent="0.3">
      <c r="A150" s="12" t="s">
        <v>89</v>
      </c>
      <c r="B150" s="12" t="s">
        <v>191</v>
      </c>
      <c r="C150" s="12" t="s">
        <v>123</v>
      </c>
      <c r="D150" s="12" t="s">
        <v>200</v>
      </c>
      <c r="E150" s="12" t="s">
        <v>110</v>
      </c>
      <c r="F150" s="12" t="s">
        <v>114</v>
      </c>
      <c r="G150" s="12" t="s">
        <v>23</v>
      </c>
      <c r="H150" s="12">
        <v>13</v>
      </c>
      <c r="I150" s="12">
        <v>1</v>
      </c>
      <c r="J150" s="12">
        <v>589.97</v>
      </c>
      <c r="K150" s="12">
        <v>7669.61</v>
      </c>
      <c r="L150" s="12">
        <v>631.33000000000004</v>
      </c>
      <c r="M150" s="12">
        <v>8207.2900000000009</v>
      </c>
      <c r="N150" s="12">
        <v>537.67999999999995</v>
      </c>
    </row>
    <row r="151" spans="1:14" x14ac:dyDescent="0.3">
      <c r="A151" s="12" t="s">
        <v>89</v>
      </c>
      <c r="B151" s="12" t="s">
        <v>191</v>
      </c>
      <c r="C151" s="12" t="s">
        <v>123</v>
      </c>
      <c r="D151" s="12" t="s">
        <v>200</v>
      </c>
      <c r="E151" s="12" t="s">
        <v>110</v>
      </c>
      <c r="F151" s="12" t="s">
        <v>114</v>
      </c>
      <c r="G151" s="12" t="s">
        <v>24</v>
      </c>
      <c r="H151" s="12">
        <v>45</v>
      </c>
      <c r="I151" s="12">
        <v>1</v>
      </c>
      <c r="J151" s="12">
        <v>74.498888889</v>
      </c>
      <c r="K151" s="12">
        <v>3352.45</v>
      </c>
      <c r="L151" s="12">
        <v>79.86</v>
      </c>
      <c r="M151" s="12">
        <v>3593.7</v>
      </c>
      <c r="N151" s="12">
        <v>241.25</v>
      </c>
    </row>
    <row r="152" spans="1:14" x14ac:dyDescent="0.3">
      <c r="A152" s="12" t="s">
        <v>89</v>
      </c>
      <c r="B152" s="12" t="s">
        <v>191</v>
      </c>
      <c r="C152" s="12" t="s">
        <v>123</v>
      </c>
      <c r="D152" s="12" t="s">
        <v>200</v>
      </c>
      <c r="E152" s="12" t="s">
        <v>110</v>
      </c>
      <c r="F152" s="12" t="s">
        <v>114</v>
      </c>
      <c r="G152" s="12" t="s">
        <v>25</v>
      </c>
      <c r="H152" s="12">
        <v>8</v>
      </c>
      <c r="I152" s="12">
        <v>1</v>
      </c>
      <c r="J152" s="12">
        <v>478.28250000000003</v>
      </c>
      <c r="K152" s="12">
        <v>3826.26</v>
      </c>
      <c r="L152" s="12">
        <v>453.82</v>
      </c>
      <c r="M152" s="12">
        <v>3630.56</v>
      </c>
      <c r="N152" s="12">
        <v>-195.7</v>
      </c>
    </row>
    <row r="153" spans="1:14" x14ac:dyDescent="0.3">
      <c r="A153" s="12" t="s">
        <v>89</v>
      </c>
      <c r="B153" s="12" t="s">
        <v>191</v>
      </c>
      <c r="C153" s="12" t="s">
        <v>123</v>
      </c>
      <c r="D153" s="12" t="s">
        <v>200</v>
      </c>
      <c r="E153" s="12" t="s">
        <v>110</v>
      </c>
      <c r="F153" s="12" t="s">
        <v>114</v>
      </c>
      <c r="G153" s="12" t="s">
        <v>26</v>
      </c>
      <c r="H153" s="12">
        <v>9</v>
      </c>
      <c r="I153" s="12">
        <v>1</v>
      </c>
      <c r="J153" s="12">
        <v>375.78444444399997</v>
      </c>
      <c r="K153" s="12">
        <v>3382.06</v>
      </c>
      <c r="L153" s="12">
        <v>392.04</v>
      </c>
      <c r="M153" s="12">
        <v>3528.36</v>
      </c>
      <c r="N153" s="12">
        <v>146.30000000000001</v>
      </c>
    </row>
    <row r="154" spans="1:14" x14ac:dyDescent="0.3">
      <c r="A154" s="12" t="s">
        <v>89</v>
      </c>
      <c r="B154" s="12" t="s">
        <v>191</v>
      </c>
      <c r="C154" s="12" t="s">
        <v>123</v>
      </c>
      <c r="D154" s="12" t="s">
        <v>200</v>
      </c>
      <c r="E154" s="12" t="s">
        <v>110</v>
      </c>
      <c r="F154" s="12" t="s">
        <v>114</v>
      </c>
      <c r="G154" s="12" t="s">
        <v>27</v>
      </c>
      <c r="H154" s="12">
        <v>21</v>
      </c>
      <c r="I154" s="12">
        <v>1</v>
      </c>
      <c r="J154" s="12">
        <v>342.40190476200002</v>
      </c>
      <c r="K154" s="12">
        <v>7190.44</v>
      </c>
      <c r="L154" s="12">
        <v>390.14</v>
      </c>
      <c r="M154" s="12">
        <v>8192.94</v>
      </c>
      <c r="N154" s="12">
        <v>1002.5</v>
      </c>
    </row>
    <row r="155" spans="1:14" x14ac:dyDescent="0.3">
      <c r="A155" s="12" t="s">
        <v>89</v>
      </c>
      <c r="B155" s="12" t="s">
        <v>191</v>
      </c>
      <c r="C155" s="12" t="s">
        <v>123</v>
      </c>
      <c r="D155" s="12" t="s">
        <v>200</v>
      </c>
      <c r="E155" s="12" t="s">
        <v>110</v>
      </c>
      <c r="F155" s="12" t="s">
        <v>114</v>
      </c>
      <c r="G155" s="12" t="s">
        <v>28</v>
      </c>
      <c r="H155" s="12">
        <v>49</v>
      </c>
      <c r="I155" s="12">
        <v>1</v>
      </c>
      <c r="J155" s="12">
        <v>367.46653061199999</v>
      </c>
      <c r="K155" s="12">
        <v>18005.86</v>
      </c>
      <c r="L155" s="12">
        <v>397.58</v>
      </c>
      <c r="M155" s="12">
        <v>19481.419999999998</v>
      </c>
      <c r="N155" s="12">
        <v>1475.56</v>
      </c>
    </row>
    <row r="156" spans="1:14" x14ac:dyDescent="0.3">
      <c r="A156" s="12" t="s">
        <v>89</v>
      </c>
      <c r="B156" s="12" t="s">
        <v>191</v>
      </c>
      <c r="C156" s="12" t="s">
        <v>123</v>
      </c>
      <c r="D156" s="12" t="s">
        <v>200</v>
      </c>
      <c r="E156" s="12" t="s">
        <v>110</v>
      </c>
      <c r="F156" s="12" t="s">
        <v>114</v>
      </c>
      <c r="G156" s="12" t="s">
        <v>29</v>
      </c>
      <c r="H156" s="12">
        <v>12</v>
      </c>
      <c r="I156" s="12">
        <v>1</v>
      </c>
      <c r="J156" s="12">
        <v>284.49833333300001</v>
      </c>
      <c r="K156" s="12">
        <v>3413.98</v>
      </c>
      <c r="L156" s="12">
        <v>338.51</v>
      </c>
      <c r="M156" s="12">
        <v>4062.12</v>
      </c>
      <c r="N156" s="12">
        <v>648.14</v>
      </c>
    </row>
    <row r="157" spans="1:14" x14ac:dyDescent="0.3">
      <c r="A157" s="12" t="s">
        <v>89</v>
      </c>
      <c r="B157" s="12" t="s">
        <v>191</v>
      </c>
      <c r="C157" s="12" t="s">
        <v>123</v>
      </c>
      <c r="D157" s="12" t="s">
        <v>200</v>
      </c>
      <c r="E157" s="12" t="s">
        <v>110</v>
      </c>
      <c r="F157" s="12" t="s">
        <v>114</v>
      </c>
      <c r="G157" s="12" t="s">
        <v>30</v>
      </c>
      <c r="H157" s="12">
        <v>26</v>
      </c>
      <c r="I157" s="12">
        <v>1</v>
      </c>
      <c r="J157" s="12">
        <v>135.19461538499999</v>
      </c>
      <c r="K157" s="12">
        <v>3515.06</v>
      </c>
      <c r="L157" s="12">
        <v>140.28</v>
      </c>
      <c r="M157" s="12">
        <v>3647.28</v>
      </c>
      <c r="N157" s="12">
        <v>132.22</v>
      </c>
    </row>
    <row r="158" spans="1:14" x14ac:dyDescent="0.3">
      <c r="A158" s="12" t="s">
        <v>89</v>
      </c>
      <c r="B158" s="12" t="s">
        <v>191</v>
      </c>
      <c r="C158" s="12" t="s">
        <v>123</v>
      </c>
      <c r="D158" s="12" t="s">
        <v>200</v>
      </c>
      <c r="E158" s="12" t="s">
        <v>110</v>
      </c>
      <c r="F158" s="12" t="s">
        <v>114</v>
      </c>
      <c r="G158" s="12" t="s">
        <v>31</v>
      </c>
      <c r="H158" s="12">
        <v>18</v>
      </c>
      <c r="I158" s="12">
        <v>1</v>
      </c>
      <c r="J158" s="12">
        <v>183.132222222</v>
      </c>
      <c r="K158" s="12">
        <v>3296.38</v>
      </c>
      <c r="L158" s="12">
        <v>195.64</v>
      </c>
      <c r="M158" s="12">
        <v>3521.52</v>
      </c>
      <c r="N158" s="12">
        <v>225.14</v>
      </c>
    </row>
    <row r="159" spans="1:14" x14ac:dyDescent="0.3">
      <c r="A159" s="12" t="s">
        <v>89</v>
      </c>
      <c r="B159" s="12" t="s">
        <v>191</v>
      </c>
      <c r="C159" s="12" t="s">
        <v>123</v>
      </c>
      <c r="D159" s="12" t="s">
        <v>200</v>
      </c>
      <c r="E159" s="12" t="s">
        <v>110</v>
      </c>
      <c r="F159" s="12" t="s">
        <v>114</v>
      </c>
      <c r="G159" s="12" t="s">
        <v>32</v>
      </c>
      <c r="H159" s="12">
        <v>106</v>
      </c>
      <c r="I159" s="12">
        <v>1</v>
      </c>
      <c r="J159" s="12">
        <v>58.052264151000003</v>
      </c>
      <c r="K159" s="12">
        <v>6153.54</v>
      </c>
      <c r="L159" s="12">
        <v>65.27</v>
      </c>
      <c r="M159" s="12">
        <v>6918.62</v>
      </c>
      <c r="N159" s="12">
        <v>765.08</v>
      </c>
    </row>
    <row r="160" spans="1:14" x14ac:dyDescent="0.3">
      <c r="A160" s="12" t="s">
        <v>89</v>
      </c>
      <c r="B160" s="12" t="s">
        <v>191</v>
      </c>
      <c r="C160" s="12" t="s">
        <v>123</v>
      </c>
      <c r="D160" s="12" t="s">
        <v>200</v>
      </c>
      <c r="E160" s="12" t="s">
        <v>110</v>
      </c>
      <c r="F160" s="12" t="s">
        <v>114</v>
      </c>
      <c r="G160" s="12" t="s">
        <v>33</v>
      </c>
      <c r="H160" s="12">
        <v>7</v>
      </c>
      <c r="I160" s="12">
        <v>1</v>
      </c>
      <c r="J160" s="12">
        <v>474.005714286</v>
      </c>
      <c r="K160" s="12">
        <v>3318.04</v>
      </c>
      <c r="L160" s="12">
        <v>502.05</v>
      </c>
      <c r="M160" s="12">
        <v>3514.35</v>
      </c>
      <c r="N160" s="12">
        <v>196.31</v>
      </c>
    </row>
    <row r="161" spans="1:17" x14ac:dyDescent="0.3">
      <c r="A161" s="12" t="s">
        <v>89</v>
      </c>
      <c r="B161" s="12" t="s">
        <v>191</v>
      </c>
      <c r="C161" s="12" t="s">
        <v>123</v>
      </c>
      <c r="D161" s="12" t="s">
        <v>200</v>
      </c>
      <c r="E161" s="12" t="s">
        <v>110</v>
      </c>
      <c r="F161" s="12" t="s">
        <v>114</v>
      </c>
      <c r="G161" s="12" t="s">
        <v>34</v>
      </c>
      <c r="H161" s="12">
        <v>13</v>
      </c>
      <c r="I161" s="12">
        <v>1</v>
      </c>
      <c r="J161" s="12">
        <v>268.58999999999997</v>
      </c>
      <c r="K161" s="12">
        <v>3491.67</v>
      </c>
      <c r="L161" s="12">
        <v>291.07</v>
      </c>
      <c r="M161" s="12">
        <v>3783.91</v>
      </c>
      <c r="N161" s="12">
        <v>292.24</v>
      </c>
    </row>
    <row r="162" spans="1:17" x14ac:dyDescent="0.3">
      <c r="A162" s="12" t="s">
        <v>89</v>
      </c>
      <c r="B162" s="12" t="s">
        <v>191</v>
      </c>
      <c r="C162" s="12" t="s">
        <v>123</v>
      </c>
      <c r="D162" s="12" t="s">
        <v>200</v>
      </c>
      <c r="E162" s="12" t="s">
        <v>110</v>
      </c>
      <c r="F162" s="12" t="s">
        <v>114</v>
      </c>
      <c r="G162" s="12" t="s">
        <v>35</v>
      </c>
      <c r="H162" s="12">
        <v>24</v>
      </c>
      <c r="I162" s="12">
        <v>1</v>
      </c>
      <c r="J162" s="12">
        <v>103.56416666699999</v>
      </c>
      <c r="K162" s="12">
        <v>2485.54</v>
      </c>
      <c r="L162" s="12">
        <v>102.81</v>
      </c>
      <c r="M162" s="12">
        <v>2467.44</v>
      </c>
      <c r="N162" s="12">
        <v>-18.100000000000001</v>
      </c>
    </row>
    <row r="163" spans="1:17" x14ac:dyDescent="0.3">
      <c r="A163" s="12" t="s">
        <v>89</v>
      </c>
      <c r="B163" s="12" t="s">
        <v>191</v>
      </c>
      <c r="C163" s="12" t="s">
        <v>97</v>
      </c>
      <c r="E163" s="12" t="s">
        <v>110</v>
      </c>
      <c r="F163" s="12" t="s">
        <v>114</v>
      </c>
      <c r="K163" s="12">
        <v>175624.18700000001</v>
      </c>
      <c r="M163" s="29">
        <v>186063.87</v>
      </c>
      <c r="N163" s="12">
        <v>10439.683000000001</v>
      </c>
    </row>
    <row r="164" spans="1:17" x14ac:dyDescent="0.3">
      <c r="A164" s="12" t="s">
        <v>89</v>
      </c>
      <c r="B164" s="12" t="s">
        <v>191</v>
      </c>
      <c r="C164" s="12" t="s">
        <v>120</v>
      </c>
      <c r="D164" s="12" t="s">
        <v>192</v>
      </c>
      <c r="E164" s="12" t="s">
        <v>100</v>
      </c>
      <c r="F164" s="12" t="s">
        <v>181</v>
      </c>
      <c r="G164" s="12" t="s">
        <v>0</v>
      </c>
      <c r="H164" s="12" t="s">
        <v>193</v>
      </c>
      <c r="I164" s="12" t="s">
        <v>194</v>
      </c>
      <c r="J164" s="12" t="s">
        <v>195</v>
      </c>
      <c r="K164" s="12" t="s">
        <v>196</v>
      </c>
      <c r="L164" s="12" t="s">
        <v>197</v>
      </c>
      <c r="M164" s="12" t="s">
        <v>198</v>
      </c>
      <c r="N164" s="12" t="s">
        <v>199</v>
      </c>
      <c r="O164" s="12" t="s">
        <v>165</v>
      </c>
    </row>
    <row r="165" spans="1:17" x14ac:dyDescent="0.3">
      <c r="A165" s="12" t="s">
        <v>89</v>
      </c>
      <c r="B165" s="12" t="s">
        <v>191</v>
      </c>
      <c r="C165" s="12" t="s">
        <v>123</v>
      </c>
      <c r="D165" s="12" t="s">
        <v>200</v>
      </c>
      <c r="E165" s="12" t="s">
        <v>112</v>
      </c>
      <c r="F165" s="12" t="s">
        <v>114</v>
      </c>
      <c r="G165" s="12" t="s">
        <v>36</v>
      </c>
      <c r="H165" s="12">
        <v>-8</v>
      </c>
      <c r="I165" s="12">
        <v>5</v>
      </c>
      <c r="J165" s="12">
        <v>4755.8062499999996</v>
      </c>
      <c r="K165" s="12">
        <v>-190232.25</v>
      </c>
      <c r="L165" s="12">
        <v>4870.5</v>
      </c>
      <c r="M165" s="12">
        <v>-194820</v>
      </c>
      <c r="N165" s="12">
        <v>-4587.75</v>
      </c>
    </row>
    <row r="166" spans="1:17" x14ac:dyDescent="0.3">
      <c r="A166" s="12" t="s">
        <v>89</v>
      </c>
      <c r="B166" s="12" t="s">
        <v>191</v>
      </c>
      <c r="C166" s="12" t="s">
        <v>97</v>
      </c>
      <c r="E166" t="s">
        <v>112</v>
      </c>
      <c r="F166" s="12" t="s">
        <v>114</v>
      </c>
      <c r="K166" s="12">
        <v>-190232.25</v>
      </c>
      <c r="M166" s="29">
        <v>-194820</v>
      </c>
      <c r="N166" s="12">
        <v>-4587.75</v>
      </c>
    </row>
    <row r="167" spans="1:17" x14ac:dyDescent="0.3">
      <c r="A167" s="12" t="s">
        <v>89</v>
      </c>
      <c r="B167" s="12" t="s">
        <v>201</v>
      </c>
      <c r="C167" s="12" t="s">
        <v>120</v>
      </c>
      <c r="D167" s="12" t="s">
        <v>192</v>
      </c>
      <c r="E167" s="12" t="s">
        <v>100</v>
      </c>
      <c r="F167" s="12" t="s">
        <v>181</v>
      </c>
      <c r="G167" s="12" t="s">
        <v>0</v>
      </c>
      <c r="H167" s="12" t="s">
        <v>202</v>
      </c>
      <c r="I167" s="12" t="s">
        <v>193</v>
      </c>
      <c r="J167" s="12" t="s">
        <v>203</v>
      </c>
      <c r="K167" s="12" t="s">
        <v>204</v>
      </c>
      <c r="L167" s="12" t="s">
        <v>205</v>
      </c>
      <c r="M167" s="12" t="s">
        <v>206</v>
      </c>
      <c r="N167" s="12" t="s">
        <v>1</v>
      </c>
      <c r="O167" s="12" t="s">
        <v>207</v>
      </c>
      <c r="P167" s="12" t="s">
        <v>208</v>
      </c>
      <c r="Q167" s="12" t="s">
        <v>165</v>
      </c>
    </row>
    <row r="168" spans="1:17" x14ac:dyDescent="0.3">
      <c r="A168" s="12" t="s">
        <v>89</v>
      </c>
      <c r="B168" s="12" t="s">
        <v>201</v>
      </c>
      <c r="C168" s="12" t="s">
        <v>123</v>
      </c>
      <c r="D168" s="12" t="s">
        <v>209</v>
      </c>
      <c r="E168" s="12" t="s">
        <v>110</v>
      </c>
      <c r="F168" s="12" t="s">
        <v>114</v>
      </c>
      <c r="G168" s="12" t="s">
        <v>2</v>
      </c>
      <c r="H168" s="12" t="s">
        <v>210</v>
      </c>
      <c r="I168" s="12">
        <v>81</v>
      </c>
      <c r="J168" s="12">
        <v>183.715555556</v>
      </c>
      <c r="K168" s="12">
        <v>181.91</v>
      </c>
      <c r="L168" s="12">
        <v>-14880.96</v>
      </c>
      <c r="M168" s="12">
        <v>-1.3</v>
      </c>
      <c r="N168" s="12">
        <v>14882.26</v>
      </c>
      <c r="O168" s="12">
        <v>0</v>
      </c>
      <c r="P168" s="12">
        <v>-146.25</v>
      </c>
      <c r="Q168" s="12" t="s">
        <v>211</v>
      </c>
    </row>
    <row r="169" spans="1:17" x14ac:dyDescent="0.3">
      <c r="A169" s="12" t="s">
        <v>89</v>
      </c>
      <c r="B169" s="12" t="s">
        <v>201</v>
      </c>
      <c r="C169" s="12" t="s">
        <v>123</v>
      </c>
      <c r="D169" s="12" t="s">
        <v>209</v>
      </c>
      <c r="E169" s="12" t="s">
        <v>110</v>
      </c>
      <c r="F169" s="12" t="s">
        <v>114</v>
      </c>
      <c r="G169" s="12" t="s">
        <v>2</v>
      </c>
      <c r="H169" s="12" t="s">
        <v>212</v>
      </c>
      <c r="I169" s="12">
        <v>-45</v>
      </c>
      <c r="J169" s="12">
        <v>191.48</v>
      </c>
      <c r="K169" s="12">
        <v>188.04</v>
      </c>
      <c r="L169" s="12">
        <v>8616.6</v>
      </c>
      <c r="M169" s="12">
        <v>-1.3</v>
      </c>
      <c r="N169" s="12">
        <v>-8269.06</v>
      </c>
      <c r="O169" s="12">
        <v>346.24</v>
      </c>
      <c r="P169" s="12">
        <v>154.80000000000001</v>
      </c>
      <c r="Q169" s="12" t="s">
        <v>3</v>
      </c>
    </row>
    <row r="170" spans="1:17" x14ac:dyDescent="0.3">
      <c r="A170" s="12" t="s">
        <v>89</v>
      </c>
      <c r="B170" s="12" t="s">
        <v>201</v>
      </c>
      <c r="C170" s="12" t="s">
        <v>213</v>
      </c>
      <c r="E170" s="12" t="s">
        <v>110</v>
      </c>
      <c r="F170" s="12" t="s">
        <v>114</v>
      </c>
      <c r="G170" s="12" t="s">
        <v>2</v>
      </c>
      <c r="I170" s="12">
        <v>36</v>
      </c>
      <c r="L170" s="12">
        <v>-6264.36</v>
      </c>
      <c r="M170" s="12">
        <v>-2.6</v>
      </c>
      <c r="N170" s="12">
        <v>6613.2</v>
      </c>
      <c r="O170" s="12">
        <v>346.24</v>
      </c>
      <c r="P170" s="12">
        <v>8.5500000000000007</v>
      </c>
    </row>
    <row r="171" spans="1:17" x14ac:dyDescent="0.3">
      <c r="A171" s="12" t="s">
        <v>89</v>
      </c>
      <c r="B171" s="12" t="s">
        <v>201</v>
      </c>
      <c r="C171" s="12" t="s">
        <v>123</v>
      </c>
      <c r="D171" s="12" t="s">
        <v>209</v>
      </c>
      <c r="E171" s="12" t="s">
        <v>110</v>
      </c>
      <c r="F171" s="12" t="s">
        <v>114</v>
      </c>
      <c r="G171" s="12" t="s">
        <v>4</v>
      </c>
      <c r="H171" s="12" t="s">
        <v>214</v>
      </c>
      <c r="I171" s="12">
        <v>12</v>
      </c>
      <c r="J171" s="12">
        <v>213.79</v>
      </c>
      <c r="K171" s="12">
        <v>215.46</v>
      </c>
      <c r="L171" s="12">
        <v>-2565.48</v>
      </c>
      <c r="M171" s="12">
        <v>-1.3</v>
      </c>
      <c r="N171" s="12">
        <v>2566.7800000000002</v>
      </c>
      <c r="O171" s="12">
        <v>0</v>
      </c>
      <c r="P171" s="12">
        <v>20.04</v>
      </c>
      <c r="Q171" s="12" t="s">
        <v>215</v>
      </c>
    </row>
    <row r="172" spans="1:17" x14ac:dyDescent="0.3">
      <c r="A172" s="12" t="s">
        <v>89</v>
      </c>
      <c r="B172" s="12" t="s">
        <v>201</v>
      </c>
      <c r="C172" s="12" t="s">
        <v>213</v>
      </c>
      <c r="E172" s="12" t="s">
        <v>110</v>
      </c>
      <c r="F172" s="12" t="s">
        <v>114</v>
      </c>
      <c r="G172" s="12" t="s">
        <v>4</v>
      </c>
      <c r="I172" s="12">
        <v>12</v>
      </c>
      <c r="L172" s="12">
        <v>-2565.48</v>
      </c>
      <c r="M172" s="12">
        <v>-1.3</v>
      </c>
      <c r="N172" s="12">
        <v>2566.7800000000002</v>
      </c>
      <c r="O172" s="12">
        <v>0</v>
      </c>
      <c r="P172" s="12">
        <v>20.04</v>
      </c>
    </row>
    <row r="173" spans="1:17" x14ac:dyDescent="0.3">
      <c r="A173" s="12" t="s">
        <v>89</v>
      </c>
      <c r="B173" s="12" t="s">
        <v>201</v>
      </c>
      <c r="C173" s="12" t="s">
        <v>123</v>
      </c>
      <c r="D173" s="12" t="s">
        <v>209</v>
      </c>
      <c r="E173" s="12" t="s">
        <v>110</v>
      </c>
      <c r="F173" s="12" t="s">
        <v>114</v>
      </c>
      <c r="G173" s="12" t="s">
        <v>5</v>
      </c>
      <c r="H173" s="12" t="s">
        <v>216</v>
      </c>
      <c r="I173" s="12">
        <v>104</v>
      </c>
      <c r="J173" s="12">
        <v>145.25</v>
      </c>
      <c r="K173" s="12">
        <v>144.57</v>
      </c>
      <c r="L173" s="12">
        <v>-15106</v>
      </c>
      <c r="M173" s="12">
        <v>-1.3</v>
      </c>
      <c r="N173" s="12">
        <v>15107.3</v>
      </c>
      <c r="O173" s="12">
        <v>0</v>
      </c>
      <c r="P173" s="12">
        <v>-70.72</v>
      </c>
      <c r="Q173" s="12" t="s">
        <v>215</v>
      </c>
    </row>
    <row r="174" spans="1:17" x14ac:dyDescent="0.3">
      <c r="A174" s="12" t="s">
        <v>89</v>
      </c>
      <c r="B174" s="12" t="s">
        <v>201</v>
      </c>
      <c r="C174" s="12" t="s">
        <v>213</v>
      </c>
      <c r="E174" s="12" t="s">
        <v>110</v>
      </c>
      <c r="F174" s="12" t="s">
        <v>114</v>
      </c>
      <c r="G174" s="12" t="s">
        <v>5</v>
      </c>
      <c r="I174" s="12">
        <v>104</v>
      </c>
      <c r="L174" s="12">
        <v>-15106</v>
      </c>
      <c r="M174" s="12">
        <v>-1.3</v>
      </c>
      <c r="N174" s="12">
        <v>15107.3</v>
      </c>
      <c r="O174" s="12">
        <v>0</v>
      </c>
      <c r="P174" s="12">
        <v>-70.72</v>
      </c>
    </row>
    <row r="175" spans="1:17" x14ac:dyDescent="0.3">
      <c r="A175" s="12" t="s">
        <v>89</v>
      </c>
      <c r="B175" s="12" t="s">
        <v>201</v>
      </c>
      <c r="C175" s="12" t="s">
        <v>123</v>
      </c>
      <c r="D175" s="12" t="s">
        <v>209</v>
      </c>
      <c r="E175" s="12" t="s">
        <v>110</v>
      </c>
      <c r="F175" s="12" t="s">
        <v>114</v>
      </c>
      <c r="G175" s="12" t="s">
        <v>6</v>
      </c>
      <c r="H175" s="12" t="s">
        <v>217</v>
      </c>
      <c r="I175" s="12">
        <v>31</v>
      </c>
      <c r="J175" s="12">
        <v>229.02</v>
      </c>
      <c r="K175" s="12">
        <v>229.4</v>
      </c>
      <c r="L175" s="12">
        <v>-7099.62</v>
      </c>
      <c r="M175" s="12">
        <v>-1.3</v>
      </c>
      <c r="N175" s="12">
        <v>7100.92</v>
      </c>
      <c r="O175" s="12">
        <v>0</v>
      </c>
      <c r="P175" s="12">
        <v>11.78</v>
      </c>
      <c r="Q175" s="12" t="s">
        <v>215</v>
      </c>
    </row>
    <row r="176" spans="1:17" x14ac:dyDescent="0.3">
      <c r="A176" s="12" t="s">
        <v>89</v>
      </c>
      <c r="B176" s="12" t="s">
        <v>201</v>
      </c>
      <c r="C176" s="12" t="s">
        <v>213</v>
      </c>
      <c r="E176" s="12" t="s">
        <v>110</v>
      </c>
      <c r="F176" s="12" t="s">
        <v>114</v>
      </c>
      <c r="G176" s="12" t="s">
        <v>6</v>
      </c>
      <c r="I176" s="12">
        <v>31</v>
      </c>
      <c r="L176" s="12">
        <v>-7099.62</v>
      </c>
      <c r="M176" s="12">
        <v>-1.3</v>
      </c>
      <c r="N176" s="12">
        <v>7100.92</v>
      </c>
      <c r="O176" s="12">
        <v>0</v>
      </c>
      <c r="P176" s="12">
        <v>11.78</v>
      </c>
    </row>
    <row r="177" spans="1:17" x14ac:dyDescent="0.3">
      <c r="A177" s="12" t="s">
        <v>89</v>
      </c>
      <c r="B177" s="12" t="s">
        <v>201</v>
      </c>
      <c r="C177" s="12" t="s">
        <v>123</v>
      </c>
      <c r="D177" s="12" t="s">
        <v>209</v>
      </c>
      <c r="E177" s="12" t="s">
        <v>110</v>
      </c>
      <c r="F177" s="12" t="s">
        <v>114</v>
      </c>
      <c r="G177" s="12" t="s">
        <v>7</v>
      </c>
      <c r="H177" s="12" t="s">
        <v>218</v>
      </c>
      <c r="I177" s="12">
        <v>7</v>
      </c>
      <c r="J177" s="12">
        <v>1058.44</v>
      </c>
      <c r="K177" s="12">
        <v>1049.01</v>
      </c>
      <c r="L177" s="12">
        <v>-7409.08</v>
      </c>
      <c r="M177" s="12">
        <v>-1.3</v>
      </c>
      <c r="N177" s="12">
        <v>7410.38</v>
      </c>
      <c r="O177" s="12">
        <v>0</v>
      </c>
      <c r="P177" s="12">
        <v>-66.010000000000005</v>
      </c>
      <c r="Q177" s="12" t="s">
        <v>211</v>
      </c>
    </row>
    <row r="178" spans="1:17" x14ac:dyDescent="0.3">
      <c r="A178" s="12" t="s">
        <v>89</v>
      </c>
      <c r="B178" s="12" t="s">
        <v>201</v>
      </c>
      <c r="C178" s="12" t="s">
        <v>213</v>
      </c>
      <c r="E178" s="12" t="s">
        <v>110</v>
      </c>
      <c r="F178" s="12" t="s">
        <v>114</v>
      </c>
      <c r="G178" s="12" t="s">
        <v>7</v>
      </c>
      <c r="I178" s="12">
        <v>7</v>
      </c>
      <c r="L178" s="12">
        <v>-7409.08</v>
      </c>
      <c r="M178" s="12">
        <v>-1.3</v>
      </c>
      <c r="N178" s="12">
        <v>7410.38</v>
      </c>
      <c r="O178" s="12">
        <v>0</v>
      </c>
      <c r="P178" s="12">
        <v>-66.010000000000005</v>
      </c>
    </row>
    <row r="179" spans="1:17" x14ac:dyDescent="0.3">
      <c r="A179" s="12" t="s">
        <v>89</v>
      </c>
      <c r="B179" s="12" t="s">
        <v>201</v>
      </c>
      <c r="C179" s="12" t="s">
        <v>123</v>
      </c>
      <c r="D179" s="12" t="s">
        <v>209</v>
      </c>
      <c r="E179" s="12" t="s">
        <v>110</v>
      </c>
      <c r="F179" s="12" t="s">
        <v>114</v>
      </c>
      <c r="G179" s="12" t="s">
        <v>8</v>
      </c>
      <c r="H179" s="12" t="s">
        <v>219</v>
      </c>
      <c r="I179" s="12">
        <v>231</v>
      </c>
      <c r="J179" s="12">
        <v>32.17</v>
      </c>
      <c r="K179" s="12">
        <v>32.119999999999997</v>
      </c>
      <c r="L179" s="12">
        <v>-7431.27</v>
      </c>
      <c r="M179" s="12">
        <v>-1.617</v>
      </c>
      <c r="N179" s="12">
        <v>7432.8869999999997</v>
      </c>
      <c r="O179" s="12">
        <v>0</v>
      </c>
      <c r="P179" s="12">
        <v>-11.55</v>
      </c>
      <c r="Q179" s="12" t="s">
        <v>211</v>
      </c>
    </row>
    <row r="180" spans="1:17" x14ac:dyDescent="0.3">
      <c r="A180" s="12" t="s">
        <v>89</v>
      </c>
      <c r="B180" s="12" t="s">
        <v>201</v>
      </c>
      <c r="C180" s="12" t="s">
        <v>213</v>
      </c>
      <c r="E180" s="12" t="s">
        <v>110</v>
      </c>
      <c r="F180" s="12" t="s">
        <v>114</v>
      </c>
      <c r="G180" s="12" t="s">
        <v>8</v>
      </c>
      <c r="I180" s="12">
        <v>231</v>
      </c>
      <c r="L180" s="12">
        <v>-7431.27</v>
      </c>
      <c r="M180" s="12">
        <v>-1.617</v>
      </c>
      <c r="N180" s="12">
        <v>7432.8869999999997</v>
      </c>
      <c r="O180" s="12">
        <v>0</v>
      </c>
      <c r="P180" s="12">
        <v>-11.55</v>
      </c>
    </row>
    <row r="181" spans="1:17" x14ac:dyDescent="0.3">
      <c r="A181" s="12" t="s">
        <v>89</v>
      </c>
      <c r="B181" s="12" t="s">
        <v>201</v>
      </c>
      <c r="C181" s="12" t="s">
        <v>123</v>
      </c>
      <c r="D181" s="12" t="s">
        <v>209</v>
      </c>
      <c r="E181" s="12" t="s">
        <v>110</v>
      </c>
      <c r="F181" s="12" t="s">
        <v>114</v>
      </c>
      <c r="G181" s="12" t="s">
        <v>9</v>
      </c>
      <c r="H181" s="12" t="s">
        <v>220</v>
      </c>
      <c r="I181" s="12">
        <v>1</v>
      </c>
      <c r="J181" s="12">
        <v>3385.92</v>
      </c>
      <c r="K181" s="12">
        <v>3419.94</v>
      </c>
      <c r="L181" s="12">
        <v>-3385.92</v>
      </c>
      <c r="M181" s="12">
        <v>-1.3</v>
      </c>
      <c r="N181" s="12">
        <v>3387.22</v>
      </c>
      <c r="O181" s="12">
        <v>0</v>
      </c>
      <c r="P181" s="12">
        <v>34.020000000000003</v>
      </c>
      <c r="Q181" s="12" t="s">
        <v>215</v>
      </c>
    </row>
    <row r="182" spans="1:17" x14ac:dyDescent="0.3">
      <c r="A182" s="12" t="s">
        <v>89</v>
      </c>
      <c r="B182" s="12" t="s">
        <v>201</v>
      </c>
      <c r="C182" s="12" t="s">
        <v>213</v>
      </c>
      <c r="E182" s="12" t="s">
        <v>110</v>
      </c>
      <c r="F182" s="12" t="s">
        <v>114</v>
      </c>
      <c r="G182" s="12" t="s">
        <v>9</v>
      </c>
      <c r="I182" s="12">
        <v>1</v>
      </c>
      <c r="L182" s="12">
        <v>-3385.92</v>
      </c>
      <c r="M182" s="12">
        <v>-1.3</v>
      </c>
      <c r="N182" s="12">
        <v>3387.22</v>
      </c>
      <c r="O182" s="12">
        <v>0</v>
      </c>
      <c r="P182" s="12">
        <v>34.020000000000003</v>
      </c>
    </row>
    <row r="183" spans="1:17" x14ac:dyDescent="0.3">
      <c r="A183" s="12" t="s">
        <v>89</v>
      </c>
      <c r="B183" s="12" t="s">
        <v>201</v>
      </c>
      <c r="C183" s="12" t="s">
        <v>123</v>
      </c>
      <c r="D183" s="12" t="s">
        <v>209</v>
      </c>
      <c r="E183" s="12" t="s">
        <v>110</v>
      </c>
      <c r="F183" s="12" t="s">
        <v>114</v>
      </c>
      <c r="G183" s="12" t="s">
        <v>3</v>
      </c>
      <c r="H183" s="12" t="s">
        <v>221</v>
      </c>
      <c r="I183" s="12">
        <v>148</v>
      </c>
      <c r="J183" s="12">
        <v>51.39</v>
      </c>
      <c r="K183" s="12">
        <v>52.62</v>
      </c>
      <c r="L183" s="12">
        <v>-7605.72</v>
      </c>
      <c r="M183" s="12">
        <v>-1.3</v>
      </c>
      <c r="N183" s="12">
        <v>7607.02</v>
      </c>
      <c r="O183" s="12">
        <v>0</v>
      </c>
      <c r="P183" s="12">
        <v>182.04</v>
      </c>
      <c r="Q183" s="12" t="s">
        <v>215</v>
      </c>
    </row>
    <row r="184" spans="1:17" x14ac:dyDescent="0.3">
      <c r="A184" s="12" t="s">
        <v>89</v>
      </c>
      <c r="B184" s="12" t="s">
        <v>201</v>
      </c>
      <c r="C184" s="12" t="s">
        <v>213</v>
      </c>
      <c r="E184" s="12" t="s">
        <v>110</v>
      </c>
      <c r="F184" s="12" t="s">
        <v>114</v>
      </c>
      <c r="G184" s="12" t="s">
        <v>3</v>
      </c>
      <c r="I184" s="12">
        <v>148</v>
      </c>
      <c r="L184" s="12">
        <v>-7605.72</v>
      </c>
      <c r="M184" s="12">
        <v>-1.3</v>
      </c>
      <c r="N184" s="12">
        <v>7607.02</v>
      </c>
      <c r="O184" s="12">
        <v>0</v>
      </c>
      <c r="P184" s="12">
        <v>182.04</v>
      </c>
    </row>
    <row r="185" spans="1:17" x14ac:dyDescent="0.3">
      <c r="A185" s="12" t="s">
        <v>89</v>
      </c>
      <c r="B185" s="12" t="s">
        <v>201</v>
      </c>
      <c r="C185" s="12" t="s">
        <v>123</v>
      </c>
      <c r="D185" s="12" t="s">
        <v>209</v>
      </c>
      <c r="E185" s="12" t="s">
        <v>110</v>
      </c>
      <c r="F185" s="12" t="s">
        <v>114</v>
      </c>
      <c r="G185" s="12" t="s">
        <v>10</v>
      </c>
      <c r="H185" s="12" t="s">
        <v>222</v>
      </c>
      <c r="I185" s="12">
        <v>40</v>
      </c>
      <c r="J185" s="12">
        <v>119.68</v>
      </c>
      <c r="K185" s="12">
        <v>116.48</v>
      </c>
      <c r="L185" s="12">
        <v>-4787.2</v>
      </c>
      <c r="M185" s="12">
        <v>-1.3</v>
      </c>
      <c r="N185" s="12">
        <v>4788.5</v>
      </c>
      <c r="O185" s="12">
        <v>0</v>
      </c>
      <c r="P185" s="12">
        <v>-128</v>
      </c>
      <c r="Q185" s="12" t="s">
        <v>215</v>
      </c>
    </row>
    <row r="186" spans="1:17" x14ac:dyDescent="0.3">
      <c r="A186" s="12" t="s">
        <v>89</v>
      </c>
      <c r="B186" s="12" t="s">
        <v>201</v>
      </c>
      <c r="C186" s="12" t="s">
        <v>123</v>
      </c>
      <c r="D186" s="12" t="s">
        <v>209</v>
      </c>
      <c r="E186" s="12" t="s">
        <v>110</v>
      </c>
      <c r="F186" s="12" t="s">
        <v>114</v>
      </c>
      <c r="G186" s="12" t="s">
        <v>10</v>
      </c>
      <c r="H186" s="12" t="s">
        <v>223</v>
      </c>
      <c r="I186" s="12">
        <v>-40</v>
      </c>
      <c r="J186" s="12">
        <v>107.63</v>
      </c>
      <c r="K186" s="12">
        <v>107.57</v>
      </c>
      <c r="L186" s="12">
        <v>4305.2</v>
      </c>
      <c r="M186" s="12">
        <v>-1.3</v>
      </c>
      <c r="N186" s="12">
        <v>-4788.5</v>
      </c>
      <c r="O186" s="12">
        <v>-484.6</v>
      </c>
      <c r="P186" s="12">
        <v>2.4</v>
      </c>
      <c r="Q186" s="12" t="s">
        <v>3</v>
      </c>
    </row>
    <row r="187" spans="1:17" x14ac:dyDescent="0.3">
      <c r="A187" s="12" t="s">
        <v>89</v>
      </c>
      <c r="B187" s="12" t="s">
        <v>201</v>
      </c>
      <c r="C187" s="12" t="s">
        <v>213</v>
      </c>
      <c r="E187" s="12" t="s">
        <v>110</v>
      </c>
      <c r="F187" s="12" t="s">
        <v>114</v>
      </c>
      <c r="G187" s="12" t="s">
        <v>10</v>
      </c>
      <c r="I187" s="12">
        <v>0</v>
      </c>
      <c r="L187" s="12">
        <v>-482</v>
      </c>
      <c r="M187" s="12">
        <v>-2.6</v>
      </c>
      <c r="N187" s="12">
        <v>0</v>
      </c>
      <c r="O187" s="12">
        <v>-484.6</v>
      </c>
      <c r="P187" s="12">
        <v>-125.6</v>
      </c>
    </row>
    <row r="188" spans="1:17" x14ac:dyDescent="0.3">
      <c r="A188" s="12" t="s">
        <v>89</v>
      </c>
      <c r="B188" s="12" t="s">
        <v>201</v>
      </c>
      <c r="C188" s="12" t="s">
        <v>123</v>
      </c>
      <c r="D188" s="12" t="s">
        <v>209</v>
      </c>
      <c r="E188" s="12" t="s">
        <v>110</v>
      </c>
      <c r="F188" s="12" t="s">
        <v>114</v>
      </c>
      <c r="G188" s="12" t="s">
        <v>11</v>
      </c>
      <c r="H188" s="12" t="s">
        <v>224</v>
      </c>
      <c r="I188" s="12">
        <v>11</v>
      </c>
      <c r="J188" s="12">
        <v>643.07000000000005</v>
      </c>
      <c r="K188" s="12">
        <v>648.35</v>
      </c>
      <c r="L188" s="12">
        <v>-7073.77</v>
      </c>
      <c r="M188" s="12">
        <v>-1.3</v>
      </c>
      <c r="N188" s="12">
        <v>7075.07</v>
      </c>
      <c r="O188" s="12">
        <v>0</v>
      </c>
      <c r="P188" s="12">
        <v>58.08</v>
      </c>
      <c r="Q188" s="12" t="s">
        <v>215</v>
      </c>
    </row>
    <row r="189" spans="1:17" x14ac:dyDescent="0.3">
      <c r="A189" s="12" t="s">
        <v>89</v>
      </c>
      <c r="B189" s="12" t="s">
        <v>201</v>
      </c>
      <c r="C189" s="12" t="s">
        <v>213</v>
      </c>
      <c r="E189" s="12" t="s">
        <v>110</v>
      </c>
      <c r="F189" s="12" t="s">
        <v>114</v>
      </c>
      <c r="G189" s="12" t="s">
        <v>11</v>
      </c>
      <c r="I189" s="12">
        <v>11</v>
      </c>
      <c r="L189" s="12">
        <v>-7073.77</v>
      </c>
      <c r="M189" s="12">
        <v>-1.3</v>
      </c>
      <c r="N189" s="12">
        <v>7075.07</v>
      </c>
      <c r="O189" s="12">
        <v>0</v>
      </c>
      <c r="P189" s="12">
        <v>58.08</v>
      </c>
    </row>
    <row r="190" spans="1:17" x14ac:dyDescent="0.3">
      <c r="A190" s="12" t="s">
        <v>89</v>
      </c>
      <c r="B190" s="12" t="s">
        <v>201</v>
      </c>
      <c r="C190" s="12" t="s">
        <v>123</v>
      </c>
      <c r="D190" s="12" t="s">
        <v>209</v>
      </c>
      <c r="E190" s="12" t="s">
        <v>110</v>
      </c>
      <c r="F190" s="12" t="s">
        <v>114</v>
      </c>
      <c r="G190" s="12" t="s">
        <v>12</v>
      </c>
      <c r="H190" s="12" t="s">
        <v>225</v>
      </c>
      <c r="I190" s="12">
        <v>95</v>
      </c>
      <c r="J190" s="12">
        <v>80.37</v>
      </c>
      <c r="K190" s="12">
        <v>80.510000000000005</v>
      </c>
      <c r="L190" s="12">
        <v>-7635.15</v>
      </c>
      <c r="M190" s="12">
        <v>-1.3</v>
      </c>
      <c r="N190" s="12">
        <v>7636.45</v>
      </c>
      <c r="O190" s="12">
        <v>0</v>
      </c>
      <c r="P190" s="12">
        <v>13.3</v>
      </c>
      <c r="Q190" s="12" t="s">
        <v>211</v>
      </c>
    </row>
    <row r="191" spans="1:17" x14ac:dyDescent="0.3">
      <c r="A191" s="12" t="s">
        <v>89</v>
      </c>
      <c r="B191" s="12" t="s">
        <v>201</v>
      </c>
      <c r="C191" s="12" t="s">
        <v>123</v>
      </c>
      <c r="D191" s="12" t="s">
        <v>209</v>
      </c>
      <c r="E191" s="12" t="s">
        <v>110</v>
      </c>
      <c r="F191" s="12" t="s">
        <v>114</v>
      </c>
      <c r="G191" s="12" t="s">
        <v>12</v>
      </c>
      <c r="H191" s="12" t="s">
        <v>226</v>
      </c>
      <c r="I191" s="12">
        <v>-95</v>
      </c>
      <c r="J191" s="12">
        <v>71.13</v>
      </c>
      <c r="K191" s="12">
        <v>71.989999999999995</v>
      </c>
      <c r="L191" s="12">
        <v>6757.35</v>
      </c>
      <c r="M191" s="12">
        <v>-1.3</v>
      </c>
      <c r="N191" s="12">
        <v>-7636.45</v>
      </c>
      <c r="O191" s="12">
        <v>-880.4</v>
      </c>
      <c r="P191" s="12">
        <v>-81.7</v>
      </c>
      <c r="Q191" s="12" t="s">
        <v>3</v>
      </c>
    </row>
    <row r="192" spans="1:17" x14ac:dyDescent="0.3">
      <c r="A192" s="12" t="s">
        <v>89</v>
      </c>
      <c r="B192" s="12" t="s">
        <v>201</v>
      </c>
      <c r="C192" s="12" t="s">
        <v>213</v>
      </c>
      <c r="E192" s="12" t="s">
        <v>110</v>
      </c>
      <c r="F192" s="12" t="s">
        <v>114</v>
      </c>
      <c r="G192" s="12" t="s">
        <v>12</v>
      </c>
      <c r="I192" s="12">
        <v>0</v>
      </c>
      <c r="L192" s="12">
        <v>-877.8</v>
      </c>
      <c r="M192" s="12">
        <v>-2.6</v>
      </c>
      <c r="N192" s="12">
        <v>0</v>
      </c>
      <c r="O192" s="12">
        <v>-880.4</v>
      </c>
      <c r="P192" s="12">
        <v>-68.400000000000006</v>
      </c>
    </row>
    <row r="193" spans="1:17" x14ac:dyDescent="0.3">
      <c r="A193" s="12" t="s">
        <v>89</v>
      </c>
      <c r="B193" s="12" t="s">
        <v>201</v>
      </c>
      <c r="C193" s="12" t="s">
        <v>123</v>
      </c>
      <c r="D193" s="12" t="s">
        <v>209</v>
      </c>
      <c r="E193" s="12" t="s">
        <v>110</v>
      </c>
      <c r="F193" s="12" t="s">
        <v>114</v>
      </c>
      <c r="G193" s="12" t="s">
        <v>13</v>
      </c>
      <c r="H193" s="12" t="s">
        <v>227</v>
      </c>
      <c r="I193" s="12">
        <v>18</v>
      </c>
      <c r="J193" s="12">
        <v>400.01</v>
      </c>
      <c r="K193" s="12">
        <v>400.91</v>
      </c>
      <c r="L193" s="12">
        <v>-7200.18</v>
      </c>
      <c r="M193" s="12">
        <v>-1.3</v>
      </c>
      <c r="N193" s="12">
        <v>7201.48</v>
      </c>
      <c r="O193" s="12">
        <v>0</v>
      </c>
      <c r="P193" s="12">
        <v>16.2</v>
      </c>
      <c r="Q193" s="12" t="s">
        <v>211</v>
      </c>
    </row>
    <row r="194" spans="1:17" x14ac:dyDescent="0.3">
      <c r="A194" s="12" t="s">
        <v>89</v>
      </c>
      <c r="B194" s="12" t="s">
        <v>201</v>
      </c>
      <c r="C194" s="12" t="s">
        <v>213</v>
      </c>
      <c r="E194" s="12" t="s">
        <v>110</v>
      </c>
      <c r="F194" s="12" t="s">
        <v>114</v>
      </c>
      <c r="G194" s="12" t="s">
        <v>13</v>
      </c>
      <c r="I194" s="12">
        <v>18</v>
      </c>
      <c r="L194" s="12">
        <v>-7200.18</v>
      </c>
      <c r="M194" s="12">
        <v>-1.3</v>
      </c>
      <c r="N194" s="12">
        <v>7201.48</v>
      </c>
      <c r="O194" s="12">
        <v>0</v>
      </c>
      <c r="P194" s="12">
        <v>16.2</v>
      </c>
    </row>
    <row r="195" spans="1:17" x14ac:dyDescent="0.3">
      <c r="A195" s="12" t="s">
        <v>89</v>
      </c>
      <c r="B195" s="12" t="s">
        <v>201</v>
      </c>
      <c r="C195" s="12" t="s">
        <v>123</v>
      </c>
      <c r="D195" s="12" t="s">
        <v>209</v>
      </c>
      <c r="E195" s="12" t="s">
        <v>110</v>
      </c>
      <c r="F195" s="12" t="s">
        <v>114</v>
      </c>
      <c r="G195" s="12" t="s">
        <v>14</v>
      </c>
      <c r="H195" s="12" t="s">
        <v>228</v>
      </c>
      <c r="I195" s="12">
        <v>32</v>
      </c>
      <c r="J195" s="12">
        <v>230.45</v>
      </c>
      <c r="K195" s="12">
        <v>232.62</v>
      </c>
      <c r="L195" s="12">
        <v>-7374.4</v>
      </c>
      <c r="M195" s="12">
        <v>-1.3</v>
      </c>
      <c r="N195" s="12">
        <v>7375.7</v>
      </c>
      <c r="O195" s="12">
        <v>0</v>
      </c>
      <c r="P195" s="12">
        <v>69.44</v>
      </c>
      <c r="Q195" s="12" t="s">
        <v>215</v>
      </c>
    </row>
    <row r="196" spans="1:17" x14ac:dyDescent="0.3">
      <c r="A196" s="12" t="s">
        <v>89</v>
      </c>
      <c r="B196" s="12" t="s">
        <v>201</v>
      </c>
      <c r="C196" s="12" t="s">
        <v>123</v>
      </c>
      <c r="D196" s="12" t="s">
        <v>209</v>
      </c>
      <c r="E196" s="12" t="s">
        <v>110</v>
      </c>
      <c r="F196" s="12" t="s">
        <v>114</v>
      </c>
      <c r="G196" s="12" t="s">
        <v>14</v>
      </c>
      <c r="H196" s="12" t="s">
        <v>229</v>
      </c>
      <c r="I196" s="12">
        <v>-32</v>
      </c>
      <c r="J196" s="12">
        <v>232.58</v>
      </c>
      <c r="K196" s="12">
        <v>233.93</v>
      </c>
      <c r="L196" s="12">
        <v>7442.56</v>
      </c>
      <c r="M196" s="12">
        <v>-1.3</v>
      </c>
      <c r="N196" s="12">
        <v>-7375.7</v>
      </c>
      <c r="O196" s="12">
        <v>65.56</v>
      </c>
      <c r="P196" s="12">
        <v>-43.2</v>
      </c>
      <c r="Q196" s="12" t="s">
        <v>230</v>
      </c>
    </row>
    <row r="197" spans="1:17" x14ac:dyDescent="0.3">
      <c r="A197" s="12" t="s">
        <v>89</v>
      </c>
      <c r="B197" s="12" t="s">
        <v>201</v>
      </c>
      <c r="C197" s="12" t="s">
        <v>213</v>
      </c>
      <c r="E197" s="12" t="s">
        <v>110</v>
      </c>
      <c r="F197" s="12" t="s">
        <v>114</v>
      </c>
      <c r="G197" s="12" t="s">
        <v>14</v>
      </c>
      <c r="I197" s="12">
        <v>0</v>
      </c>
      <c r="L197" s="12">
        <v>68.16</v>
      </c>
      <c r="M197" s="12">
        <v>-2.6</v>
      </c>
      <c r="N197" s="12">
        <v>0</v>
      </c>
      <c r="O197" s="12">
        <v>65.56</v>
      </c>
      <c r="P197" s="12">
        <v>26.24</v>
      </c>
    </row>
    <row r="198" spans="1:17" x14ac:dyDescent="0.3">
      <c r="A198" s="12" t="s">
        <v>89</v>
      </c>
      <c r="B198" s="12" t="s">
        <v>201</v>
      </c>
      <c r="C198" s="12" t="s">
        <v>123</v>
      </c>
      <c r="D198" s="12" t="s">
        <v>209</v>
      </c>
      <c r="E198" s="12" t="s">
        <v>110</v>
      </c>
      <c r="F198" s="12" t="s">
        <v>114</v>
      </c>
      <c r="G198" s="12" t="s">
        <v>15</v>
      </c>
      <c r="H198" s="12" t="s">
        <v>231</v>
      </c>
      <c r="I198" s="12">
        <v>16</v>
      </c>
      <c r="J198" s="12">
        <v>471.69</v>
      </c>
      <c r="K198" s="12">
        <v>480.05</v>
      </c>
      <c r="L198" s="12">
        <v>-7547.04</v>
      </c>
      <c r="M198" s="12">
        <v>-1.3</v>
      </c>
      <c r="N198" s="12">
        <v>7548.34</v>
      </c>
      <c r="O198" s="12">
        <v>0</v>
      </c>
      <c r="P198" s="12">
        <v>133.76</v>
      </c>
      <c r="Q198" s="12" t="s">
        <v>215</v>
      </c>
    </row>
    <row r="199" spans="1:17" x14ac:dyDescent="0.3">
      <c r="A199" s="12" t="s">
        <v>89</v>
      </c>
      <c r="B199" s="12" t="s">
        <v>201</v>
      </c>
      <c r="C199" s="12" t="s">
        <v>123</v>
      </c>
      <c r="D199" s="12" t="s">
        <v>209</v>
      </c>
      <c r="E199" s="12" t="s">
        <v>110</v>
      </c>
      <c r="F199" s="12" t="s">
        <v>114</v>
      </c>
      <c r="G199" s="12" t="s">
        <v>15</v>
      </c>
      <c r="H199" s="12" t="s">
        <v>232</v>
      </c>
      <c r="I199" s="12">
        <v>-8</v>
      </c>
      <c r="J199" s="12">
        <v>473.13499999999999</v>
      </c>
      <c r="K199" s="12">
        <v>471.84</v>
      </c>
      <c r="L199" s="12">
        <v>3785.08</v>
      </c>
      <c r="M199" s="12">
        <v>-1.3</v>
      </c>
      <c r="N199" s="12">
        <v>-3774.17</v>
      </c>
      <c r="O199" s="12">
        <v>9.61</v>
      </c>
      <c r="P199" s="12">
        <v>10.36</v>
      </c>
      <c r="Q199" s="12" t="s">
        <v>3</v>
      </c>
    </row>
    <row r="200" spans="1:17" x14ac:dyDescent="0.3">
      <c r="A200" s="12" t="s">
        <v>89</v>
      </c>
      <c r="B200" s="12" t="s">
        <v>201</v>
      </c>
      <c r="C200" s="12" t="s">
        <v>123</v>
      </c>
      <c r="D200" s="12" t="s">
        <v>209</v>
      </c>
      <c r="E200" s="12" t="s">
        <v>110</v>
      </c>
      <c r="F200" s="12" t="s">
        <v>114</v>
      </c>
      <c r="G200" s="12" t="s">
        <v>15</v>
      </c>
      <c r="H200" s="12" t="s">
        <v>233</v>
      </c>
      <c r="I200" s="12">
        <v>-8</v>
      </c>
      <c r="J200" s="12">
        <v>473</v>
      </c>
      <c r="K200" s="12">
        <v>480.31</v>
      </c>
      <c r="L200" s="12">
        <v>3784</v>
      </c>
      <c r="M200" s="12">
        <v>-1.3</v>
      </c>
      <c r="N200" s="12">
        <v>-3774.17</v>
      </c>
      <c r="O200" s="12">
        <v>8.5299999999999994</v>
      </c>
      <c r="P200" s="12">
        <v>-58.48</v>
      </c>
      <c r="Q200" s="12" t="s">
        <v>3</v>
      </c>
    </row>
    <row r="201" spans="1:17" x14ac:dyDescent="0.3">
      <c r="A201" s="12" t="s">
        <v>89</v>
      </c>
      <c r="B201" s="12" t="s">
        <v>201</v>
      </c>
      <c r="C201" s="12" t="s">
        <v>213</v>
      </c>
      <c r="E201" s="12" t="s">
        <v>110</v>
      </c>
      <c r="F201" s="12" t="s">
        <v>114</v>
      </c>
      <c r="G201" s="12" t="s">
        <v>15</v>
      </c>
      <c r="I201" s="12">
        <v>0</v>
      </c>
      <c r="L201" s="12">
        <v>22.04</v>
      </c>
      <c r="M201" s="12">
        <v>-3.9</v>
      </c>
      <c r="N201" s="12">
        <v>0</v>
      </c>
      <c r="O201" s="12">
        <v>18.14</v>
      </c>
      <c r="P201" s="12">
        <v>85.64</v>
      </c>
    </row>
    <row r="202" spans="1:17" x14ac:dyDescent="0.3">
      <c r="A202" s="12" t="s">
        <v>89</v>
      </c>
      <c r="B202" s="12" t="s">
        <v>201</v>
      </c>
      <c r="C202" s="12" t="s">
        <v>123</v>
      </c>
      <c r="D202" s="12" t="s">
        <v>209</v>
      </c>
      <c r="E202" s="12" t="s">
        <v>110</v>
      </c>
      <c r="F202" s="12" t="s">
        <v>114</v>
      </c>
      <c r="G202" s="12" t="s">
        <v>16</v>
      </c>
      <c r="H202" s="12" t="s">
        <v>234</v>
      </c>
      <c r="I202" s="12">
        <v>20</v>
      </c>
      <c r="J202" s="12">
        <v>125.05</v>
      </c>
      <c r="K202" s="12">
        <v>121.02</v>
      </c>
      <c r="L202" s="12">
        <v>-2501</v>
      </c>
      <c r="M202" s="12">
        <v>-1.3</v>
      </c>
      <c r="N202" s="12">
        <v>2502.3000000000002</v>
      </c>
      <c r="O202" s="12">
        <v>0</v>
      </c>
      <c r="P202" s="12">
        <v>-80.599999999999994</v>
      </c>
      <c r="Q202" s="12" t="s">
        <v>211</v>
      </c>
    </row>
    <row r="203" spans="1:17" x14ac:dyDescent="0.3">
      <c r="A203" s="12" t="s">
        <v>89</v>
      </c>
      <c r="B203" s="12" t="s">
        <v>201</v>
      </c>
      <c r="C203" s="12" t="s">
        <v>213</v>
      </c>
      <c r="E203" s="12" t="s">
        <v>110</v>
      </c>
      <c r="F203" s="12" t="s">
        <v>114</v>
      </c>
      <c r="G203" s="12" t="s">
        <v>16</v>
      </c>
      <c r="I203" s="12">
        <v>20</v>
      </c>
      <c r="L203" s="12">
        <v>-2501</v>
      </c>
      <c r="M203" s="12">
        <v>-1.3</v>
      </c>
      <c r="N203" s="12">
        <v>2502.3000000000002</v>
      </c>
      <c r="O203" s="12">
        <v>0</v>
      </c>
      <c r="P203" s="12">
        <v>-80.599999999999994</v>
      </c>
    </row>
    <row r="204" spans="1:17" x14ac:dyDescent="0.3">
      <c r="A204" s="12" t="s">
        <v>89</v>
      </c>
      <c r="B204" s="12" t="s">
        <v>201</v>
      </c>
      <c r="C204" s="12" t="s">
        <v>123</v>
      </c>
      <c r="D204" s="12" t="s">
        <v>209</v>
      </c>
      <c r="E204" s="12" t="s">
        <v>110</v>
      </c>
      <c r="F204" s="12" t="s">
        <v>114</v>
      </c>
      <c r="G204" s="12" t="s">
        <v>17</v>
      </c>
      <c r="H204" s="12" t="s">
        <v>235</v>
      </c>
      <c r="I204" s="12">
        <v>106</v>
      </c>
      <c r="J204" s="12">
        <v>32.590000000000003</v>
      </c>
      <c r="K204" s="12">
        <v>32.619999999999997</v>
      </c>
      <c r="L204" s="12">
        <v>-3454.54</v>
      </c>
      <c r="M204" s="12">
        <v>-1.3</v>
      </c>
      <c r="N204" s="12">
        <v>3455.84</v>
      </c>
      <c r="O204" s="12">
        <v>0</v>
      </c>
      <c r="P204" s="12">
        <v>3.18</v>
      </c>
      <c r="Q204" s="12" t="s">
        <v>211</v>
      </c>
    </row>
    <row r="205" spans="1:17" x14ac:dyDescent="0.3">
      <c r="A205" s="12" t="s">
        <v>89</v>
      </c>
      <c r="B205" s="12" t="s">
        <v>201</v>
      </c>
      <c r="C205" s="12" t="s">
        <v>213</v>
      </c>
      <c r="E205" s="12" t="s">
        <v>110</v>
      </c>
      <c r="F205" s="12" t="s">
        <v>114</v>
      </c>
      <c r="G205" s="12" t="s">
        <v>17</v>
      </c>
      <c r="I205" s="12">
        <v>106</v>
      </c>
      <c r="L205" s="12">
        <v>-3454.54</v>
      </c>
      <c r="M205" s="12">
        <v>-1.3</v>
      </c>
      <c r="N205" s="12">
        <v>3455.84</v>
      </c>
      <c r="O205" s="12">
        <v>0</v>
      </c>
      <c r="P205" s="12">
        <v>3.18</v>
      </c>
    </row>
    <row r="206" spans="1:17" x14ac:dyDescent="0.3">
      <c r="A206" s="12" t="s">
        <v>89</v>
      </c>
      <c r="B206" s="12" t="s">
        <v>201</v>
      </c>
      <c r="C206" s="12" t="s">
        <v>123</v>
      </c>
      <c r="D206" s="12" t="s">
        <v>209</v>
      </c>
      <c r="E206" s="12" t="s">
        <v>110</v>
      </c>
      <c r="F206" s="12" t="s">
        <v>114</v>
      </c>
      <c r="G206" s="12" t="s">
        <v>18</v>
      </c>
      <c r="H206" s="12" t="s">
        <v>236</v>
      </c>
      <c r="I206" s="12">
        <v>14</v>
      </c>
      <c r="J206" s="12">
        <v>257.33</v>
      </c>
      <c r="K206" s="12">
        <v>256.18</v>
      </c>
      <c r="L206" s="12">
        <v>-3602.62</v>
      </c>
      <c r="M206" s="12">
        <v>-1.3</v>
      </c>
      <c r="N206" s="12">
        <v>3603.92</v>
      </c>
      <c r="O206" s="12">
        <v>0</v>
      </c>
      <c r="P206" s="12">
        <v>-16.100000000000001</v>
      </c>
      <c r="Q206" s="12" t="s">
        <v>215</v>
      </c>
    </row>
    <row r="207" spans="1:17" x14ac:dyDescent="0.3">
      <c r="A207" s="12" t="s">
        <v>89</v>
      </c>
      <c r="B207" s="12" t="s">
        <v>201</v>
      </c>
      <c r="C207" s="12" t="s">
        <v>213</v>
      </c>
      <c r="E207" s="12" t="s">
        <v>110</v>
      </c>
      <c r="F207" s="12" t="s">
        <v>114</v>
      </c>
      <c r="G207" s="12" t="s">
        <v>18</v>
      </c>
      <c r="I207" s="12">
        <v>14</v>
      </c>
      <c r="L207" s="12">
        <v>-3602.62</v>
      </c>
      <c r="M207" s="12">
        <v>-1.3</v>
      </c>
      <c r="N207" s="12">
        <v>3603.92</v>
      </c>
      <c r="O207" s="12">
        <v>0</v>
      </c>
      <c r="P207" s="12">
        <v>-16.100000000000001</v>
      </c>
    </row>
    <row r="208" spans="1:17" x14ac:dyDescent="0.3">
      <c r="A208" s="12" t="s">
        <v>89</v>
      </c>
      <c r="B208" s="12" t="s">
        <v>201</v>
      </c>
      <c r="C208" s="12" t="s">
        <v>123</v>
      </c>
      <c r="D208" s="12" t="s">
        <v>209</v>
      </c>
      <c r="E208" s="12" t="s">
        <v>110</v>
      </c>
      <c r="F208" s="12" t="s">
        <v>114</v>
      </c>
      <c r="G208" s="12" t="s">
        <v>19</v>
      </c>
      <c r="H208" s="12" t="s">
        <v>237</v>
      </c>
      <c r="I208" s="12">
        <v>107</v>
      </c>
      <c r="J208" s="12">
        <v>139.07</v>
      </c>
      <c r="K208" s="12">
        <v>138.91999999999999</v>
      </c>
      <c r="L208" s="12">
        <v>-14880.49</v>
      </c>
      <c r="M208" s="12">
        <v>-1.3</v>
      </c>
      <c r="N208" s="12">
        <v>14881.79</v>
      </c>
      <c r="O208" s="12">
        <v>0</v>
      </c>
      <c r="P208" s="12">
        <v>-16.05</v>
      </c>
      <c r="Q208" s="12" t="s">
        <v>215</v>
      </c>
    </row>
    <row r="209" spans="1:17" x14ac:dyDescent="0.3">
      <c r="A209" s="12" t="s">
        <v>89</v>
      </c>
      <c r="B209" s="12" t="s">
        <v>201</v>
      </c>
      <c r="C209" s="12" t="s">
        <v>213</v>
      </c>
      <c r="E209" s="12" t="s">
        <v>110</v>
      </c>
      <c r="F209" s="12" t="s">
        <v>114</v>
      </c>
      <c r="G209" s="12" t="s">
        <v>19</v>
      </c>
      <c r="I209" s="12">
        <v>107</v>
      </c>
      <c r="L209" s="12">
        <v>-14880.49</v>
      </c>
      <c r="M209" s="12">
        <v>-1.3</v>
      </c>
      <c r="N209" s="12">
        <v>14881.79</v>
      </c>
      <c r="O209" s="12">
        <v>0</v>
      </c>
      <c r="P209" s="12">
        <v>-16.05</v>
      </c>
    </row>
    <row r="210" spans="1:17" x14ac:dyDescent="0.3">
      <c r="A210" s="12" t="s">
        <v>89</v>
      </c>
      <c r="B210" s="12" t="s">
        <v>201</v>
      </c>
      <c r="C210" s="12" t="s">
        <v>123</v>
      </c>
      <c r="D210" s="12" t="s">
        <v>209</v>
      </c>
      <c r="E210" s="12" t="s">
        <v>110</v>
      </c>
      <c r="F210" s="12" t="s">
        <v>114</v>
      </c>
      <c r="G210" s="12" t="s">
        <v>20</v>
      </c>
      <c r="H210" s="12" t="s">
        <v>238</v>
      </c>
      <c r="I210" s="12">
        <v>11</v>
      </c>
      <c r="J210" s="12">
        <v>338.97</v>
      </c>
      <c r="K210" s="12">
        <v>338.59</v>
      </c>
      <c r="L210" s="12">
        <v>-3728.67</v>
      </c>
      <c r="M210" s="12">
        <v>-1.3</v>
      </c>
      <c r="N210" s="12">
        <v>3729.97</v>
      </c>
      <c r="O210" s="12">
        <v>0</v>
      </c>
      <c r="P210" s="12">
        <v>-4.18</v>
      </c>
      <c r="Q210" s="12" t="s">
        <v>215</v>
      </c>
    </row>
    <row r="211" spans="1:17" x14ac:dyDescent="0.3">
      <c r="A211" s="12" t="s">
        <v>89</v>
      </c>
      <c r="B211" s="12" t="s">
        <v>201</v>
      </c>
      <c r="C211" s="12" t="s">
        <v>213</v>
      </c>
      <c r="E211" s="12" t="s">
        <v>110</v>
      </c>
      <c r="F211" s="12" t="s">
        <v>114</v>
      </c>
      <c r="G211" s="12" t="s">
        <v>20</v>
      </c>
      <c r="I211" s="12">
        <v>11</v>
      </c>
      <c r="L211" s="12">
        <v>-3728.67</v>
      </c>
      <c r="M211" s="12">
        <v>-1.3</v>
      </c>
      <c r="N211" s="12">
        <v>3729.97</v>
      </c>
      <c r="O211" s="12">
        <v>0</v>
      </c>
      <c r="P211" s="12">
        <v>-4.18</v>
      </c>
    </row>
    <row r="212" spans="1:17" x14ac:dyDescent="0.3">
      <c r="A212" s="12" t="s">
        <v>89</v>
      </c>
      <c r="B212" s="12" t="s">
        <v>201</v>
      </c>
      <c r="C212" s="12" t="s">
        <v>123</v>
      </c>
      <c r="D212" s="12" t="s">
        <v>209</v>
      </c>
      <c r="E212" s="12" t="s">
        <v>110</v>
      </c>
      <c r="F212" s="12" t="s">
        <v>114</v>
      </c>
      <c r="G212" s="12" t="s">
        <v>21</v>
      </c>
      <c r="H212" s="12" t="s">
        <v>239</v>
      </c>
      <c r="I212" s="12">
        <v>6</v>
      </c>
      <c r="J212" s="12">
        <v>558.1</v>
      </c>
      <c r="K212" s="12">
        <v>547.86</v>
      </c>
      <c r="L212" s="12">
        <v>-3348.6</v>
      </c>
      <c r="M212" s="12">
        <v>-1.3</v>
      </c>
      <c r="N212" s="12">
        <v>3349.9</v>
      </c>
      <c r="O212" s="12">
        <v>0</v>
      </c>
      <c r="P212" s="12">
        <v>-61.44</v>
      </c>
      <c r="Q212" s="12" t="s">
        <v>215</v>
      </c>
    </row>
    <row r="213" spans="1:17" x14ac:dyDescent="0.3">
      <c r="A213" s="12" t="s">
        <v>89</v>
      </c>
      <c r="B213" s="12" t="s">
        <v>201</v>
      </c>
      <c r="C213" s="12" t="s">
        <v>213</v>
      </c>
      <c r="E213" s="12" t="s">
        <v>110</v>
      </c>
      <c r="F213" s="12" t="s">
        <v>114</v>
      </c>
      <c r="G213" s="12" t="s">
        <v>21</v>
      </c>
      <c r="I213" s="12">
        <v>6</v>
      </c>
      <c r="L213" s="12">
        <v>-3348.6</v>
      </c>
      <c r="M213" s="12">
        <v>-1.3</v>
      </c>
      <c r="N213" s="12">
        <v>3349.9</v>
      </c>
      <c r="O213" s="12">
        <v>0</v>
      </c>
      <c r="P213" s="12">
        <v>-61.44</v>
      </c>
    </row>
    <row r="214" spans="1:17" x14ac:dyDescent="0.3">
      <c r="A214" s="12" t="s">
        <v>89</v>
      </c>
      <c r="B214" s="12" t="s">
        <v>201</v>
      </c>
      <c r="C214" s="12" t="s">
        <v>123</v>
      </c>
      <c r="D214" s="12" t="s">
        <v>209</v>
      </c>
      <c r="E214" s="12" t="s">
        <v>110</v>
      </c>
      <c r="F214" s="12" t="s">
        <v>114</v>
      </c>
      <c r="G214" s="12" t="s">
        <v>22</v>
      </c>
      <c r="H214" s="12" t="s">
        <v>240</v>
      </c>
      <c r="I214" s="12">
        <v>66</v>
      </c>
      <c r="J214" s="12">
        <v>52.97</v>
      </c>
      <c r="K214" s="12">
        <v>52.6</v>
      </c>
      <c r="L214" s="12">
        <v>-3496.02</v>
      </c>
      <c r="M214" s="12">
        <v>-1.3</v>
      </c>
      <c r="N214" s="12">
        <v>3497.32</v>
      </c>
      <c r="O214" s="12">
        <v>0</v>
      </c>
      <c r="P214" s="12">
        <v>-24.42</v>
      </c>
      <c r="Q214" s="12" t="s">
        <v>215</v>
      </c>
    </row>
    <row r="215" spans="1:17" x14ac:dyDescent="0.3">
      <c r="A215" s="12" t="s">
        <v>89</v>
      </c>
      <c r="B215" s="12" t="s">
        <v>201</v>
      </c>
      <c r="C215" s="12" t="s">
        <v>213</v>
      </c>
      <c r="E215" s="12" t="s">
        <v>110</v>
      </c>
      <c r="F215" s="12" t="s">
        <v>114</v>
      </c>
      <c r="G215" s="12" t="s">
        <v>22</v>
      </c>
      <c r="I215" s="12">
        <v>66</v>
      </c>
      <c r="L215" s="12">
        <v>-3496.02</v>
      </c>
      <c r="M215" s="12">
        <v>-1.3</v>
      </c>
      <c r="N215" s="12">
        <v>3497.32</v>
      </c>
      <c r="O215" s="12">
        <v>0</v>
      </c>
      <c r="P215" s="12">
        <v>-24.42</v>
      </c>
    </row>
    <row r="216" spans="1:17" x14ac:dyDescent="0.3">
      <c r="A216" s="12" t="s">
        <v>89</v>
      </c>
      <c r="B216" s="12" t="s">
        <v>201</v>
      </c>
      <c r="C216" s="12" t="s">
        <v>123</v>
      </c>
      <c r="D216" s="12" t="s">
        <v>209</v>
      </c>
      <c r="E216" s="12" t="s">
        <v>110</v>
      </c>
      <c r="F216" s="12" t="s">
        <v>114</v>
      </c>
      <c r="G216" s="12" t="s">
        <v>23</v>
      </c>
      <c r="H216" s="12" t="s">
        <v>241</v>
      </c>
      <c r="I216" s="12">
        <v>13</v>
      </c>
      <c r="J216" s="12">
        <v>589.87</v>
      </c>
      <c r="K216" s="12">
        <v>586.82000000000005</v>
      </c>
      <c r="L216" s="12">
        <v>-7668.31</v>
      </c>
      <c r="M216" s="12">
        <v>-1.3</v>
      </c>
      <c r="N216" s="12">
        <v>7669.61</v>
      </c>
      <c r="O216" s="12">
        <v>0</v>
      </c>
      <c r="P216" s="12">
        <v>-39.65</v>
      </c>
      <c r="Q216" s="12" t="s">
        <v>215</v>
      </c>
    </row>
    <row r="217" spans="1:17" x14ac:dyDescent="0.3">
      <c r="A217" s="12" t="s">
        <v>89</v>
      </c>
      <c r="B217" s="12" t="s">
        <v>201</v>
      </c>
      <c r="C217" s="12" t="s">
        <v>213</v>
      </c>
      <c r="E217" s="12" t="s">
        <v>110</v>
      </c>
      <c r="F217" s="12" t="s">
        <v>114</v>
      </c>
      <c r="G217" s="12" t="s">
        <v>23</v>
      </c>
      <c r="I217" s="12">
        <v>13</v>
      </c>
      <c r="L217" s="12">
        <v>-7668.31</v>
      </c>
      <c r="M217" s="12">
        <v>-1.3</v>
      </c>
      <c r="N217" s="12">
        <v>7669.61</v>
      </c>
      <c r="O217" s="12">
        <v>0</v>
      </c>
      <c r="P217" s="12">
        <v>-39.65</v>
      </c>
    </row>
    <row r="218" spans="1:17" x14ac:dyDescent="0.3">
      <c r="A218" s="12" t="s">
        <v>89</v>
      </c>
      <c r="B218" s="12" t="s">
        <v>201</v>
      </c>
      <c r="C218" s="12" t="s">
        <v>123</v>
      </c>
      <c r="D218" s="12" t="s">
        <v>209</v>
      </c>
      <c r="E218" s="12" t="s">
        <v>110</v>
      </c>
      <c r="F218" s="12" t="s">
        <v>114</v>
      </c>
      <c r="G218" s="12" t="s">
        <v>24</v>
      </c>
      <c r="H218" s="12" t="s">
        <v>242</v>
      </c>
      <c r="I218" s="12">
        <v>45</v>
      </c>
      <c r="J218" s="12">
        <v>74.47</v>
      </c>
      <c r="K218" s="12">
        <v>75.72</v>
      </c>
      <c r="L218" s="12">
        <v>-3351.15</v>
      </c>
      <c r="M218" s="12">
        <v>-1.3</v>
      </c>
      <c r="N218" s="12">
        <v>3352.45</v>
      </c>
      <c r="O218" s="12">
        <v>0</v>
      </c>
      <c r="P218" s="12">
        <v>56.25</v>
      </c>
      <c r="Q218" s="12" t="s">
        <v>211</v>
      </c>
    </row>
    <row r="219" spans="1:17" x14ac:dyDescent="0.3">
      <c r="A219" s="12" t="s">
        <v>89</v>
      </c>
      <c r="B219" s="12" t="s">
        <v>201</v>
      </c>
      <c r="C219" s="12" t="s">
        <v>213</v>
      </c>
      <c r="E219" s="12" t="s">
        <v>110</v>
      </c>
      <c r="F219" s="12" t="s">
        <v>114</v>
      </c>
      <c r="G219" s="12" t="s">
        <v>24</v>
      </c>
      <c r="I219" s="12">
        <v>45</v>
      </c>
      <c r="L219" s="12">
        <v>-3351.15</v>
      </c>
      <c r="M219" s="12">
        <v>-1.3</v>
      </c>
      <c r="N219" s="12">
        <v>3352.45</v>
      </c>
      <c r="O219" s="12">
        <v>0</v>
      </c>
      <c r="P219" s="12">
        <v>56.25</v>
      </c>
    </row>
    <row r="220" spans="1:17" x14ac:dyDescent="0.3">
      <c r="A220" s="12" t="s">
        <v>89</v>
      </c>
      <c r="B220" s="12" t="s">
        <v>201</v>
      </c>
      <c r="C220" s="12" t="s">
        <v>123</v>
      </c>
      <c r="D220" s="12" t="s">
        <v>209</v>
      </c>
      <c r="E220" s="12" t="s">
        <v>110</v>
      </c>
      <c r="F220" s="12" t="s">
        <v>114</v>
      </c>
      <c r="G220" s="12" t="s">
        <v>25</v>
      </c>
      <c r="H220" s="12" t="s">
        <v>243</v>
      </c>
      <c r="I220" s="12">
        <v>7</v>
      </c>
      <c r="J220" s="12">
        <v>498.11</v>
      </c>
      <c r="K220" s="12">
        <v>496</v>
      </c>
      <c r="L220" s="12">
        <v>-3486.77</v>
      </c>
      <c r="M220" s="12">
        <v>-1.3</v>
      </c>
      <c r="N220" s="12">
        <v>3488.07</v>
      </c>
      <c r="O220" s="12">
        <v>0</v>
      </c>
      <c r="P220" s="12">
        <v>-14.77</v>
      </c>
      <c r="Q220" s="12" t="s">
        <v>215</v>
      </c>
    </row>
    <row r="221" spans="1:17" x14ac:dyDescent="0.3">
      <c r="A221" s="12" t="s">
        <v>89</v>
      </c>
      <c r="B221" s="12" t="s">
        <v>201</v>
      </c>
      <c r="C221" s="12" t="s">
        <v>123</v>
      </c>
      <c r="D221" s="12" t="s">
        <v>209</v>
      </c>
      <c r="E221" s="12" t="s">
        <v>110</v>
      </c>
      <c r="F221" s="12" t="s">
        <v>114</v>
      </c>
      <c r="G221" s="12" t="s">
        <v>25</v>
      </c>
      <c r="H221" s="12" t="s">
        <v>244</v>
      </c>
      <c r="I221" s="12">
        <v>-7</v>
      </c>
      <c r="J221" s="12">
        <v>487.61</v>
      </c>
      <c r="K221" s="12">
        <v>491.48</v>
      </c>
      <c r="L221" s="12">
        <v>3413.27</v>
      </c>
      <c r="M221" s="12">
        <v>-1.3</v>
      </c>
      <c r="N221" s="12">
        <v>-3488.07</v>
      </c>
      <c r="O221" s="12">
        <v>-76.099999999999994</v>
      </c>
      <c r="P221" s="12">
        <v>-27.09</v>
      </c>
      <c r="Q221" s="12" t="s">
        <v>3</v>
      </c>
    </row>
    <row r="222" spans="1:17" x14ac:dyDescent="0.3">
      <c r="A222" s="12" t="s">
        <v>89</v>
      </c>
      <c r="B222" s="12" t="s">
        <v>201</v>
      </c>
      <c r="C222" s="12" t="s">
        <v>123</v>
      </c>
      <c r="D222" s="12" t="s">
        <v>209</v>
      </c>
      <c r="E222" s="12" t="s">
        <v>110</v>
      </c>
      <c r="F222" s="12" t="s">
        <v>114</v>
      </c>
      <c r="G222" s="12" t="s">
        <v>25</v>
      </c>
      <c r="H222" s="12" t="s">
        <v>245</v>
      </c>
      <c r="I222" s="12">
        <v>8</v>
      </c>
      <c r="J222" s="12">
        <v>478.12</v>
      </c>
      <c r="K222" s="12">
        <v>481.4</v>
      </c>
      <c r="L222" s="12">
        <v>-3824.96</v>
      </c>
      <c r="M222" s="12">
        <v>-1.3</v>
      </c>
      <c r="N222" s="12">
        <v>3826.26</v>
      </c>
      <c r="O222" s="12">
        <v>0</v>
      </c>
      <c r="P222" s="12">
        <v>26.24</v>
      </c>
      <c r="Q222" s="12" t="s">
        <v>215</v>
      </c>
    </row>
    <row r="223" spans="1:17" x14ac:dyDescent="0.3">
      <c r="A223" s="12" t="s">
        <v>89</v>
      </c>
      <c r="B223" s="12" t="s">
        <v>201</v>
      </c>
      <c r="C223" s="12" t="s">
        <v>213</v>
      </c>
      <c r="E223" s="12" t="s">
        <v>110</v>
      </c>
      <c r="F223" s="12" t="s">
        <v>114</v>
      </c>
      <c r="G223" s="12" t="s">
        <v>25</v>
      </c>
      <c r="I223" s="12">
        <v>8</v>
      </c>
      <c r="L223" s="12">
        <v>-3898.46</v>
      </c>
      <c r="M223" s="12">
        <v>-3.9</v>
      </c>
      <c r="N223" s="12">
        <v>3826.26</v>
      </c>
      <c r="O223" s="12">
        <v>-76.099999999999994</v>
      </c>
      <c r="P223" s="12">
        <v>-15.62</v>
      </c>
    </row>
    <row r="224" spans="1:17" x14ac:dyDescent="0.3">
      <c r="A224" s="12" t="s">
        <v>89</v>
      </c>
      <c r="B224" s="12" t="s">
        <v>201</v>
      </c>
      <c r="C224" s="12" t="s">
        <v>123</v>
      </c>
      <c r="D224" s="12" t="s">
        <v>209</v>
      </c>
      <c r="E224" s="12" t="s">
        <v>110</v>
      </c>
      <c r="F224" s="12" t="s">
        <v>114</v>
      </c>
      <c r="G224" s="12" t="s">
        <v>26</v>
      </c>
      <c r="H224" s="12" t="s">
        <v>246</v>
      </c>
      <c r="I224" s="12">
        <v>9</v>
      </c>
      <c r="J224" s="12">
        <v>375.64</v>
      </c>
      <c r="K224" s="12">
        <v>374.49</v>
      </c>
      <c r="L224" s="12">
        <v>-3380.76</v>
      </c>
      <c r="M224" s="12">
        <v>-1.3</v>
      </c>
      <c r="N224" s="12">
        <v>3382.06</v>
      </c>
      <c r="O224" s="12">
        <v>0</v>
      </c>
      <c r="P224" s="12">
        <v>-10.35</v>
      </c>
      <c r="Q224" s="12" t="s">
        <v>215</v>
      </c>
    </row>
    <row r="225" spans="1:17" x14ac:dyDescent="0.3">
      <c r="A225" s="12" t="s">
        <v>89</v>
      </c>
      <c r="B225" s="12" t="s">
        <v>201</v>
      </c>
      <c r="C225" s="12" t="s">
        <v>213</v>
      </c>
      <c r="E225" s="12" t="s">
        <v>110</v>
      </c>
      <c r="F225" s="12" t="s">
        <v>114</v>
      </c>
      <c r="G225" s="12" t="s">
        <v>26</v>
      </c>
      <c r="I225" s="12">
        <v>9</v>
      </c>
      <c r="L225" s="12">
        <v>-3380.76</v>
      </c>
      <c r="M225" s="12">
        <v>-1.3</v>
      </c>
      <c r="N225" s="12">
        <v>3382.06</v>
      </c>
      <c r="O225" s="12">
        <v>0</v>
      </c>
      <c r="P225" s="12">
        <v>-10.35</v>
      </c>
    </row>
    <row r="226" spans="1:17" x14ac:dyDescent="0.3">
      <c r="A226" s="12" t="s">
        <v>89</v>
      </c>
      <c r="B226" s="12" t="s">
        <v>201</v>
      </c>
      <c r="C226" s="12" t="s">
        <v>123</v>
      </c>
      <c r="D226" s="12" t="s">
        <v>209</v>
      </c>
      <c r="E226" s="12" t="s">
        <v>110</v>
      </c>
      <c r="F226" s="12" t="s">
        <v>114</v>
      </c>
      <c r="G226" s="12" t="s">
        <v>27</v>
      </c>
      <c r="H226" s="12" t="s">
        <v>247</v>
      </c>
      <c r="I226" s="12">
        <v>21</v>
      </c>
      <c r="J226" s="12">
        <v>342.34</v>
      </c>
      <c r="K226" s="12">
        <v>346.29</v>
      </c>
      <c r="L226" s="12">
        <v>-7189.14</v>
      </c>
      <c r="M226" s="12">
        <v>-1.3</v>
      </c>
      <c r="N226" s="12">
        <v>7190.44</v>
      </c>
      <c r="O226" s="12">
        <v>0</v>
      </c>
      <c r="P226" s="12">
        <v>82.95</v>
      </c>
      <c r="Q226" s="12" t="s">
        <v>215</v>
      </c>
    </row>
    <row r="227" spans="1:17" x14ac:dyDescent="0.3">
      <c r="A227" s="12" t="s">
        <v>89</v>
      </c>
      <c r="B227" s="12" t="s">
        <v>201</v>
      </c>
      <c r="C227" s="12" t="s">
        <v>213</v>
      </c>
      <c r="E227" s="12" t="s">
        <v>110</v>
      </c>
      <c r="F227" s="12" t="s">
        <v>114</v>
      </c>
      <c r="G227" s="12" t="s">
        <v>27</v>
      </c>
      <c r="I227" s="12">
        <v>21</v>
      </c>
      <c r="L227" s="12">
        <v>-7189.14</v>
      </c>
      <c r="M227" s="12">
        <v>-1.3</v>
      </c>
      <c r="N227" s="12">
        <v>7190.44</v>
      </c>
      <c r="O227" s="12">
        <v>0</v>
      </c>
      <c r="P227" s="12">
        <v>82.95</v>
      </c>
    </row>
    <row r="228" spans="1:17" x14ac:dyDescent="0.3">
      <c r="A228" s="12" t="s">
        <v>89</v>
      </c>
      <c r="B228" s="12" t="s">
        <v>201</v>
      </c>
      <c r="C228" s="12" t="s">
        <v>123</v>
      </c>
      <c r="D228" s="12" t="s">
        <v>209</v>
      </c>
      <c r="E228" s="12" t="s">
        <v>110</v>
      </c>
      <c r="F228" s="12" t="s">
        <v>114</v>
      </c>
      <c r="G228" s="12" t="s">
        <v>28</v>
      </c>
      <c r="H228" s="12" t="s">
        <v>248</v>
      </c>
      <c r="I228" s="12">
        <v>49</v>
      </c>
      <c r="J228" s="12">
        <v>367.44</v>
      </c>
      <c r="K228" s="12">
        <v>370.6</v>
      </c>
      <c r="L228" s="12">
        <v>-18004.560000000001</v>
      </c>
      <c r="M228" s="12">
        <v>-1.3</v>
      </c>
      <c r="N228" s="12">
        <v>18005.86</v>
      </c>
      <c r="O228" s="12">
        <v>0</v>
      </c>
      <c r="P228" s="12">
        <v>154.84</v>
      </c>
      <c r="Q228" s="12" t="s">
        <v>215</v>
      </c>
    </row>
    <row r="229" spans="1:17" x14ac:dyDescent="0.3">
      <c r="A229" s="12" t="s">
        <v>89</v>
      </c>
      <c r="B229" s="12" t="s">
        <v>201</v>
      </c>
      <c r="C229" s="12" t="s">
        <v>213</v>
      </c>
      <c r="E229" s="12" t="s">
        <v>110</v>
      </c>
      <c r="F229" s="12" t="s">
        <v>114</v>
      </c>
      <c r="G229" s="12" t="s">
        <v>28</v>
      </c>
      <c r="I229" s="12">
        <v>49</v>
      </c>
      <c r="L229" s="12">
        <v>-18004.560000000001</v>
      </c>
      <c r="M229" s="12">
        <v>-1.3</v>
      </c>
      <c r="N229" s="12">
        <v>18005.86</v>
      </c>
      <c r="O229" s="12">
        <v>0</v>
      </c>
      <c r="P229" s="12">
        <v>154.84</v>
      </c>
    </row>
    <row r="230" spans="1:17" x14ac:dyDescent="0.3">
      <c r="A230" s="12" t="s">
        <v>89</v>
      </c>
      <c r="B230" s="12" t="s">
        <v>201</v>
      </c>
      <c r="C230" s="12" t="s">
        <v>123</v>
      </c>
      <c r="D230" s="12" t="s">
        <v>209</v>
      </c>
      <c r="E230" s="12" t="s">
        <v>110</v>
      </c>
      <c r="F230" s="12" t="s">
        <v>114</v>
      </c>
      <c r="G230" s="12" t="s">
        <v>29</v>
      </c>
      <c r="H230" s="12" t="s">
        <v>249</v>
      </c>
      <c r="I230" s="12">
        <v>12</v>
      </c>
      <c r="J230" s="12">
        <v>284.39</v>
      </c>
      <c r="K230" s="12">
        <v>283.3</v>
      </c>
      <c r="L230" s="12">
        <v>-3412.68</v>
      </c>
      <c r="M230" s="12">
        <v>-1.3</v>
      </c>
      <c r="N230" s="12">
        <v>3413.98</v>
      </c>
      <c r="O230" s="12">
        <v>0</v>
      </c>
      <c r="P230" s="12">
        <v>-13.08</v>
      </c>
      <c r="Q230" s="12" t="s">
        <v>215</v>
      </c>
    </row>
    <row r="231" spans="1:17" x14ac:dyDescent="0.3">
      <c r="A231" s="12" t="s">
        <v>89</v>
      </c>
      <c r="B231" s="12" t="s">
        <v>201</v>
      </c>
      <c r="C231" s="12" t="s">
        <v>213</v>
      </c>
      <c r="E231" s="12" t="s">
        <v>110</v>
      </c>
      <c r="F231" s="12" t="s">
        <v>114</v>
      </c>
      <c r="G231" s="12" t="s">
        <v>29</v>
      </c>
      <c r="I231" s="12">
        <v>12</v>
      </c>
      <c r="L231" s="12">
        <v>-3412.68</v>
      </c>
      <c r="M231" s="12">
        <v>-1.3</v>
      </c>
      <c r="N231" s="12">
        <v>3413.98</v>
      </c>
      <c r="O231" s="12">
        <v>0</v>
      </c>
      <c r="P231" s="12">
        <v>-13.08</v>
      </c>
    </row>
    <row r="232" spans="1:17" x14ac:dyDescent="0.3">
      <c r="A232" s="12" t="s">
        <v>89</v>
      </c>
      <c r="B232" s="12" t="s">
        <v>201</v>
      </c>
      <c r="C232" s="12" t="s">
        <v>123</v>
      </c>
      <c r="D232" s="12" t="s">
        <v>209</v>
      </c>
      <c r="E232" s="12" t="s">
        <v>110</v>
      </c>
      <c r="F232" s="12" t="s">
        <v>114</v>
      </c>
      <c r="G232" s="12" t="s">
        <v>30</v>
      </c>
      <c r="H232" s="12" t="s">
        <v>250</v>
      </c>
      <c r="I232" s="12">
        <v>1</v>
      </c>
      <c r="J232" s="12">
        <v>134.71</v>
      </c>
      <c r="K232" s="12">
        <v>135.27000000000001</v>
      </c>
      <c r="L232" s="12">
        <v>-134.71</v>
      </c>
      <c r="M232" s="12">
        <v>-1.3</v>
      </c>
      <c r="N232" s="12">
        <v>136.01</v>
      </c>
      <c r="O232" s="12">
        <v>0</v>
      </c>
      <c r="P232" s="12">
        <v>0.56000000000000005</v>
      </c>
      <c r="Q232" s="12" t="s">
        <v>215</v>
      </c>
    </row>
    <row r="233" spans="1:17" x14ac:dyDescent="0.3">
      <c r="A233" s="12" t="s">
        <v>89</v>
      </c>
      <c r="B233" s="12" t="s">
        <v>201</v>
      </c>
      <c r="C233" s="12" t="s">
        <v>123</v>
      </c>
      <c r="D233" s="12" t="s">
        <v>209</v>
      </c>
      <c r="E233" s="12" t="s">
        <v>110</v>
      </c>
      <c r="F233" s="12" t="s">
        <v>114</v>
      </c>
      <c r="G233" s="12" t="s">
        <v>30</v>
      </c>
      <c r="H233" s="12" t="s">
        <v>251</v>
      </c>
      <c r="I233" s="12">
        <v>25</v>
      </c>
      <c r="J233" s="12">
        <v>135.11000000000001</v>
      </c>
      <c r="K233" s="12">
        <v>134.5</v>
      </c>
      <c r="L233" s="12">
        <v>-3377.75</v>
      </c>
      <c r="M233" s="12">
        <v>-1.3</v>
      </c>
      <c r="N233" s="12">
        <v>3379.05</v>
      </c>
      <c r="O233" s="12">
        <v>0</v>
      </c>
      <c r="P233" s="12">
        <v>-15.25</v>
      </c>
      <c r="Q233" s="12" t="s">
        <v>211</v>
      </c>
    </row>
    <row r="234" spans="1:17" x14ac:dyDescent="0.3">
      <c r="A234" s="12" t="s">
        <v>89</v>
      </c>
      <c r="B234" s="12" t="s">
        <v>201</v>
      </c>
      <c r="C234" s="12" t="s">
        <v>213</v>
      </c>
      <c r="E234" s="12" t="s">
        <v>110</v>
      </c>
      <c r="F234" s="12" t="s">
        <v>114</v>
      </c>
      <c r="G234" s="12" t="s">
        <v>30</v>
      </c>
      <c r="I234" s="12">
        <v>26</v>
      </c>
      <c r="L234" s="12">
        <v>-3512.46</v>
      </c>
      <c r="M234" s="12">
        <v>-2.6</v>
      </c>
      <c r="N234" s="12">
        <v>3515.06</v>
      </c>
      <c r="O234" s="12">
        <v>0</v>
      </c>
      <c r="P234" s="12">
        <v>-14.69</v>
      </c>
    </row>
    <row r="235" spans="1:17" x14ac:dyDescent="0.3">
      <c r="A235" s="12" t="s">
        <v>89</v>
      </c>
      <c r="B235" s="12" t="s">
        <v>201</v>
      </c>
      <c r="C235" s="12" t="s">
        <v>123</v>
      </c>
      <c r="D235" s="12" t="s">
        <v>209</v>
      </c>
      <c r="E235" s="12" t="s">
        <v>110</v>
      </c>
      <c r="F235" s="12" t="s">
        <v>114</v>
      </c>
      <c r="G235" s="12" t="s">
        <v>31</v>
      </c>
      <c r="H235" s="12" t="s">
        <v>252</v>
      </c>
      <c r="I235" s="12">
        <v>18</v>
      </c>
      <c r="J235" s="12">
        <v>183.06</v>
      </c>
      <c r="K235" s="12">
        <v>183.72</v>
      </c>
      <c r="L235" s="12">
        <v>-3295.08</v>
      </c>
      <c r="M235" s="12">
        <v>-1.3</v>
      </c>
      <c r="N235" s="12">
        <v>3296.38</v>
      </c>
      <c r="O235" s="12">
        <v>0</v>
      </c>
      <c r="P235" s="12">
        <v>11.88</v>
      </c>
      <c r="Q235" s="12" t="s">
        <v>211</v>
      </c>
    </row>
    <row r="236" spans="1:17" x14ac:dyDescent="0.3">
      <c r="A236" s="12" t="s">
        <v>89</v>
      </c>
      <c r="B236" s="12" t="s">
        <v>201</v>
      </c>
      <c r="C236" s="12" t="s">
        <v>213</v>
      </c>
      <c r="E236" s="12" t="s">
        <v>110</v>
      </c>
      <c r="F236" s="12" t="s">
        <v>114</v>
      </c>
      <c r="G236" s="12" t="s">
        <v>31</v>
      </c>
      <c r="I236" s="12">
        <v>18</v>
      </c>
      <c r="L236" s="12">
        <v>-3295.08</v>
      </c>
      <c r="M236" s="12">
        <v>-1.3</v>
      </c>
      <c r="N236" s="12">
        <v>3296.38</v>
      </c>
      <c r="O236" s="12">
        <v>0</v>
      </c>
      <c r="P236" s="12">
        <v>11.88</v>
      </c>
    </row>
    <row r="237" spans="1:17" x14ac:dyDescent="0.3">
      <c r="A237" s="12" t="s">
        <v>89</v>
      </c>
      <c r="B237" s="12" t="s">
        <v>201</v>
      </c>
      <c r="C237" s="12" t="s">
        <v>123</v>
      </c>
      <c r="D237" s="12" t="s">
        <v>209</v>
      </c>
      <c r="E237" s="12" t="s">
        <v>110</v>
      </c>
      <c r="F237" s="12" t="s">
        <v>114</v>
      </c>
      <c r="G237" s="12" t="s">
        <v>32</v>
      </c>
      <c r="H237" s="12" t="s">
        <v>253</v>
      </c>
      <c r="I237" s="12">
        <v>106</v>
      </c>
      <c r="J237" s="12">
        <v>58.04</v>
      </c>
      <c r="K237" s="12">
        <v>57.8</v>
      </c>
      <c r="L237" s="12">
        <v>-6152.24</v>
      </c>
      <c r="M237" s="12">
        <v>-1.3</v>
      </c>
      <c r="N237" s="12">
        <v>6153.54</v>
      </c>
      <c r="O237" s="12">
        <v>0</v>
      </c>
      <c r="P237" s="12">
        <v>-25.44</v>
      </c>
      <c r="Q237" s="12" t="s">
        <v>215</v>
      </c>
    </row>
    <row r="238" spans="1:17" x14ac:dyDescent="0.3">
      <c r="A238" s="12" t="s">
        <v>89</v>
      </c>
      <c r="B238" s="12" t="s">
        <v>201</v>
      </c>
      <c r="C238" s="12" t="s">
        <v>213</v>
      </c>
      <c r="E238" s="12" t="s">
        <v>110</v>
      </c>
      <c r="F238" s="12" t="s">
        <v>114</v>
      </c>
      <c r="G238" s="12" t="s">
        <v>32</v>
      </c>
      <c r="I238" s="12">
        <v>106</v>
      </c>
      <c r="L238" s="12">
        <v>-6152.24</v>
      </c>
      <c r="M238" s="12">
        <v>-1.3</v>
      </c>
      <c r="N238" s="12">
        <v>6153.54</v>
      </c>
      <c r="O238" s="12">
        <v>0</v>
      </c>
      <c r="P238" s="12">
        <v>-25.44</v>
      </c>
    </row>
    <row r="239" spans="1:17" x14ac:dyDescent="0.3">
      <c r="A239" s="12" t="s">
        <v>89</v>
      </c>
      <c r="B239" s="12" t="s">
        <v>201</v>
      </c>
      <c r="C239" s="12" t="s">
        <v>123</v>
      </c>
      <c r="D239" s="12" t="s">
        <v>209</v>
      </c>
      <c r="E239" s="12" t="s">
        <v>110</v>
      </c>
      <c r="F239" s="12" t="s">
        <v>114</v>
      </c>
      <c r="G239" s="12" t="s">
        <v>33</v>
      </c>
      <c r="H239" s="12" t="s">
        <v>254</v>
      </c>
      <c r="I239" s="12">
        <v>7</v>
      </c>
      <c r="J239" s="12">
        <v>473.82</v>
      </c>
      <c r="K239" s="12">
        <v>473.82</v>
      </c>
      <c r="L239" s="12">
        <v>-3316.74</v>
      </c>
      <c r="M239" s="12">
        <v>-1.3</v>
      </c>
      <c r="N239" s="12">
        <v>3318.04</v>
      </c>
      <c r="O239" s="12">
        <v>0</v>
      </c>
      <c r="P239" s="12">
        <v>0</v>
      </c>
      <c r="Q239" s="12" t="s">
        <v>215</v>
      </c>
    </row>
    <row r="240" spans="1:17" x14ac:dyDescent="0.3">
      <c r="A240" s="12" t="s">
        <v>89</v>
      </c>
      <c r="B240" s="12" t="s">
        <v>201</v>
      </c>
      <c r="C240" s="12" t="s">
        <v>213</v>
      </c>
      <c r="E240" s="12" t="s">
        <v>110</v>
      </c>
      <c r="F240" s="12" t="s">
        <v>114</v>
      </c>
      <c r="G240" s="12" t="s">
        <v>33</v>
      </c>
      <c r="I240" s="12">
        <v>7</v>
      </c>
      <c r="L240" s="12">
        <v>-3316.74</v>
      </c>
      <c r="M240" s="12">
        <v>-1.3</v>
      </c>
      <c r="N240" s="12">
        <v>3318.04</v>
      </c>
      <c r="O240" s="12">
        <v>0</v>
      </c>
      <c r="P240" s="12">
        <v>0</v>
      </c>
    </row>
    <row r="241" spans="1:17" x14ac:dyDescent="0.3">
      <c r="A241" s="12" t="s">
        <v>89</v>
      </c>
      <c r="B241" s="12" t="s">
        <v>201</v>
      </c>
      <c r="C241" s="12" t="s">
        <v>123</v>
      </c>
      <c r="D241" s="12" t="s">
        <v>209</v>
      </c>
      <c r="E241" s="12" t="s">
        <v>110</v>
      </c>
      <c r="F241" s="12" t="s">
        <v>114</v>
      </c>
      <c r="G241" s="12" t="s">
        <v>34</v>
      </c>
      <c r="H241" s="12" t="s">
        <v>255</v>
      </c>
      <c r="I241" s="12">
        <v>13</v>
      </c>
      <c r="J241" s="12">
        <v>268.49</v>
      </c>
      <c r="K241" s="12">
        <v>268.41000000000003</v>
      </c>
      <c r="L241" s="12">
        <v>-3490.37</v>
      </c>
      <c r="M241" s="12">
        <v>-1.3</v>
      </c>
      <c r="N241" s="12">
        <v>3491.67</v>
      </c>
      <c r="O241" s="12">
        <v>0</v>
      </c>
      <c r="P241" s="12">
        <v>-1.04</v>
      </c>
      <c r="Q241" s="12" t="s">
        <v>215</v>
      </c>
    </row>
    <row r="242" spans="1:17" x14ac:dyDescent="0.3">
      <c r="A242" s="12" t="s">
        <v>89</v>
      </c>
      <c r="B242" s="12" t="s">
        <v>201</v>
      </c>
      <c r="C242" s="12" t="s">
        <v>213</v>
      </c>
      <c r="E242" s="12" t="s">
        <v>110</v>
      </c>
      <c r="F242" s="12" t="s">
        <v>114</v>
      </c>
      <c r="G242" s="12" t="s">
        <v>34</v>
      </c>
      <c r="I242" s="12">
        <v>13</v>
      </c>
      <c r="L242" s="12">
        <v>-3490.37</v>
      </c>
      <c r="M242" s="12">
        <v>-1.3</v>
      </c>
      <c r="N242" s="12">
        <v>3491.67</v>
      </c>
      <c r="O242" s="12">
        <v>0</v>
      </c>
      <c r="P242" s="12">
        <v>-1.04</v>
      </c>
    </row>
    <row r="243" spans="1:17" x14ac:dyDescent="0.3">
      <c r="A243" s="12" t="s">
        <v>89</v>
      </c>
      <c r="B243" s="12" t="s">
        <v>201</v>
      </c>
      <c r="C243" s="12" t="s">
        <v>123</v>
      </c>
      <c r="D243" s="12" t="s">
        <v>209</v>
      </c>
      <c r="E243" s="12" t="s">
        <v>110</v>
      </c>
      <c r="F243" s="12" t="s">
        <v>114</v>
      </c>
      <c r="G243" s="12" t="s">
        <v>35</v>
      </c>
      <c r="H243" s="12" t="s">
        <v>256</v>
      </c>
      <c r="I243" s="12">
        <v>24</v>
      </c>
      <c r="J243" s="12">
        <v>103.51</v>
      </c>
      <c r="K243" s="12">
        <v>102.32</v>
      </c>
      <c r="L243" s="12">
        <v>-2484.2399999999998</v>
      </c>
      <c r="M243" s="12">
        <v>-1.3</v>
      </c>
      <c r="N243" s="12">
        <v>2485.54</v>
      </c>
      <c r="O243" s="12">
        <v>0</v>
      </c>
      <c r="P243" s="12">
        <v>-28.56</v>
      </c>
      <c r="Q243" s="12" t="s">
        <v>215</v>
      </c>
    </row>
    <row r="244" spans="1:17" x14ac:dyDescent="0.3">
      <c r="A244" s="12" t="s">
        <v>89</v>
      </c>
      <c r="B244" s="12" t="s">
        <v>201</v>
      </c>
      <c r="C244" s="12" t="s">
        <v>213</v>
      </c>
      <c r="E244" s="12" t="s">
        <v>110</v>
      </c>
      <c r="F244" s="12" t="s">
        <v>114</v>
      </c>
      <c r="G244" s="12" t="s">
        <v>35</v>
      </c>
      <c r="I244" s="12">
        <v>24</v>
      </c>
      <c r="L244" s="12">
        <v>-2484.2399999999998</v>
      </c>
      <c r="M244" s="12">
        <v>-1.3</v>
      </c>
      <c r="N244" s="12">
        <v>2485.54</v>
      </c>
      <c r="O244" s="12">
        <v>0</v>
      </c>
      <c r="P244" s="12">
        <v>-28.56</v>
      </c>
    </row>
    <row r="245" spans="1:17" x14ac:dyDescent="0.3">
      <c r="A245" s="12" t="s">
        <v>89</v>
      </c>
      <c r="B245" s="12" t="s">
        <v>201</v>
      </c>
      <c r="C245" s="12" t="s">
        <v>97</v>
      </c>
      <c r="E245" s="12" t="s">
        <v>110</v>
      </c>
      <c r="F245" s="12" t="s">
        <v>114</v>
      </c>
      <c r="L245" s="12">
        <v>-176579.13</v>
      </c>
      <c r="M245" s="12">
        <v>-56.216999999999999</v>
      </c>
      <c r="N245" s="12">
        <v>175624.18700000001</v>
      </c>
      <c r="O245" s="12">
        <v>-1011.16</v>
      </c>
      <c r="P245" s="12">
        <v>58.19</v>
      </c>
      <c r="Q245" s="12" t="s">
        <v>257</v>
      </c>
    </row>
    <row r="246" spans="1:17" x14ac:dyDescent="0.3">
      <c r="A246" s="12" t="s">
        <v>89</v>
      </c>
      <c r="B246" s="12" t="s">
        <v>201</v>
      </c>
      <c r="C246" s="12" t="s">
        <v>120</v>
      </c>
      <c r="D246" s="12" t="s">
        <v>192</v>
      </c>
      <c r="E246" s="12" t="s">
        <v>100</v>
      </c>
      <c r="F246" s="12" t="s">
        <v>181</v>
      </c>
      <c r="G246" s="12" t="s">
        <v>0</v>
      </c>
      <c r="H246" s="12" t="s">
        <v>202</v>
      </c>
      <c r="I246" s="12" t="s">
        <v>193</v>
      </c>
      <c r="J246" s="12" t="s">
        <v>203</v>
      </c>
      <c r="K246" s="12" t="s">
        <v>204</v>
      </c>
      <c r="L246" s="12" t="s">
        <v>258</v>
      </c>
      <c r="M246" s="12" t="s">
        <v>206</v>
      </c>
      <c r="N246" s="12" t="s">
        <v>1</v>
      </c>
      <c r="O246" s="12" t="s">
        <v>207</v>
      </c>
      <c r="P246" s="12" t="s">
        <v>208</v>
      </c>
      <c r="Q246" s="12" t="s">
        <v>165</v>
      </c>
    </row>
    <row r="247" spans="1:17" x14ac:dyDescent="0.3">
      <c r="A247" s="12" t="s">
        <v>89</v>
      </c>
      <c r="B247" s="12" t="s">
        <v>201</v>
      </c>
      <c r="C247" s="12" t="s">
        <v>123</v>
      </c>
      <c r="D247" s="12" t="s">
        <v>209</v>
      </c>
      <c r="E247" s="12" t="s">
        <v>112</v>
      </c>
      <c r="F247" s="12" t="s">
        <v>114</v>
      </c>
      <c r="G247" s="12" t="s">
        <v>36</v>
      </c>
      <c r="H247" s="12" t="s">
        <v>259</v>
      </c>
      <c r="I247" s="12">
        <v>-1</v>
      </c>
      <c r="J247" s="12">
        <v>4756.75</v>
      </c>
      <c r="K247" s="12">
        <v>4746.5</v>
      </c>
      <c r="L247" s="12">
        <v>23783.75</v>
      </c>
      <c r="M247" s="12">
        <v>-3</v>
      </c>
      <c r="N247" s="12">
        <v>-23780.75</v>
      </c>
      <c r="O247" s="12">
        <v>0</v>
      </c>
      <c r="P247" s="12">
        <v>51.25</v>
      </c>
      <c r="Q247" s="12" t="s">
        <v>215</v>
      </c>
    </row>
    <row r="248" spans="1:17" x14ac:dyDescent="0.3">
      <c r="A248" s="12" t="s">
        <v>89</v>
      </c>
      <c r="B248" s="12" t="s">
        <v>201</v>
      </c>
      <c r="C248" s="12" t="s">
        <v>123</v>
      </c>
      <c r="D248" s="12" t="s">
        <v>209</v>
      </c>
      <c r="E248" s="12" t="s">
        <v>112</v>
      </c>
      <c r="F248" s="12" t="s">
        <v>114</v>
      </c>
      <c r="G248" s="12" t="s">
        <v>36</v>
      </c>
      <c r="H248" s="12" t="s">
        <v>260</v>
      </c>
      <c r="I248" s="12">
        <v>-1</v>
      </c>
      <c r="J248" s="12">
        <v>4746.25</v>
      </c>
      <c r="K248" s="12">
        <v>4746.5</v>
      </c>
      <c r="L248" s="12">
        <v>23731.25</v>
      </c>
      <c r="M248" s="12">
        <v>-3</v>
      </c>
      <c r="N248" s="12">
        <v>-23728.25</v>
      </c>
      <c r="O248" s="12">
        <v>0</v>
      </c>
      <c r="P248" s="12">
        <v>-1.25</v>
      </c>
      <c r="Q248" s="12" t="s">
        <v>215</v>
      </c>
    </row>
    <row r="249" spans="1:17" x14ac:dyDescent="0.3">
      <c r="A249" s="12" t="s">
        <v>89</v>
      </c>
      <c r="B249" s="12" t="s">
        <v>201</v>
      </c>
      <c r="C249" s="12" t="s">
        <v>123</v>
      </c>
      <c r="D249" s="12" t="s">
        <v>209</v>
      </c>
      <c r="E249" s="12" t="s">
        <v>112</v>
      </c>
      <c r="F249" s="12" t="s">
        <v>114</v>
      </c>
      <c r="G249" s="12" t="s">
        <v>36</v>
      </c>
      <c r="H249" s="12" t="s">
        <v>261</v>
      </c>
      <c r="I249" s="12">
        <v>-1</v>
      </c>
      <c r="J249" s="12">
        <v>4748.25</v>
      </c>
      <c r="K249" s="12">
        <v>4729.5</v>
      </c>
      <c r="L249" s="12">
        <v>23741.25</v>
      </c>
      <c r="M249" s="12">
        <v>-3</v>
      </c>
      <c r="N249" s="12">
        <v>-23738.25</v>
      </c>
      <c r="O249" s="12">
        <v>0</v>
      </c>
      <c r="P249" s="12">
        <v>93.75</v>
      </c>
      <c r="Q249" s="12" t="s">
        <v>215</v>
      </c>
    </row>
    <row r="250" spans="1:17" x14ac:dyDescent="0.3">
      <c r="A250" s="12" t="s">
        <v>89</v>
      </c>
      <c r="B250" s="12" t="s">
        <v>201</v>
      </c>
      <c r="C250" s="12" t="s">
        <v>123</v>
      </c>
      <c r="D250" s="12" t="s">
        <v>209</v>
      </c>
      <c r="E250" s="12" t="s">
        <v>112</v>
      </c>
      <c r="F250" s="12" t="s">
        <v>114</v>
      </c>
      <c r="G250" s="12" t="s">
        <v>36</v>
      </c>
      <c r="H250" s="12" t="s">
        <v>262</v>
      </c>
      <c r="I250" s="12">
        <v>-1</v>
      </c>
      <c r="J250" s="12">
        <v>4745.5</v>
      </c>
      <c r="K250" s="12">
        <v>4729.5</v>
      </c>
      <c r="L250" s="12">
        <v>23727.5</v>
      </c>
      <c r="M250" s="12">
        <v>-3</v>
      </c>
      <c r="N250" s="12">
        <v>-23724.5</v>
      </c>
      <c r="O250" s="12">
        <v>0</v>
      </c>
      <c r="P250" s="12">
        <v>80</v>
      </c>
      <c r="Q250" s="12" t="s">
        <v>215</v>
      </c>
    </row>
    <row r="251" spans="1:17" x14ac:dyDescent="0.3">
      <c r="A251" s="12" t="s">
        <v>89</v>
      </c>
      <c r="B251" s="12" t="s">
        <v>201</v>
      </c>
      <c r="C251" s="12" t="s">
        <v>123</v>
      </c>
      <c r="D251" s="12" t="s">
        <v>209</v>
      </c>
      <c r="E251" s="12" t="s">
        <v>112</v>
      </c>
      <c r="F251" s="12" t="s">
        <v>114</v>
      </c>
      <c r="G251" s="12" t="s">
        <v>36</v>
      </c>
      <c r="H251" s="12" t="s">
        <v>263</v>
      </c>
      <c r="I251" s="12">
        <v>-2</v>
      </c>
      <c r="J251" s="12">
        <v>4757.5</v>
      </c>
      <c r="K251" s="12">
        <v>4729.5</v>
      </c>
      <c r="L251" s="12">
        <v>47575</v>
      </c>
      <c r="M251" s="12">
        <v>-6</v>
      </c>
      <c r="N251" s="12">
        <v>-47569</v>
      </c>
      <c r="O251" s="12">
        <v>0</v>
      </c>
      <c r="P251" s="12">
        <v>280</v>
      </c>
      <c r="Q251" s="12" t="s">
        <v>215</v>
      </c>
    </row>
    <row r="252" spans="1:17" x14ac:dyDescent="0.3">
      <c r="A252" s="12" t="s">
        <v>89</v>
      </c>
      <c r="B252" s="12" t="s">
        <v>201</v>
      </c>
      <c r="C252" s="12" t="s">
        <v>123</v>
      </c>
      <c r="D252" s="12" t="s">
        <v>209</v>
      </c>
      <c r="E252" s="12" t="s">
        <v>112</v>
      </c>
      <c r="F252" s="12" t="s">
        <v>114</v>
      </c>
      <c r="G252" s="12" t="s">
        <v>36</v>
      </c>
      <c r="H252" s="12" t="s">
        <v>264</v>
      </c>
      <c r="I252" s="12">
        <v>-1</v>
      </c>
      <c r="J252" s="12">
        <v>4742</v>
      </c>
      <c r="K252" s="12">
        <v>4729.5</v>
      </c>
      <c r="L252" s="12">
        <v>23710</v>
      </c>
      <c r="M252" s="12">
        <v>-3</v>
      </c>
      <c r="N252" s="12">
        <v>-23707</v>
      </c>
      <c r="O252" s="12">
        <v>0</v>
      </c>
      <c r="P252" s="12">
        <v>62.5</v>
      </c>
      <c r="Q252" s="12" t="s">
        <v>215</v>
      </c>
    </row>
    <row r="253" spans="1:17" x14ac:dyDescent="0.3">
      <c r="A253" s="12" t="s">
        <v>89</v>
      </c>
      <c r="B253" s="12" t="s">
        <v>201</v>
      </c>
      <c r="C253" s="12" t="s">
        <v>123</v>
      </c>
      <c r="D253" s="12" t="s">
        <v>209</v>
      </c>
      <c r="E253" s="12" t="s">
        <v>112</v>
      </c>
      <c r="F253" s="12" t="s">
        <v>114</v>
      </c>
      <c r="G253" s="12" t="s">
        <v>36</v>
      </c>
      <c r="H253" s="12" t="s">
        <v>265</v>
      </c>
      <c r="I253" s="12">
        <v>-1</v>
      </c>
      <c r="J253" s="12">
        <v>4797.5</v>
      </c>
      <c r="K253" s="12">
        <v>4792.75</v>
      </c>
      <c r="L253" s="12">
        <v>23987.5</v>
      </c>
      <c r="M253" s="12">
        <v>-3</v>
      </c>
      <c r="N253" s="12">
        <v>-23984.5</v>
      </c>
      <c r="O253" s="12">
        <v>0</v>
      </c>
      <c r="P253" s="12">
        <v>23.75</v>
      </c>
      <c r="Q253" s="12" t="s">
        <v>215</v>
      </c>
    </row>
    <row r="254" spans="1:17" x14ac:dyDescent="0.3">
      <c r="A254" s="12" t="s">
        <v>89</v>
      </c>
      <c r="B254" s="12" t="s">
        <v>201</v>
      </c>
      <c r="C254" s="12" t="s">
        <v>213</v>
      </c>
      <c r="E254" s="12" t="s">
        <v>112</v>
      </c>
      <c r="F254" s="12" t="s">
        <v>114</v>
      </c>
      <c r="G254" s="12" t="s">
        <v>36</v>
      </c>
      <c r="I254" s="12">
        <v>-8</v>
      </c>
      <c r="L254" s="12">
        <v>190256.25</v>
      </c>
      <c r="M254" s="12">
        <v>-24</v>
      </c>
      <c r="N254" s="12">
        <v>-190232.25</v>
      </c>
      <c r="O254" s="12">
        <v>0</v>
      </c>
      <c r="P254" s="12">
        <v>590</v>
      </c>
    </row>
    <row r="255" spans="1:17" x14ac:dyDescent="0.3">
      <c r="A255" s="12" t="s">
        <v>89</v>
      </c>
      <c r="B255" s="12" t="s">
        <v>201</v>
      </c>
      <c r="C255" s="12" t="s">
        <v>97</v>
      </c>
      <c r="E255" s="12" t="s">
        <v>112</v>
      </c>
      <c r="F255" s="12" t="s">
        <v>114</v>
      </c>
      <c r="L255" s="12">
        <v>190256.25</v>
      </c>
      <c r="M255" s="12">
        <v>-24</v>
      </c>
      <c r="N255" s="12">
        <v>-190232.25</v>
      </c>
      <c r="O255" s="12">
        <v>0</v>
      </c>
      <c r="P255" s="12">
        <v>590</v>
      </c>
      <c r="Q255" s="12" t="s">
        <v>257</v>
      </c>
    </row>
    <row r="256" spans="1:17" x14ac:dyDescent="0.3">
      <c r="A256" s="12" t="s">
        <v>89</v>
      </c>
      <c r="B256" s="12" t="s">
        <v>266</v>
      </c>
      <c r="C256" s="12" t="s">
        <v>120</v>
      </c>
      <c r="D256" s="12" t="s">
        <v>267</v>
      </c>
      <c r="E256" s="12" t="s">
        <v>181</v>
      </c>
      <c r="F256" s="12" t="s">
        <v>268</v>
      </c>
      <c r="G256" s="12" t="s">
        <v>269</v>
      </c>
      <c r="H256" s="12" t="s">
        <v>270</v>
      </c>
    </row>
    <row r="257" spans="1:8" x14ac:dyDescent="0.3">
      <c r="A257" s="12" t="s">
        <v>89</v>
      </c>
      <c r="B257" s="12" t="s">
        <v>266</v>
      </c>
      <c r="C257" s="12" t="s">
        <v>123</v>
      </c>
      <c r="D257" s="12" t="s">
        <v>118</v>
      </c>
      <c r="E257" s="12" t="s">
        <v>114</v>
      </c>
      <c r="F257" s="20">
        <v>45300</v>
      </c>
      <c r="G257" s="12" t="s">
        <v>271</v>
      </c>
      <c r="H257" s="12">
        <v>-9.66</v>
      </c>
    </row>
    <row r="258" spans="1:8" x14ac:dyDescent="0.3">
      <c r="A258" s="12" t="s">
        <v>89</v>
      </c>
      <c r="B258" s="12" t="s">
        <v>266</v>
      </c>
      <c r="C258" s="12" t="s">
        <v>123</v>
      </c>
      <c r="D258" s="12" t="s">
        <v>97</v>
      </c>
      <c r="H258" s="12">
        <v>-9.66</v>
      </c>
    </row>
    <row r="259" spans="1:8" x14ac:dyDescent="0.3">
      <c r="A259" s="12" t="s">
        <v>89</v>
      </c>
      <c r="B259" s="12" t="s">
        <v>157</v>
      </c>
      <c r="C259" s="12" t="s">
        <v>120</v>
      </c>
      <c r="D259" s="12" t="s">
        <v>181</v>
      </c>
      <c r="E259" s="12" t="s">
        <v>268</v>
      </c>
      <c r="F259" s="12" t="s">
        <v>269</v>
      </c>
      <c r="G259" s="12" t="s">
        <v>270</v>
      </c>
    </row>
    <row r="260" spans="1:8" x14ac:dyDescent="0.3">
      <c r="A260" s="12" t="s">
        <v>89</v>
      </c>
      <c r="B260" s="12" t="s">
        <v>157</v>
      </c>
      <c r="C260" s="12" t="s">
        <v>123</v>
      </c>
      <c r="D260" s="12" t="s">
        <v>114</v>
      </c>
      <c r="E260" s="20">
        <v>45309</v>
      </c>
      <c r="F260" s="12" t="s">
        <v>272</v>
      </c>
      <c r="G260" s="12">
        <v>11.7</v>
      </c>
    </row>
    <row r="261" spans="1:8" x14ac:dyDescent="0.3">
      <c r="A261" s="12" t="s">
        <v>89</v>
      </c>
      <c r="B261" s="12" t="s">
        <v>157</v>
      </c>
      <c r="C261" s="12" t="s">
        <v>123</v>
      </c>
      <c r="D261" s="12" t="s">
        <v>114</v>
      </c>
      <c r="E261" s="20">
        <v>45322</v>
      </c>
      <c r="F261" s="12" t="s">
        <v>273</v>
      </c>
      <c r="G261" s="12">
        <v>18.2</v>
      </c>
    </row>
    <row r="262" spans="1:8" x14ac:dyDescent="0.3">
      <c r="A262" s="12" t="s">
        <v>89</v>
      </c>
      <c r="B262" s="12" t="s">
        <v>157</v>
      </c>
      <c r="C262" s="12" t="s">
        <v>123</v>
      </c>
      <c r="D262" s="12" t="s">
        <v>97</v>
      </c>
      <c r="G262" s="12">
        <v>29.9</v>
      </c>
    </row>
    <row r="263" spans="1:8" x14ac:dyDescent="0.3">
      <c r="A263" s="12" t="s">
        <v>89</v>
      </c>
      <c r="B263" s="12" t="s">
        <v>158</v>
      </c>
      <c r="C263" s="12" t="s">
        <v>120</v>
      </c>
      <c r="D263" s="12" t="s">
        <v>181</v>
      </c>
      <c r="E263" s="12" t="s">
        <v>268</v>
      </c>
      <c r="F263" s="12" t="s">
        <v>269</v>
      </c>
      <c r="G263" s="12" t="s">
        <v>270</v>
      </c>
      <c r="H263" s="12" t="s">
        <v>165</v>
      </c>
    </row>
    <row r="264" spans="1:8" x14ac:dyDescent="0.3">
      <c r="A264" s="12" t="s">
        <v>89</v>
      </c>
      <c r="B264" s="12" t="s">
        <v>158</v>
      </c>
      <c r="C264" s="12" t="s">
        <v>123</v>
      </c>
      <c r="D264" s="12" t="s">
        <v>114</v>
      </c>
      <c r="E264" s="20">
        <v>45295</v>
      </c>
      <c r="F264" s="12" t="s">
        <v>274</v>
      </c>
      <c r="G264" s="12">
        <v>-57.96</v>
      </c>
    </row>
    <row r="265" spans="1:8" x14ac:dyDescent="0.3">
      <c r="A265" s="12" t="s">
        <v>89</v>
      </c>
      <c r="B265" s="12" t="s">
        <v>158</v>
      </c>
      <c r="C265" s="12" t="s">
        <v>123</v>
      </c>
      <c r="D265" s="12" t="s">
        <v>114</v>
      </c>
      <c r="E265" s="20">
        <v>45309</v>
      </c>
      <c r="F265" s="12" t="s">
        <v>275</v>
      </c>
      <c r="G265" s="12">
        <v>-3.51</v>
      </c>
    </row>
    <row r="266" spans="1:8" x14ac:dyDescent="0.3">
      <c r="A266" s="12" t="s">
        <v>89</v>
      </c>
      <c r="B266" s="12" t="s">
        <v>158</v>
      </c>
      <c r="C266" s="12" t="s">
        <v>123</v>
      </c>
      <c r="D266" s="12" t="s">
        <v>114</v>
      </c>
      <c r="E266" s="20">
        <v>45322</v>
      </c>
      <c r="F266" s="12" t="s">
        <v>276</v>
      </c>
      <c r="G266" s="12">
        <v>-5.46</v>
      </c>
    </row>
    <row r="267" spans="1:8" x14ac:dyDescent="0.3">
      <c r="A267" s="12" t="s">
        <v>89</v>
      </c>
      <c r="B267" s="12" t="s">
        <v>158</v>
      </c>
      <c r="C267" s="12" t="s">
        <v>123</v>
      </c>
      <c r="D267" s="12" t="s">
        <v>97</v>
      </c>
      <c r="G267" s="12">
        <v>-66.930000000000007</v>
      </c>
    </row>
    <row r="268" spans="1:8" x14ac:dyDescent="0.3">
      <c r="A268" s="12" t="s">
        <v>89</v>
      </c>
      <c r="B268" s="12" t="s">
        <v>160</v>
      </c>
      <c r="C268" s="12" t="s">
        <v>120</v>
      </c>
      <c r="D268" s="12" t="s">
        <v>181</v>
      </c>
      <c r="E268" s="12" t="s">
        <v>268</v>
      </c>
      <c r="F268" s="12" t="s">
        <v>269</v>
      </c>
      <c r="G268" s="12" t="s">
        <v>270</v>
      </c>
    </row>
    <row r="269" spans="1:8" x14ac:dyDescent="0.3">
      <c r="A269" s="12" t="s">
        <v>89</v>
      </c>
      <c r="B269" s="12" t="s">
        <v>160</v>
      </c>
      <c r="C269" s="12" t="s">
        <v>123</v>
      </c>
      <c r="D269" s="12" t="s">
        <v>114</v>
      </c>
      <c r="E269" s="20">
        <v>45295</v>
      </c>
      <c r="F269" s="12" t="s">
        <v>277</v>
      </c>
      <c r="G269" s="12">
        <v>193.2</v>
      </c>
    </row>
    <row r="270" spans="1:8" x14ac:dyDescent="0.3">
      <c r="A270" s="12" t="s">
        <v>89</v>
      </c>
      <c r="B270" s="12" t="s">
        <v>160</v>
      </c>
      <c r="C270" s="12" t="s">
        <v>123</v>
      </c>
      <c r="D270" s="12" t="s">
        <v>97</v>
      </c>
      <c r="G270" s="12">
        <v>193.2</v>
      </c>
    </row>
    <row r="271" spans="1:8" x14ac:dyDescent="0.3">
      <c r="A271" s="12" t="s">
        <v>89</v>
      </c>
      <c r="B271" s="12" t="s">
        <v>151</v>
      </c>
      <c r="C271" s="12" t="s">
        <v>120</v>
      </c>
      <c r="D271" s="12" t="s">
        <v>181</v>
      </c>
      <c r="E271" s="12" t="s">
        <v>121</v>
      </c>
      <c r="F271" s="12" t="s">
        <v>122</v>
      </c>
    </row>
    <row r="272" spans="1:8" x14ac:dyDescent="0.3">
      <c r="A272" s="12" t="s">
        <v>89</v>
      </c>
      <c r="B272" s="12" t="s">
        <v>151</v>
      </c>
      <c r="C272" s="12" t="s">
        <v>123</v>
      </c>
      <c r="D272" s="12" t="s">
        <v>184</v>
      </c>
      <c r="E272" s="12" t="s">
        <v>278</v>
      </c>
      <c r="F272" s="12">
        <v>96.6</v>
      </c>
    </row>
    <row r="273" spans="1:16" x14ac:dyDescent="0.3">
      <c r="A273" s="12" t="s">
        <v>89</v>
      </c>
      <c r="B273" s="12" t="s">
        <v>151</v>
      </c>
      <c r="C273" s="12" t="s">
        <v>123</v>
      </c>
      <c r="D273" s="12" t="s">
        <v>184</v>
      </c>
      <c r="E273" s="12" t="s">
        <v>279</v>
      </c>
      <c r="F273" s="12">
        <v>382.52</v>
      </c>
    </row>
    <row r="274" spans="1:16" x14ac:dyDescent="0.3">
      <c r="A274" s="12" t="s">
        <v>89</v>
      </c>
      <c r="B274" s="12" t="s">
        <v>151</v>
      </c>
      <c r="C274" s="12" t="s">
        <v>123</v>
      </c>
      <c r="D274" s="12" t="s">
        <v>184</v>
      </c>
      <c r="E274" s="12" t="s">
        <v>280</v>
      </c>
      <c r="F274" s="12">
        <v>-193.2</v>
      </c>
    </row>
    <row r="275" spans="1:16" x14ac:dyDescent="0.3">
      <c r="A275" s="12" t="s">
        <v>89</v>
      </c>
      <c r="B275" s="12" t="s">
        <v>151</v>
      </c>
      <c r="C275" s="12" t="s">
        <v>123</v>
      </c>
      <c r="D275" s="12" t="s">
        <v>184</v>
      </c>
      <c r="E275" s="12" t="s">
        <v>281</v>
      </c>
      <c r="F275" s="12">
        <v>0</v>
      </c>
    </row>
    <row r="276" spans="1:16" x14ac:dyDescent="0.3">
      <c r="A276" s="12" t="s">
        <v>89</v>
      </c>
      <c r="B276" s="12" t="s">
        <v>151</v>
      </c>
      <c r="C276" s="12" t="s">
        <v>123</v>
      </c>
      <c r="D276" s="12" t="s">
        <v>184</v>
      </c>
      <c r="E276" s="12" t="s">
        <v>282</v>
      </c>
      <c r="F276" s="12">
        <v>285.92</v>
      </c>
    </row>
    <row r="277" spans="1:16" x14ac:dyDescent="0.3">
      <c r="A277" s="12" t="s">
        <v>89</v>
      </c>
      <c r="B277" s="12" t="s">
        <v>159</v>
      </c>
      <c r="C277" s="12" t="s">
        <v>120</v>
      </c>
      <c r="D277" s="12" t="s">
        <v>100</v>
      </c>
      <c r="E277" s="12" t="s">
        <v>181</v>
      </c>
      <c r="F277" s="12" t="s">
        <v>0</v>
      </c>
      <c r="G277" s="12" t="s">
        <v>268</v>
      </c>
      <c r="H277" s="12" t="s">
        <v>283</v>
      </c>
      <c r="I277" s="12" t="s">
        <v>284</v>
      </c>
      <c r="J277" s="12" t="s">
        <v>193</v>
      </c>
      <c r="K277" s="12" t="s">
        <v>285</v>
      </c>
      <c r="L277" s="12" t="s">
        <v>286</v>
      </c>
      <c r="M277" s="12" t="s">
        <v>287</v>
      </c>
      <c r="N277" s="12" t="s">
        <v>288</v>
      </c>
      <c r="O277" s="12" t="s">
        <v>289</v>
      </c>
      <c r="P277" s="12" t="s">
        <v>165</v>
      </c>
    </row>
    <row r="278" spans="1:16" x14ac:dyDescent="0.3">
      <c r="A278" s="12" t="s">
        <v>89</v>
      </c>
      <c r="B278" s="12" t="s">
        <v>159</v>
      </c>
      <c r="C278" s="12" t="s">
        <v>123</v>
      </c>
      <c r="D278" s="12" t="s">
        <v>290</v>
      </c>
      <c r="O278" s="12">
        <v>0</v>
      </c>
    </row>
    <row r="279" spans="1:16" x14ac:dyDescent="0.3">
      <c r="A279" s="12" t="s">
        <v>89</v>
      </c>
      <c r="B279" s="12" t="s">
        <v>159</v>
      </c>
      <c r="C279" s="12" t="s">
        <v>123</v>
      </c>
      <c r="D279" s="12" t="s">
        <v>110</v>
      </c>
      <c r="E279" s="12" t="s">
        <v>114</v>
      </c>
      <c r="F279" s="12" t="s">
        <v>12</v>
      </c>
      <c r="G279" s="20">
        <v>45309</v>
      </c>
      <c r="H279" s="20">
        <v>45310</v>
      </c>
      <c r="I279" s="20">
        <v>45323</v>
      </c>
      <c r="J279" s="12">
        <v>95</v>
      </c>
      <c r="K279" s="12">
        <v>18.96</v>
      </c>
      <c r="L279" s="12">
        <v>0</v>
      </c>
      <c r="M279" s="12">
        <v>0.66500000000000004</v>
      </c>
      <c r="N279" s="12">
        <v>63.18</v>
      </c>
      <c r="O279" s="12">
        <v>44.22</v>
      </c>
      <c r="P279" s="12" t="s">
        <v>291</v>
      </c>
    </row>
    <row r="280" spans="1:16" x14ac:dyDescent="0.3">
      <c r="A280" s="12" t="s">
        <v>89</v>
      </c>
      <c r="B280" s="12" t="s">
        <v>159</v>
      </c>
      <c r="C280" s="12" t="s">
        <v>123</v>
      </c>
      <c r="D280" s="12" t="s">
        <v>110</v>
      </c>
      <c r="E280" s="12" t="s">
        <v>114</v>
      </c>
      <c r="F280" s="12" t="s">
        <v>12</v>
      </c>
      <c r="G280" s="20">
        <v>45309</v>
      </c>
      <c r="H280" s="20">
        <v>45310</v>
      </c>
      <c r="I280" s="20">
        <v>45323</v>
      </c>
      <c r="J280" s="12">
        <v>95</v>
      </c>
      <c r="K280" s="12">
        <v>18.95</v>
      </c>
      <c r="L280" s="12">
        <v>0</v>
      </c>
      <c r="M280" s="12">
        <v>0.66500000000000004</v>
      </c>
      <c r="N280" s="12">
        <v>63.18</v>
      </c>
      <c r="O280" s="12">
        <v>44.23</v>
      </c>
      <c r="P280" s="12" t="s">
        <v>291</v>
      </c>
    </row>
    <row r="281" spans="1:16" x14ac:dyDescent="0.3">
      <c r="A281" s="12" t="s">
        <v>89</v>
      </c>
      <c r="B281" s="12" t="s">
        <v>159</v>
      </c>
      <c r="C281" s="12" t="s">
        <v>123</v>
      </c>
      <c r="D281" s="12" t="s">
        <v>110</v>
      </c>
      <c r="E281" s="12" t="s">
        <v>114</v>
      </c>
      <c r="F281" s="12" t="s">
        <v>12</v>
      </c>
      <c r="G281" s="20">
        <v>45309</v>
      </c>
      <c r="H281" s="20">
        <v>45310</v>
      </c>
      <c r="I281" s="20">
        <v>45323</v>
      </c>
      <c r="J281" s="12">
        <v>95</v>
      </c>
      <c r="K281" s="12">
        <v>-18.96</v>
      </c>
      <c r="L281" s="12">
        <v>0</v>
      </c>
      <c r="M281" s="12">
        <v>0.66500000000000004</v>
      </c>
      <c r="N281" s="12">
        <v>-63.18</v>
      </c>
      <c r="O281" s="12">
        <v>-44.22</v>
      </c>
      <c r="P281" s="12" t="s">
        <v>292</v>
      </c>
    </row>
    <row r="282" spans="1:16" x14ac:dyDescent="0.3">
      <c r="A282" s="12" t="s">
        <v>89</v>
      </c>
      <c r="B282" s="12" t="s">
        <v>159</v>
      </c>
      <c r="C282" s="12" t="s">
        <v>123</v>
      </c>
      <c r="D282" s="12" t="s">
        <v>110</v>
      </c>
      <c r="E282" s="12" t="s">
        <v>114</v>
      </c>
      <c r="F282" s="12" t="s">
        <v>16</v>
      </c>
      <c r="G282" s="20">
        <v>45306</v>
      </c>
      <c r="H282" s="20">
        <v>45307</v>
      </c>
      <c r="I282" s="20">
        <v>45322</v>
      </c>
      <c r="J282" s="12">
        <v>20</v>
      </c>
      <c r="K282" s="12">
        <v>5.46</v>
      </c>
      <c r="L282" s="12">
        <v>0</v>
      </c>
      <c r="M282" s="12">
        <v>0.91</v>
      </c>
      <c r="N282" s="12">
        <v>18.2</v>
      </c>
      <c r="O282" s="12">
        <v>12.74</v>
      </c>
      <c r="P282" s="12" t="s">
        <v>291</v>
      </c>
    </row>
    <row r="283" spans="1:16" x14ac:dyDescent="0.3">
      <c r="A283" s="12" t="s">
        <v>89</v>
      </c>
      <c r="B283" s="12" t="s">
        <v>159</v>
      </c>
      <c r="C283" s="12" t="s">
        <v>123</v>
      </c>
      <c r="D283" s="12" t="s">
        <v>110</v>
      </c>
      <c r="E283" s="12" t="s">
        <v>114</v>
      </c>
      <c r="F283" s="12" t="s">
        <v>16</v>
      </c>
      <c r="G283" s="20">
        <v>45322</v>
      </c>
      <c r="H283" s="20">
        <v>45307</v>
      </c>
      <c r="I283" s="20">
        <v>45322</v>
      </c>
      <c r="J283" s="12">
        <v>20</v>
      </c>
      <c r="K283" s="12">
        <v>-5.46</v>
      </c>
      <c r="L283" s="12">
        <v>0</v>
      </c>
      <c r="M283" s="12">
        <v>0.91</v>
      </c>
      <c r="N283" s="12">
        <v>-18.2</v>
      </c>
      <c r="O283" s="12">
        <v>-12.74</v>
      </c>
      <c r="P283" s="12" t="s">
        <v>292</v>
      </c>
    </row>
    <row r="284" spans="1:16" x14ac:dyDescent="0.3">
      <c r="A284" s="12" t="s">
        <v>89</v>
      </c>
      <c r="B284" s="12" t="s">
        <v>159</v>
      </c>
      <c r="C284" s="12" t="s">
        <v>123</v>
      </c>
      <c r="D284" s="12" t="s">
        <v>110</v>
      </c>
      <c r="E284" s="12" t="s">
        <v>114</v>
      </c>
      <c r="F284" s="12" t="s">
        <v>18</v>
      </c>
      <c r="G284" s="20">
        <v>45308</v>
      </c>
      <c r="H284" s="20">
        <v>45309</v>
      </c>
      <c r="I284" s="20">
        <v>45331</v>
      </c>
      <c r="J284" s="12">
        <v>14</v>
      </c>
      <c r="K284" s="12">
        <v>5.54</v>
      </c>
      <c r="L284" s="12">
        <v>0</v>
      </c>
      <c r="M284" s="12">
        <v>1.32</v>
      </c>
      <c r="N284" s="12">
        <v>18.48</v>
      </c>
      <c r="O284" s="12">
        <v>12.94</v>
      </c>
      <c r="P284" s="12" t="s">
        <v>291</v>
      </c>
    </row>
    <row r="285" spans="1:16" x14ac:dyDescent="0.3">
      <c r="A285" s="12" t="s">
        <v>89</v>
      </c>
      <c r="B285" s="12" t="s">
        <v>159</v>
      </c>
      <c r="C285" s="12" t="s">
        <v>123</v>
      </c>
      <c r="D285" s="12" t="s">
        <v>110</v>
      </c>
      <c r="E285" s="12" t="s">
        <v>114</v>
      </c>
      <c r="F285" s="12" t="s">
        <v>23</v>
      </c>
      <c r="G285" s="20">
        <v>45299</v>
      </c>
      <c r="H285" s="20">
        <v>45300</v>
      </c>
      <c r="I285" s="20">
        <v>45309</v>
      </c>
      <c r="J285" s="12">
        <v>13</v>
      </c>
      <c r="K285" s="12">
        <v>3.51</v>
      </c>
      <c r="L285" s="12">
        <v>0</v>
      </c>
      <c r="M285" s="12">
        <v>0.9</v>
      </c>
      <c r="N285" s="12">
        <v>11.7</v>
      </c>
      <c r="O285" s="12">
        <v>8.19</v>
      </c>
      <c r="P285" s="12" t="s">
        <v>291</v>
      </c>
    </row>
    <row r="286" spans="1:16" x14ac:dyDescent="0.3">
      <c r="A286" s="12" t="s">
        <v>89</v>
      </c>
      <c r="B286" s="12" t="s">
        <v>159</v>
      </c>
      <c r="C286" s="12" t="s">
        <v>123</v>
      </c>
      <c r="D286" s="12" t="s">
        <v>110</v>
      </c>
      <c r="E286" s="12" t="s">
        <v>114</v>
      </c>
      <c r="F286" s="12" t="s">
        <v>23</v>
      </c>
      <c r="G286" s="20">
        <v>45309</v>
      </c>
      <c r="H286" s="20">
        <v>45300</v>
      </c>
      <c r="I286" s="20">
        <v>45309</v>
      </c>
      <c r="J286" s="12">
        <v>13</v>
      </c>
      <c r="K286" s="12">
        <v>-3.51</v>
      </c>
      <c r="L286" s="12">
        <v>0</v>
      </c>
      <c r="M286" s="12">
        <v>0.9</v>
      </c>
      <c r="N286" s="12">
        <v>-11.7</v>
      </c>
      <c r="O286" s="12">
        <v>-8.19</v>
      </c>
      <c r="P286" s="12" t="s">
        <v>292</v>
      </c>
    </row>
    <row r="287" spans="1:16" x14ac:dyDescent="0.3">
      <c r="A287" s="12" t="s">
        <v>89</v>
      </c>
      <c r="B287" s="12" t="s">
        <v>159</v>
      </c>
      <c r="C287" s="12" t="s">
        <v>123</v>
      </c>
      <c r="D287" s="12" t="s">
        <v>97</v>
      </c>
      <c r="K287" s="12">
        <v>24.49</v>
      </c>
      <c r="L287" s="12">
        <v>0</v>
      </c>
      <c r="N287" s="12">
        <v>81.66</v>
      </c>
      <c r="O287" s="12">
        <v>57.17</v>
      </c>
    </row>
    <row r="288" spans="1:16" s="28" customFormat="1" x14ac:dyDescent="0.3">
      <c r="A288" s="28" t="s">
        <v>89</v>
      </c>
      <c r="B288" s="28" t="s">
        <v>159</v>
      </c>
      <c r="C288" s="28" t="s">
        <v>123</v>
      </c>
      <c r="D288" s="28" t="s">
        <v>293</v>
      </c>
      <c r="O288" s="28">
        <v>57.17</v>
      </c>
    </row>
    <row r="289" spans="1:12" x14ac:dyDescent="0.3">
      <c r="A289" s="12" t="s">
        <v>89</v>
      </c>
      <c r="B289" s="12" t="s">
        <v>294</v>
      </c>
      <c r="C289" s="12" t="s">
        <v>120</v>
      </c>
      <c r="D289" s="12" t="s">
        <v>100</v>
      </c>
      <c r="E289" s="12" t="s">
        <v>0</v>
      </c>
      <c r="F289" s="12" t="s">
        <v>269</v>
      </c>
      <c r="G289" s="12" t="s">
        <v>295</v>
      </c>
      <c r="H289" s="12" t="s">
        <v>296</v>
      </c>
      <c r="I289" s="12" t="s">
        <v>297</v>
      </c>
      <c r="J289" s="12" t="s">
        <v>298</v>
      </c>
      <c r="K289" s="12" t="s">
        <v>299</v>
      </c>
      <c r="L289" s="12" t="s">
        <v>165</v>
      </c>
    </row>
    <row r="290" spans="1:12" x14ac:dyDescent="0.3">
      <c r="A290" s="12" t="s">
        <v>89</v>
      </c>
      <c r="B290" s="12" t="s">
        <v>294</v>
      </c>
      <c r="C290" s="12" t="s">
        <v>123</v>
      </c>
      <c r="D290" s="12" t="s">
        <v>110</v>
      </c>
      <c r="E290" s="12" t="s">
        <v>2</v>
      </c>
      <c r="F290" s="12" t="s">
        <v>300</v>
      </c>
      <c r="G290" s="12">
        <v>265598</v>
      </c>
      <c r="H290" s="12" t="s">
        <v>301</v>
      </c>
      <c r="I290" s="12" t="s">
        <v>302</v>
      </c>
      <c r="J290" s="12">
        <v>1</v>
      </c>
      <c r="K290" s="12" t="s">
        <v>303</v>
      </c>
    </row>
    <row r="291" spans="1:12" x14ac:dyDescent="0.3">
      <c r="A291" s="12" t="s">
        <v>89</v>
      </c>
      <c r="B291" s="12" t="s">
        <v>294</v>
      </c>
      <c r="C291" s="12" t="s">
        <v>123</v>
      </c>
      <c r="D291" s="12" t="s">
        <v>110</v>
      </c>
      <c r="E291" s="12" t="s">
        <v>4</v>
      </c>
      <c r="F291" s="12" t="s">
        <v>304</v>
      </c>
      <c r="G291" s="12">
        <v>99831145</v>
      </c>
      <c r="H291" s="12" t="s">
        <v>305</v>
      </c>
      <c r="I291" s="12" t="s">
        <v>306</v>
      </c>
      <c r="J291" s="12">
        <v>1</v>
      </c>
      <c r="K291" s="12" t="s">
        <v>307</v>
      </c>
    </row>
    <row r="292" spans="1:12" x14ac:dyDescent="0.3">
      <c r="A292" s="12" t="s">
        <v>89</v>
      </c>
      <c r="B292" s="12" t="s">
        <v>294</v>
      </c>
      <c r="C292" s="12" t="s">
        <v>123</v>
      </c>
      <c r="D292" s="12" t="s">
        <v>110</v>
      </c>
      <c r="E292" s="12" t="s">
        <v>5</v>
      </c>
      <c r="F292" s="12" t="s">
        <v>308</v>
      </c>
      <c r="G292" s="12">
        <v>3691937</v>
      </c>
      <c r="H292" s="12" t="s">
        <v>309</v>
      </c>
      <c r="I292" s="12" t="s">
        <v>302</v>
      </c>
      <c r="J292" s="12">
        <v>1</v>
      </c>
      <c r="K292" s="12" t="s">
        <v>303</v>
      </c>
    </row>
    <row r="293" spans="1:12" x14ac:dyDescent="0.3">
      <c r="A293" s="12" t="s">
        <v>89</v>
      </c>
      <c r="B293" s="12" t="s">
        <v>294</v>
      </c>
      <c r="C293" s="12" t="s">
        <v>123</v>
      </c>
      <c r="D293" s="12" t="s">
        <v>110</v>
      </c>
      <c r="E293" s="12" t="s">
        <v>6</v>
      </c>
      <c r="F293" s="12" t="s">
        <v>310</v>
      </c>
      <c r="G293" s="12">
        <v>153912055</v>
      </c>
      <c r="H293" s="12" t="s">
        <v>311</v>
      </c>
      <c r="I293" s="12" t="s">
        <v>306</v>
      </c>
      <c r="J293" s="12">
        <v>1</v>
      </c>
      <c r="K293" s="12" t="s">
        <v>303</v>
      </c>
    </row>
    <row r="294" spans="1:12" x14ac:dyDescent="0.3">
      <c r="A294" s="12" t="s">
        <v>89</v>
      </c>
      <c r="B294" s="12" t="s">
        <v>294</v>
      </c>
      <c r="C294" s="12" t="s">
        <v>123</v>
      </c>
      <c r="D294" s="12" t="s">
        <v>110</v>
      </c>
      <c r="E294" s="12" t="s">
        <v>7</v>
      </c>
      <c r="F294" s="12" t="s">
        <v>312</v>
      </c>
      <c r="G294" s="12">
        <v>313130367</v>
      </c>
      <c r="H294" s="12" t="s">
        <v>313</v>
      </c>
      <c r="I294" s="12" t="s">
        <v>302</v>
      </c>
      <c r="J294" s="12">
        <v>1</v>
      </c>
      <c r="K294" s="12" t="s">
        <v>303</v>
      </c>
    </row>
    <row r="295" spans="1:12" x14ac:dyDescent="0.3">
      <c r="A295" s="12" t="s">
        <v>89</v>
      </c>
      <c r="B295" s="12" t="s">
        <v>294</v>
      </c>
      <c r="C295" s="12" t="s">
        <v>123</v>
      </c>
      <c r="D295" s="12" t="s">
        <v>110</v>
      </c>
      <c r="E295" s="12" t="s">
        <v>8</v>
      </c>
      <c r="F295" s="12" t="s">
        <v>314</v>
      </c>
      <c r="G295" s="12">
        <v>10098</v>
      </c>
      <c r="H295" s="12" t="s">
        <v>315</v>
      </c>
      <c r="I295" s="12" t="s">
        <v>306</v>
      </c>
      <c r="J295" s="12">
        <v>1</v>
      </c>
      <c r="K295" s="12" t="s">
        <v>303</v>
      </c>
    </row>
    <row r="296" spans="1:12" x14ac:dyDescent="0.3">
      <c r="A296" s="12" t="s">
        <v>89</v>
      </c>
      <c r="B296" s="12" t="s">
        <v>294</v>
      </c>
      <c r="C296" s="12" t="s">
        <v>123</v>
      </c>
      <c r="D296" s="12" t="s">
        <v>110</v>
      </c>
      <c r="E296" s="12" t="s">
        <v>9</v>
      </c>
      <c r="F296" s="12" t="s">
        <v>316</v>
      </c>
      <c r="G296" s="12">
        <v>308728373</v>
      </c>
      <c r="H296" s="12" t="s">
        <v>317</v>
      </c>
      <c r="I296" s="12" t="s">
        <v>302</v>
      </c>
      <c r="J296" s="12">
        <v>1</v>
      </c>
      <c r="K296" s="12" t="s">
        <v>303</v>
      </c>
    </row>
    <row r="297" spans="1:12" x14ac:dyDescent="0.3">
      <c r="A297" s="12" t="s">
        <v>89</v>
      </c>
      <c r="B297" s="12" t="s">
        <v>294</v>
      </c>
      <c r="C297" s="12" t="s">
        <v>123</v>
      </c>
      <c r="D297" s="12" t="s">
        <v>110</v>
      </c>
      <c r="E297" s="12" t="s">
        <v>3</v>
      </c>
      <c r="F297" s="12" t="s">
        <v>318</v>
      </c>
      <c r="G297" s="12">
        <v>87335484</v>
      </c>
      <c r="H297" s="12" t="s">
        <v>319</v>
      </c>
      <c r="I297" s="12" t="s">
        <v>306</v>
      </c>
      <c r="J297" s="12">
        <v>1</v>
      </c>
      <c r="K297" s="12" t="s">
        <v>303</v>
      </c>
    </row>
    <row r="298" spans="1:12" x14ac:dyDescent="0.3">
      <c r="A298" s="12" t="s">
        <v>89</v>
      </c>
      <c r="B298" s="12" t="s">
        <v>294</v>
      </c>
      <c r="C298" s="12" t="s">
        <v>123</v>
      </c>
      <c r="D298" s="12" t="s">
        <v>110</v>
      </c>
      <c r="E298" s="12" t="s">
        <v>10</v>
      </c>
      <c r="F298" s="12" t="s">
        <v>320</v>
      </c>
      <c r="G298" s="12">
        <v>10885</v>
      </c>
      <c r="H298" s="12" t="s">
        <v>321</v>
      </c>
      <c r="I298" s="12" t="s">
        <v>306</v>
      </c>
      <c r="J298" s="12">
        <v>1</v>
      </c>
      <c r="K298" s="12" t="s">
        <v>303</v>
      </c>
    </row>
    <row r="299" spans="1:12" x14ac:dyDescent="0.3">
      <c r="A299" s="12" t="s">
        <v>89</v>
      </c>
      <c r="B299" s="12" t="s">
        <v>294</v>
      </c>
      <c r="C299" s="12" t="s">
        <v>123</v>
      </c>
      <c r="D299" s="12" t="s">
        <v>110</v>
      </c>
      <c r="E299" s="12" t="s">
        <v>11</v>
      </c>
      <c r="F299" s="12" t="s">
        <v>322</v>
      </c>
      <c r="G299" s="12">
        <v>272997</v>
      </c>
      <c r="H299" s="12" t="s">
        <v>323</v>
      </c>
      <c r="I299" s="12" t="s">
        <v>302</v>
      </c>
      <c r="J299" s="12">
        <v>1</v>
      </c>
      <c r="K299" s="12" t="s">
        <v>303</v>
      </c>
    </row>
    <row r="300" spans="1:12" x14ac:dyDescent="0.3">
      <c r="A300" s="12" t="s">
        <v>89</v>
      </c>
      <c r="B300" s="12" t="s">
        <v>294</v>
      </c>
      <c r="C300" s="12" t="s">
        <v>123</v>
      </c>
      <c r="D300" s="12" t="s">
        <v>110</v>
      </c>
      <c r="E300" s="12" t="s">
        <v>12</v>
      </c>
      <c r="F300" s="12" t="s">
        <v>324</v>
      </c>
      <c r="G300" s="12">
        <v>2585769</v>
      </c>
      <c r="H300" s="12" t="s">
        <v>325</v>
      </c>
      <c r="I300" s="12" t="s">
        <v>306</v>
      </c>
      <c r="J300" s="12">
        <v>1</v>
      </c>
      <c r="K300" s="12" t="s">
        <v>303</v>
      </c>
    </row>
    <row r="301" spans="1:12" x14ac:dyDescent="0.3">
      <c r="A301" s="12" t="s">
        <v>89</v>
      </c>
      <c r="B301" s="12" t="s">
        <v>294</v>
      </c>
      <c r="C301" s="12" t="s">
        <v>123</v>
      </c>
      <c r="D301" s="12" t="s">
        <v>110</v>
      </c>
      <c r="E301" s="12" t="s">
        <v>13</v>
      </c>
      <c r="F301" s="12" t="s">
        <v>326</v>
      </c>
      <c r="G301" s="12">
        <v>6393</v>
      </c>
      <c r="H301" s="12" t="s">
        <v>327</v>
      </c>
      <c r="I301" s="12" t="s">
        <v>306</v>
      </c>
      <c r="J301" s="12">
        <v>1</v>
      </c>
      <c r="K301" s="12" t="s">
        <v>303</v>
      </c>
    </row>
    <row r="302" spans="1:12" x14ac:dyDescent="0.3">
      <c r="A302" s="12" t="s">
        <v>89</v>
      </c>
      <c r="B302" s="12" t="s">
        <v>294</v>
      </c>
      <c r="C302" s="12" t="s">
        <v>123</v>
      </c>
      <c r="D302" s="12" t="s">
        <v>110</v>
      </c>
      <c r="E302" s="12" t="s">
        <v>14</v>
      </c>
      <c r="F302" s="12" t="s">
        <v>328</v>
      </c>
      <c r="G302" s="12">
        <v>6442</v>
      </c>
      <c r="H302" s="12" t="s">
        <v>329</v>
      </c>
      <c r="I302" s="12" t="s">
        <v>306</v>
      </c>
      <c r="J302" s="12">
        <v>1</v>
      </c>
      <c r="K302" s="12" t="s">
        <v>303</v>
      </c>
    </row>
    <row r="303" spans="1:12" x14ac:dyDescent="0.3">
      <c r="A303" s="12" t="s">
        <v>89</v>
      </c>
      <c r="B303" s="12" t="s">
        <v>294</v>
      </c>
      <c r="C303" s="12" t="s">
        <v>123</v>
      </c>
      <c r="D303" s="12" t="s">
        <v>110</v>
      </c>
      <c r="E303" s="12" t="s">
        <v>15</v>
      </c>
      <c r="F303" s="12" t="s">
        <v>330</v>
      </c>
      <c r="G303" s="12">
        <v>173962302</v>
      </c>
      <c r="H303" s="12" t="s">
        <v>331</v>
      </c>
      <c r="I303" s="12" t="s">
        <v>306</v>
      </c>
      <c r="J303" s="12">
        <v>1</v>
      </c>
      <c r="K303" s="12" t="s">
        <v>303</v>
      </c>
    </row>
    <row r="304" spans="1:12" x14ac:dyDescent="0.3">
      <c r="A304" s="12" t="s">
        <v>89</v>
      </c>
      <c r="B304" s="12" t="s">
        <v>294</v>
      </c>
      <c r="C304" s="12" t="s">
        <v>123</v>
      </c>
      <c r="D304" s="12" t="s">
        <v>110</v>
      </c>
      <c r="E304" s="12" t="s">
        <v>16</v>
      </c>
      <c r="F304" s="12" t="s">
        <v>332</v>
      </c>
      <c r="G304" s="12">
        <v>6890</v>
      </c>
      <c r="H304" s="12" t="s">
        <v>333</v>
      </c>
      <c r="I304" s="12" t="s">
        <v>306</v>
      </c>
      <c r="J304" s="12">
        <v>1</v>
      </c>
      <c r="K304" s="12" t="s">
        <v>303</v>
      </c>
    </row>
    <row r="305" spans="1:11" x14ac:dyDescent="0.3">
      <c r="A305" s="12" t="s">
        <v>89</v>
      </c>
      <c r="B305" s="12" t="s">
        <v>294</v>
      </c>
      <c r="C305" s="12" t="s">
        <v>123</v>
      </c>
      <c r="D305" s="12" t="s">
        <v>110</v>
      </c>
      <c r="E305" s="12" t="s">
        <v>17</v>
      </c>
      <c r="F305" s="12" t="s">
        <v>334</v>
      </c>
      <c r="G305" s="12">
        <v>398898580</v>
      </c>
      <c r="H305" s="12" t="s">
        <v>335</v>
      </c>
      <c r="I305" s="12" t="s">
        <v>306</v>
      </c>
      <c r="J305" s="12">
        <v>1</v>
      </c>
      <c r="K305" s="12" t="s">
        <v>303</v>
      </c>
    </row>
    <row r="306" spans="1:11" x14ac:dyDescent="0.3">
      <c r="A306" s="12" t="s">
        <v>89</v>
      </c>
      <c r="B306" s="12" t="s">
        <v>294</v>
      </c>
      <c r="C306" s="12" t="s">
        <v>123</v>
      </c>
      <c r="D306" s="12" t="s">
        <v>110</v>
      </c>
      <c r="E306" s="12" t="s">
        <v>18</v>
      </c>
      <c r="F306" s="12" t="s">
        <v>336</v>
      </c>
      <c r="G306" s="12">
        <v>7496</v>
      </c>
      <c r="H306" s="12" t="s">
        <v>337</v>
      </c>
      <c r="I306" s="12" t="s">
        <v>306</v>
      </c>
      <c r="J306" s="12">
        <v>1</v>
      </c>
      <c r="K306" s="12" t="s">
        <v>303</v>
      </c>
    </row>
    <row r="307" spans="1:11" x14ac:dyDescent="0.3">
      <c r="A307" s="12" t="s">
        <v>89</v>
      </c>
      <c r="B307" s="12" t="s">
        <v>294</v>
      </c>
      <c r="C307" s="12" t="s">
        <v>123</v>
      </c>
      <c r="D307" s="12" t="s">
        <v>110</v>
      </c>
      <c r="E307" s="12" t="s">
        <v>19</v>
      </c>
      <c r="F307" s="12" t="s">
        <v>338</v>
      </c>
      <c r="G307" s="12">
        <v>208813719</v>
      </c>
      <c r="H307" s="12" t="s">
        <v>339</v>
      </c>
      <c r="I307" s="12" t="s">
        <v>302</v>
      </c>
      <c r="J307" s="12">
        <v>1</v>
      </c>
      <c r="K307" s="12" t="s">
        <v>303</v>
      </c>
    </row>
    <row r="308" spans="1:11" x14ac:dyDescent="0.3">
      <c r="A308" s="12" t="s">
        <v>89</v>
      </c>
      <c r="B308" s="12" t="s">
        <v>294</v>
      </c>
      <c r="C308" s="12" t="s">
        <v>123</v>
      </c>
      <c r="D308" s="12" t="s">
        <v>110</v>
      </c>
      <c r="E308" s="12" t="s">
        <v>20</v>
      </c>
      <c r="F308" s="12" t="s">
        <v>340</v>
      </c>
      <c r="G308" s="12">
        <v>7930</v>
      </c>
      <c r="H308" s="12" t="s">
        <v>341</v>
      </c>
      <c r="I308" s="12" t="s">
        <v>306</v>
      </c>
      <c r="J308" s="12">
        <v>1</v>
      </c>
      <c r="K308" s="12" t="s">
        <v>303</v>
      </c>
    </row>
    <row r="309" spans="1:11" x14ac:dyDescent="0.3">
      <c r="A309" s="12" t="s">
        <v>89</v>
      </c>
      <c r="B309" s="12" t="s">
        <v>294</v>
      </c>
      <c r="C309" s="12" t="s">
        <v>123</v>
      </c>
      <c r="D309" s="12" t="s">
        <v>110</v>
      </c>
      <c r="E309" s="12" t="s">
        <v>21</v>
      </c>
      <c r="F309" s="12" t="s">
        <v>342</v>
      </c>
      <c r="G309" s="12">
        <v>169544810</v>
      </c>
      <c r="H309" s="12" t="s">
        <v>343</v>
      </c>
      <c r="I309" s="12" t="s">
        <v>306</v>
      </c>
      <c r="J309" s="12">
        <v>1</v>
      </c>
      <c r="K309" s="12" t="s">
        <v>303</v>
      </c>
    </row>
    <row r="310" spans="1:11" x14ac:dyDescent="0.3">
      <c r="A310" s="12" t="s">
        <v>89</v>
      </c>
      <c r="B310" s="12" t="s">
        <v>294</v>
      </c>
      <c r="C310" s="12" t="s">
        <v>123</v>
      </c>
      <c r="D310" s="12" t="s">
        <v>110</v>
      </c>
      <c r="E310" s="12" t="s">
        <v>22</v>
      </c>
      <c r="F310" s="12" t="s">
        <v>344</v>
      </c>
      <c r="G310" s="12">
        <v>403121976</v>
      </c>
      <c r="H310" s="12" t="s">
        <v>345</v>
      </c>
      <c r="I310" s="12" t="s">
        <v>306</v>
      </c>
      <c r="J310" s="12">
        <v>1</v>
      </c>
      <c r="K310" s="12" t="s">
        <v>303</v>
      </c>
    </row>
    <row r="311" spans="1:11" x14ac:dyDescent="0.3">
      <c r="A311" s="12" t="s">
        <v>89</v>
      </c>
      <c r="B311" s="12" t="s">
        <v>294</v>
      </c>
      <c r="C311" s="12" t="s">
        <v>123</v>
      </c>
      <c r="D311" s="12" t="s">
        <v>110</v>
      </c>
      <c r="E311" s="12" t="s">
        <v>23</v>
      </c>
      <c r="F311" s="12" t="s">
        <v>346</v>
      </c>
      <c r="G311" s="12">
        <v>270662</v>
      </c>
      <c r="H311" s="12" t="s">
        <v>347</v>
      </c>
      <c r="I311" s="12" t="s">
        <v>302</v>
      </c>
      <c r="J311" s="12">
        <v>1</v>
      </c>
      <c r="K311" s="12" t="s">
        <v>303</v>
      </c>
    </row>
    <row r="312" spans="1:11" x14ac:dyDescent="0.3">
      <c r="A312" s="12" t="s">
        <v>89</v>
      </c>
      <c r="B312" s="12" t="s">
        <v>294</v>
      </c>
      <c r="C312" s="12" t="s">
        <v>123</v>
      </c>
      <c r="D312" s="12" t="s">
        <v>110</v>
      </c>
      <c r="E312" s="12" t="s">
        <v>24</v>
      </c>
      <c r="F312" s="12" t="s">
        <v>348</v>
      </c>
      <c r="G312" s="12">
        <v>404509190</v>
      </c>
      <c r="H312" s="12" t="s">
        <v>349</v>
      </c>
      <c r="I312" s="12" t="s">
        <v>306</v>
      </c>
      <c r="J312" s="12">
        <v>1</v>
      </c>
      <c r="K312" s="12" t="s">
        <v>303</v>
      </c>
    </row>
    <row r="313" spans="1:11" x14ac:dyDescent="0.3">
      <c r="A313" s="12" t="s">
        <v>89</v>
      </c>
      <c r="B313" s="12" t="s">
        <v>294</v>
      </c>
      <c r="C313" s="12" t="s">
        <v>123</v>
      </c>
      <c r="D313" s="12" t="s">
        <v>110</v>
      </c>
      <c r="E313" s="12" t="s">
        <v>25</v>
      </c>
      <c r="F313" s="12" t="s">
        <v>350</v>
      </c>
      <c r="G313" s="12">
        <v>45157951</v>
      </c>
      <c r="H313" s="12" t="s">
        <v>351</v>
      </c>
      <c r="I313" s="12" t="s">
        <v>302</v>
      </c>
      <c r="J313" s="12">
        <v>1</v>
      </c>
      <c r="K313" s="12" t="s">
        <v>303</v>
      </c>
    </row>
    <row r="314" spans="1:11" x14ac:dyDescent="0.3">
      <c r="A314" s="12" t="s">
        <v>89</v>
      </c>
      <c r="B314" s="12" t="s">
        <v>294</v>
      </c>
      <c r="C314" s="12" t="s">
        <v>123</v>
      </c>
      <c r="D314" s="12" t="s">
        <v>110</v>
      </c>
      <c r="E314" s="12" t="s">
        <v>26</v>
      </c>
      <c r="F314" s="12" t="s">
        <v>352</v>
      </c>
      <c r="G314" s="12">
        <v>6497</v>
      </c>
      <c r="H314" s="12" t="s">
        <v>353</v>
      </c>
      <c r="I314" s="12" t="s">
        <v>306</v>
      </c>
      <c r="J314" s="12">
        <v>1</v>
      </c>
      <c r="K314" s="12" t="s">
        <v>303</v>
      </c>
    </row>
    <row r="315" spans="1:11" x14ac:dyDescent="0.3">
      <c r="A315" s="12" t="s">
        <v>89</v>
      </c>
      <c r="B315" s="12" t="s">
        <v>294</v>
      </c>
      <c r="C315" s="12" t="s">
        <v>123</v>
      </c>
      <c r="D315" s="12" t="s">
        <v>110</v>
      </c>
      <c r="E315" s="12" t="s">
        <v>27</v>
      </c>
      <c r="F315" s="12" t="s">
        <v>354</v>
      </c>
      <c r="G315" s="12">
        <v>107113386</v>
      </c>
      <c r="H315" s="12" t="s">
        <v>355</v>
      </c>
      <c r="I315" s="12" t="s">
        <v>302</v>
      </c>
      <c r="J315" s="12">
        <v>1</v>
      </c>
      <c r="K315" s="12" t="s">
        <v>303</v>
      </c>
    </row>
    <row r="316" spans="1:11" x14ac:dyDescent="0.3">
      <c r="A316" s="12" t="s">
        <v>89</v>
      </c>
      <c r="B316" s="12" t="s">
        <v>294</v>
      </c>
      <c r="C316" s="12" t="s">
        <v>123</v>
      </c>
      <c r="D316" s="12" t="s">
        <v>110</v>
      </c>
      <c r="E316" s="12" t="s">
        <v>28</v>
      </c>
      <c r="F316" s="12" t="s">
        <v>356</v>
      </c>
      <c r="G316" s="12">
        <v>272093</v>
      </c>
      <c r="H316" s="12" t="s">
        <v>357</v>
      </c>
      <c r="I316" s="12" t="s">
        <v>302</v>
      </c>
      <c r="J316" s="12">
        <v>1</v>
      </c>
      <c r="K316" s="12" t="s">
        <v>303</v>
      </c>
    </row>
    <row r="317" spans="1:11" x14ac:dyDescent="0.3">
      <c r="A317" s="12" t="s">
        <v>89</v>
      </c>
      <c r="B317" s="12" t="s">
        <v>294</v>
      </c>
      <c r="C317" s="12" t="s">
        <v>123</v>
      </c>
      <c r="D317" s="12" t="s">
        <v>110</v>
      </c>
      <c r="E317" s="12" t="s">
        <v>29</v>
      </c>
      <c r="F317" s="12" t="s">
        <v>358</v>
      </c>
      <c r="G317" s="12">
        <v>110619459</v>
      </c>
      <c r="H317" s="12" t="s">
        <v>359</v>
      </c>
      <c r="I317" s="12" t="s">
        <v>302</v>
      </c>
      <c r="J317" s="12">
        <v>1</v>
      </c>
      <c r="K317" s="12" t="s">
        <v>303</v>
      </c>
    </row>
    <row r="318" spans="1:11" x14ac:dyDescent="0.3">
      <c r="A318" s="12" t="s">
        <v>89</v>
      </c>
      <c r="B318" s="12" t="s">
        <v>294</v>
      </c>
      <c r="C318" s="12" t="s">
        <v>123</v>
      </c>
      <c r="D318" s="12" t="s">
        <v>110</v>
      </c>
      <c r="E318" s="12" t="s">
        <v>30</v>
      </c>
      <c r="F318" s="12" t="s">
        <v>360</v>
      </c>
      <c r="G318" s="12">
        <v>273939</v>
      </c>
      <c r="H318" s="12" t="s">
        <v>361</v>
      </c>
      <c r="I318" s="12" t="s">
        <v>302</v>
      </c>
      <c r="J318" s="12">
        <v>1</v>
      </c>
      <c r="K318" s="12" t="s">
        <v>303</v>
      </c>
    </row>
    <row r="319" spans="1:11" x14ac:dyDescent="0.3">
      <c r="A319" s="12" t="s">
        <v>89</v>
      </c>
      <c r="B319" s="12" t="s">
        <v>294</v>
      </c>
      <c r="C319" s="12" t="s">
        <v>123</v>
      </c>
      <c r="D319" s="12" t="s">
        <v>110</v>
      </c>
      <c r="E319" s="12" t="s">
        <v>31</v>
      </c>
      <c r="F319" s="12" t="s">
        <v>362</v>
      </c>
      <c r="G319" s="12">
        <v>444884769</v>
      </c>
      <c r="H319" s="12" t="s">
        <v>363</v>
      </c>
      <c r="I319" s="12" t="s">
        <v>306</v>
      </c>
      <c r="J319" s="12">
        <v>1</v>
      </c>
      <c r="K319" s="12" t="s">
        <v>303</v>
      </c>
    </row>
    <row r="320" spans="1:11" x14ac:dyDescent="0.3">
      <c r="A320" s="12" t="s">
        <v>89</v>
      </c>
      <c r="B320" s="12" t="s">
        <v>294</v>
      </c>
      <c r="C320" s="12" t="s">
        <v>123</v>
      </c>
      <c r="D320" s="12" t="s">
        <v>110</v>
      </c>
      <c r="E320" s="12" t="s">
        <v>32</v>
      </c>
      <c r="F320" s="12" t="s">
        <v>364</v>
      </c>
      <c r="G320" s="12">
        <v>365207014</v>
      </c>
      <c r="H320" s="12" t="s">
        <v>365</v>
      </c>
      <c r="I320" s="12" t="s">
        <v>306</v>
      </c>
      <c r="J320" s="12">
        <v>1</v>
      </c>
      <c r="K320" s="12" t="s">
        <v>303</v>
      </c>
    </row>
    <row r="321" spans="1:12" x14ac:dyDescent="0.3">
      <c r="A321" s="12" t="s">
        <v>89</v>
      </c>
      <c r="B321" s="12" t="s">
        <v>294</v>
      </c>
      <c r="C321" s="12" t="s">
        <v>123</v>
      </c>
      <c r="D321" s="12" t="s">
        <v>110</v>
      </c>
      <c r="E321" s="12" t="s">
        <v>33</v>
      </c>
      <c r="F321" s="12" t="s">
        <v>366</v>
      </c>
      <c r="G321" s="12">
        <v>46970422</v>
      </c>
      <c r="H321" s="12" t="s">
        <v>367</v>
      </c>
      <c r="I321" s="12" t="s">
        <v>302</v>
      </c>
      <c r="J321" s="12">
        <v>1</v>
      </c>
      <c r="K321" s="12" t="s">
        <v>303</v>
      </c>
    </row>
    <row r="322" spans="1:12" x14ac:dyDescent="0.3">
      <c r="A322" s="12" t="s">
        <v>89</v>
      </c>
      <c r="B322" s="12" t="s">
        <v>294</v>
      </c>
      <c r="C322" s="12" t="s">
        <v>123</v>
      </c>
      <c r="D322" s="12" t="s">
        <v>110</v>
      </c>
      <c r="E322" s="12" t="s">
        <v>34</v>
      </c>
      <c r="F322" s="12" t="s">
        <v>368</v>
      </c>
      <c r="G322" s="12">
        <v>115324104</v>
      </c>
      <c r="H322" s="12" t="s">
        <v>369</v>
      </c>
      <c r="I322" s="12" t="s">
        <v>302</v>
      </c>
      <c r="J322" s="12">
        <v>1</v>
      </c>
      <c r="K322" s="12" t="s">
        <v>303</v>
      </c>
    </row>
    <row r="323" spans="1:12" x14ac:dyDescent="0.3">
      <c r="A323" s="12" t="s">
        <v>89</v>
      </c>
      <c r="B323" s="12" t="s">
        <v>294</v>
      </c>
      <c r="C323" s="12" t="s">
        <v>123</v>
      </c>
      <c r="D323" s="12" t="s">
        <v>110</v>
      </c>
      <c r="E323" s="12" t="s">
        <v>35</v>
      </c>
      <c r="F323" s="12" t="s">
        <v>370</v>
      </c>
      <c r="G323" s="12">
        <v>13977</v>
      </c>
      <c r="H323" s="12" t="s">
        <v>371</v>
      </c>
      <c r="I323" s="12" t="s">
        <v>306</v>
      </c>
      <c r="J323" s="12">
        <v>1</v>
      </c>
      <c r="K323" s="12" t="s">
        <v>303</v>
      </c>
    </row>
    <row r="324" spans="1:12" x14ac:dyDescent="0.3">
      <c r="A324" s="12" t="s">
        <v>89</v>
      </c>
      <c r="B324" s="12" t="s">
        <v>294</v>
      </c>
      <c r="C324" s="12" t="s">
        <v>120</v>
      </c>
      <c r="D324" s="12" t="s">
        <v>100</v>
      </c>
      <c r="E324" s="12" t="s">
        <v>0</v>
      </c>
      <c r="F324" s="12" t="s">
        <v>269</v>
      </c>
      <c r="G324" s="12" t="s">
        <v>295</v>
      </c>
      <c r="H324" s="12" t="s">
        <v>297</v>
      </c>
      <c r="I324" s="12" t="s">
        <v>298</v>
      </c>
      <c r="J324" s="12" t="s">
        <v>372</v>
      </c>
      <c r="K324" s="12" t="s">
        <v>373</v>
      </c>
      <c r="L324" s="12" t="s">
        <v>165</v>
      </c>
    </row>
    <row r="325" spans="1:12" x14ac:dyDescent="0.3">
      <c r="A325" s="12" t="s">
        <v>89</v>
      </c>
      <c r="B325" s="12" t="s">
        <v>294</v>
      </c>
      <c r="C325" s="12" t="s">
        <v>123</v>
      </c>
      <c r="D325" s="12" t="s">
        <v>112</v>
      </c>
      <c r="E325" s="12" t="s">
        <v>36</v>
      </c>
      <c r="F325" s="12" t="s">
        <v>374</v>
      </c>
      <c r="G325" s="12">
        <v>603558929</v>
      </c>
      <c r="H325" s="12" t="s">
        <v>375</v>
      </c>
      <c r="I325" s="12">
        <v>5</v>
      </c>
      <c r="J325" s="20">
        <v>45366</v>
      </c>
      <c r="K325" s="12" t="s">
        <v>91</v>
      </c>
    </row>
    <row r="326" spans="1:12" x14ac:dyDescent="0.3">
      <c r="A326" s="12" t="s">
        <v>89</v>
      </c>
      <c r="B326" s="12" t="s">
        <v>376</v>
      </c>
      <c r="C326" s="12" t="s">
        <v>120</v>
      </c>
      <c r="D326" s="12" t="s">
        <v>165</v>
      </c>
      <c r="E326" s="12" t="s">
        <v>377</v>
      </c>
      <c r="F326" s="12" t="s">
        <v>378</v>
      </c>
      <c r="G326" s="12" t="s">
        <v>379</v>
      </c>
    </row>
    <row r="327" spans="1:12" x14ac:dyDescent="0.3">
      <c r="A327" s="12" t="s">
        <v>89</v>
      </c>
      <c r="B327" s="12" t="s">
        <v>376</v>
      </c>
      <c r="C327" s="12" t="s">
        <v>123</v>
      </c>
      <c r="D327" s="12" t="s">
        <v>380</v>
      </c>
      <c r="E327" s="12" t="s">
        <v>381</v>
      </c>
    </row>
    <row r="328" spans="1:12" x14ac:dyDescent="0.3">
      <c r="A328" s="12" t="s">
        <v>89</v>
      </c>
      <c r="B328" s="12" t="s">
        <v>376</v>
      </c>
      <c r="C328" s="12" t="s">
        <v>123</v>
      </c>
      <c r="D328" s="12" t="s">
        <v>382</v>
      </c>
      <c r="E328" s="12" t="s">
        <v>383</v>
      </c>
    </row>
    <row r="329" spans="1:12" x14ac:dyDescent="0.3">
      <c r="A329" s="12" t="s">
        <v>89</v>
      </c>
      <c r="B329" s="12" t="s">
        <v>376</v>
      </c>
      <c r="C329" s="12" t="s">
        <v>123</v>
      </c>
      <c r="D329" s="12" t="s">
        <v>384</v>
      </c>
      <c r="E329" s="12" t="s">
        <v>385</v>
      </c>
    </row>
    <row r="330" spans="1:12" x14ac:dyDescent="0.3">
      <c r="A330" s="12" t="s">
        <v>89</v>
      </c>
      <c r="B330" s="12" t="s">
        <v>376</v>
      </c>
      <c r="C330" s="12" t="s">
        <v>123</v>
      </c>
      <c r="D330" s="12" t="s">
        <v>386</v>
      </c>
      <c r="E330" s="12" t="s">
        <v>387</v>
      </c>
    </row>
    <row r="331" spans="1:12" x14ac:dyDescent="0.3">
      <c r="A331" s="12" t="s">
        <v>89</v>
      </c>
      <c r="B331" s="12" t="s">
        <v>376</v>
      </c>
      <c r="C331" s="12" t="s">
        <v>123</v>
      </c>
      <c r="D331" s="12" t="s">
        <v>388</v>
      </c>
      <c r="E331" s="12" t="s">
        <v>389</v>
      </c>
    </row>
    <row r="332" spans="1:12" x14ac:dyDescent="0.3">
      <c r="A332" s="12" t="s">
        <v>89</v>
      </c>
      <c r="B332" s="12" t="s">
        <v>376</v>
      </c>
      <c r="C332" s="12" t="s">
        <v>123</v>
      </c>
      <c r="D332" s="12" t="s">
        <v>390</v>
      </c>
      <c r="E332" s="12" t="s">
        <v>391</v>
      </c>
    </row>
    <row r="333" spans="1:12" x14ac:dyDescent="0.3">
      <c r="A333" s="12" t="s">
        <v>89</v>
      </c>
      <c r="B333" s="12" t="s">
        <v>376</v>
      </c>
      <c r="C333" s="12" t="s">
        <v>123</v>
      </c>
      <c r="D333" s="12" t="s">
        <v>392</v>
      </c>
      <c r="E333" s="12" t="s">
        <v>393</v>
      </c>
    </row>
    <row r="334" spans="1:12" x14ac:dyDescent="0.3">
      <c r="A334" s="12" t="s">
        <v>89</v>
      </c>
      <c r="B334" s="12" t="s">
        <v>376</v>
      </c>
      <c r="C334" s="12" t="s">
        <v>123</v>
      </c>
      <c r="D334" s="12" t="s">
        <v>394</v>
      </c>
      <c r="E334" s="12" t="s">
        <v>395</v>
      </c>
    </row>
    <row r="335" spans="1:12" x14ac:dyDescent="0.3">
      <c r="A335" s="12" t="s">
        <v>89</v>
      </c>
      <c r="B335" s="12" t="s">
        <v>376</v>
      </c>
      <c r="C335" s="12" t="s">
        <v>123</v>
      </c>
      <c r="D335" s="12" t="s">
        <v>396</v>
      </c>
      <c r="E335" s="12" t="s">
        <v>397</v>
      </c>
    </row>
    <row r="336" spans="1:12" x14ac:dyDescent="0.3">
      <c r="A336" s="12" t="s">
        <v>89</v>
      </c>
      <c r="B336" s="12" t="s">
        <v>376</v>
      </c>
      <c r="C336" s="12" t="s">
        <v>123</v>
      </c>
      <c r="D336" s="12" t="s">
        <v>3</v>
      </c>
      <c r="E336" s="12" t="s">
        <v>398</v>
      </c>
    </row>
    <row r="337" spans="1:5" x14ac:dyDescent="0.3">
      <c r="A337" s="12" t="s">
        <v>89</v>
      </c>
      <c r="B337" s="12" t="s">
        <v>376</v>
      </c>
      <c r="C337" s="12" t="s">
        <v>123</v>
      </c>
      <c r="D337" s="12" t="s">
        <v>399</v>
      </c>
      <c r="E337" s="12" t="s">
        <v>400</v>
      </c>
    </row>
    <row r="338" spans="1:5" x14ac:dyDescent="0.3">
      <c r="A338" s="12" t="s">
        <v>89</v>
      </c>
      <c r="B338" s="12" t="s">
        <v>376</v>
      </c>
      <c r="C338" s="12" t="s">
        <v>123</v>
      </c>
      <c r="D338" s="12" t="s">
        <v>401</v>
      </c>
      <c r="E338" s="12" t="s">
        <v>402</v>
      </c>
    </row>
    <row r="339" spans="1:5" x14ac:dyDescent="0.3">
      <c r="A339" s="12" t="s">
        <v>89</v>
      </c>
      <c r="B339" s="12" t="s">
        <v>376</v>
      </c>
      <c r="C339" s="12" t="s">
        <v>123</v>
      </c>
      <c r="D339" s="12" t="s">
        <v>403</v>
      </c>
      <c r="E339" s="12" t="s">
        <v>404</v>
      </c>
    </row>
    <row r="340" spans="1:5" x14ac:dyDescent="0.3">
      <c r="A340" s="12" t="s">
        <v>89</v>
      </c>
      <c r="B340" s="12" t="s">
        <v>376</v>
      </c>
      <c r="C340" s="12" t="s">
        <v>123</v>
      </c>
      <c r="D340" s="12" t="s">
        <v>405</v>
      </c>
      <c r="E340" s="12" t="s">
        <v>406</v>
      </c>
    </row>
    <row r="341" spans="1:5" x14ac:dyDescent="0.3">
      <c r="A341" s="12" t="s">
        <v>89</v>
      </c>
      <c r="B341" s="12" t="s">
        <v>376</v>
      </c>
      <c r="C341" s="12" t="s">
        <v>123</v>
      </c>
      <c r="D341" s="12" t="s">
        <v>407</v>
      </c>
      <c r="E341" s="12" t="s">
        <v>408</v>
      </c>
    </row>
    <row r="342" spans="1:5" x14ac:dyDescent="0.3">
      <c r="A342" s="12" t="s">
        <v>89</v>
      </c>
      <c r="B342" s="12" t="s">
        <v>376</v>
      </c>
      <c r="C342" s="12" t="s">
        <v>123</v>
      </c>
      <c r="D342" s="12" t="s">
        <v>409</v>
      </c>
      <c r="E342" s="12" t="s">
        <v>410</v>
      </c>
    </row>
    <row r="343" spans="1:5" x14ac:dyDescent="0.3">
      <c r="A343" s="12" t="s">
        <v>89</v>
      </c>
      <c r="B343" s="12" t="s">
        <v>376</v>
      </c>
      <c r="C343" s="12" t="s">
        <v>123</v>
      </c>
      <c r="D343" s="12" t="s">
        <v>411</v>
      </c>
      <c r="E343" s="12" t="s">
        <v>412</v>
      </c>
    </row>
    <row r="344" spans="1:5" x14ac:dyDescent="0.3">
      <c r="A344" s="12" t="s">
        <v>89</v>
      </c>
      <c r="B344" s="12" t="s">
        <v>376</v>
      </c>
      <c r="C344" s="12" t="s">
        <v>123</v>
      </c>
      <c r="D344" s="12" t="s">
        <v>413</v>
      </c>
      <c r="E344" s="12" t="s">
        <v>414</v>
      </c>
    </row>
    <row r="345" spans="1:5" x14ac:dyDescent="0.3">
      <c r="A345" s="12" t="s">
        <v>89</v>
      </c>
      <c r="B345" s="12" t="s">
        <v>376</v>
      </c>
      <c r="C345" s="12" t="s">
        <v>123</v>
      </c>
      <c r="D345" s="12" t="s">
        <v>415</v>
      </c>
      <c r="E345" s="12" t="s">
        <v>416</v>
      </c>
    </row>
    <row r="346" spans="1:5" x14ac:dyDescent="0.3">
      <c r="A346" s="12" t="s">
        <v>89</v>
      </c>
      <c r="B346" s="12" t="s">
        <v>376</v>
      </c>
      <c r="C346" s="12" t="s">
        <v>123</v>
      </c>
      <c r="D346" s="12" t="s">
        <v>417</v>
      </c>
      <c r="E346" s="12" t="s">
        <v>418</v>
      </c>
    </row>
    <row r="347" spans="1:5" x14ac:dyDescent="0.3">
      <c r="A347" s="12" t="s">
        <v>89</v>
      </c>
      <c r="B347" s="12" t="s">
        <v>376</v>
      </c>
      <c r="C347" s="12" t="s">
        <v>123</v>
      </c>
      <c r="D347" s="12" t="s">
        <v>419</v>
      </c>
      <c r="E347" s="12" t="s">
        <v>420</v>
      </c>
    </row>
    <row r="348" spans="1:5" x14ac:dyDescent="0.3">
      <c r="A348" s="12" t="s">
        <v>89</v>
      </c>
      <c r="B348" s="12" t="s">
        <v>376</v>
      </c>
      <c r="C348" s="12" t="s">
        <v>123</v>
      </c>
      <c r="D348" s="12" t="s">
        <v>421</v>
      </c>
      <c r="E348" s="12" t="s">
        <v>422</v>
      </c>
    </row>
    <row r="349" spans="1:5" x14ac:dyDescent="0.3">
      <c r="A349" s="12" t="s">
        <v>89</v>
      </c>
      <c r="B349" s="12" t="s">
        <v>376</v>
      </c>
      <c r="C349" s="12" t="s">
        <v>123</v>
      </c>
      <c r="D349" s="12" t="s">
        <v>423</v>
      </c>
      <c r="E349" s="12" t="s">
        <v>424</v>
      </c>
    </row>
    <row r="350" spans="1:5" x14ac:dyDescent="0.3">
      <c r="A350" s="12" t="s">
        <v>89</v>
      </c>
      <c r="B350" s="12" t="s">
        <v>376</v>
      </c>
      <c r="C350" s="12" t="s">
        <v>123</v>
      </c>
      <c r="D350" s="12" t="s">
        <v>425</v>
      </c>
      <c r="E350" s="12" t="s">
        <v>426</v>
      </c>
    </row>
    <row r="351" spans="1:5" x14ac:dyDescent="0.3">
      <c r="A351" s="12" t="s">
        <v>89</v>
      </c>
      <c r="B351" s="12" t="s">
        <v>376</v>
      </c>
      <c r="C351" s="12" t="s">
        <v>123</v>
      </c>
      <c r="D351" s="12" t="s">
        <v>427</v>
      </c>
      <c r="E351" s="12" t="s">
        <v>428</v>
      </c>
    </row>
    <row r="352" spans="1:5" x14ac:dyDescent="0.3">
      <c r="A352" s="12" t="s">
        <v>89</v>
      </c>
      <c r="B352" s="12" t="s">
        <v>376</v>
      </c>
      <c r="C352" s="12" t="s">
        <v>123</v>
      </c>
      <c r="D352" s="12" t="s">
        <v>429</v>
      </c>
      <c r="E352" s="12" t="s">
        <v>430</v>
      </c>
    </row>
    <row r="353" spans="1:5" x14ac:dyDescent="0.3">
      <c r="A353" s="12" t="s">
        <v>89</v>
      </c>
      <c r="B353" s="12" t="s">
        <v>376</v>
      </c>
      <c r="C353" s="12" t="s">
        <v>123</v>
      </c>
      <c r="D353" s="12" t="s">
        <v>431</v>
      </c>
      <c r="E353" s="12" t="s">
        <v>432</v>
      </c>
    </row>
    <row r="354" spans="1:5" x14ac:dyDescent="0.3">
      <c r="A354" s="12" t="s">
        <v>89</v>
      </c>
      <c r="B354" s="12" t="s">
        <v>376</v>
      </c>
      <c r="C354" s="12" t="s">
        <v>123</v>
      </c>
      <c r="D354" s="12" t="s">
        <v>433</v>
      </c>
      <c r="E354" s="12" t="s">
        <v>434</v>
      </c>
    </row>
    <row r="355" spans="1:5" x14ac:dyDescent="0.3">
      <c r="A355" s="12" t="s">
        <v>89</v>
      </c>
      <c r="B355" s="12" t="s">
        <v>376</v>
      </c>
      <c r="C355" s="12" t="s">
        <v>123</v>
      </c>
      <c r="D355" s="12" t="s">
        <v>435</v>
      </c>
      <c r="E355" s="12" t="s">
        <v>436</v>
      </c>
    </row>
    <row r="356" spans="1:5" x14ac:dyDescent="0.3">
      <c r="A356" s="12" t="s">
        <v>89</v>
      </c>
      <c r="B356" s="12" t="s">
        <v>376</v>
      </c>
      <c r="C356" s="12" t="s">
        <v>123</v>
      </c>
      <c r="D356" s="12" t="s">
        <v>437</v>
      </c>
      <c r="E356" s="12" t="s">
        <v>438</v>
      </c>
    </row>
    <row r="357" spans="1:5" x14ac:dyDescent="0.3">
      <c r="A357" s="12" t="s">
        <v>89</v>
      </c>
      <c r="B357" s="12" t="s">
        <v>376</v>
      </c>
      <c r="C357" s="12" t="s">
        <v>123</v>
      </c>
      <c r="D357" s="12" t="s">
        <v>439</v>
      </c>
      <c r="E357" s="12" t="s">
        <v>440</v>
      </c>
    </row>
    <row r="358" spans="1:5" x14ac:dyDescent="0.3">
      <c r="A358" s="12" t="s">
        <v>89</v>
      </c>
      <c r="B358" s="12" t="s">
        <v>376</v>
      </c>
      <c r="C358" s="12" t="s">
        <v>123</v>
      </c>
      <c r="D358" s="12" t="s">
        <v>441</v>
      </c>
      <c r="E358" s="12" t="s">
        <v>442</v>
      </c>
    </row>
    <row r="359" spans="1:5" x14ac:dyDescent="0.3">
      <c r="A359" s="12" t="s">
        <v>89</v>
      </c>
      <c r="B359" s="12" t="s">
        <v>376</v>
      </c>
      <c r="C359" s="12" t="s">
        <v>123</v>
      </c>
      <c r="D359" s="12" t="s">
        <v>443</v>
      </c>
      <c r="E359" s="12" t="s">
        <v>444</v>
      </c>
    </row>
    <row r="360" spans="1:5" x14ac:dyDescent="0.3">
      <c r="A360" s="12" t="s">
        <v>89</v>
      </c>
      <c r="B360" s="12" t="s">
        <v>376</v>
      </c>
      <c r="C360" s="12" t="s">
        <v>123</v>
      </c>
      <c r="D360" s="12" t="s">
        <v>445</v>
      </c>
      <c r="E360" s="12" t="s">
        <v>446</v>
      </c>
    </row>
    <row r="361" spans="1:5" x14ac:dyDescent="0.3">
      <c r="A361" s="12" t="s">
        <v>89</v>
      </c>
      <c r="B361" s="12" t="s">
        <v>376</v>
      </c>
      <c r="C361" s="12" t="s">
        <v>123</v>
      </c>
      <c r="D361" s="12" t="s">
        <v>447</v>
      </c>
      <c r="E361" s="12" t="s">
        <v>448</v>
      </c>
    </row>
    <row r="362" spans="1:5" x14ac:dyDescent="0.3">
      <c r="A362" s="12" t="s">
        <v>89</v>
      </c>
      <c r="B362" s="12" t="s">
        <v>376</v>
      </c>
      <c r="C362" s="12" t="s">
        <v>123</v>
      </c>
      <c r="D362" s="12" t="s">
        <v>449</v>
      </c>
      <c r="E362" s="12" t="s">
        <v>450</v>
      </c>
    </row>
    <row r="363" spans="1:5" x14ac:dyDescent="0.3">
      <c r="A363" s="12" t="s">
        <v>89</v>
      </c>
      <c r="B363" s="12" t="s">
        <v>376</v>
      </c>
      <c r="C363" s="12" t="s">
        <v>123</v>
      </c>
      <c r="D363" s="12" t="s">
        <v>451</v>
      </c>
      <c r="E363" s="12" t="s">
        <v>452</v>
      </c>
    </row>
    <row r="364" spans="1:5" x14ac:dyDescent="0.3">
      <c r="A364" s="12" t="s">
        <v>89</v>
      </c>
      <c r="B364" s="12" t="s">
        <v>376</v>
      </c>
      <c r="C364" s="12" t="s">
        <v>123</v>
      </c>
      <c r="D364" s="12" t="s">
        <v>453</v>
      </c>
      <c r="E364" s="12" t="s">
        <v>454</v>
      </c>
    </row>
    <row r="365" spans="1:5" x14ac:dyDescent="0.3">
      <c r="A365" s="12" t="s">
        <v>89</v>
      </c>
      <c r="B365" s="12" t="s">
        <v>376</v>
      </c>
      <c r="C365" s="12" t="s">
        <v>123</v>
      </c>
      <c r="D365" s="12" t="s">
        <v>455</v>
      </c>
      <c r="E365" s="12" t="s">
        <v>456</v>
      </c>
    </row>
    <row r="366" spans="1:5" x14ac:dyDescent="0.3">
      <c r="A366" s="12" t="s">
        <v>89</v>
      </c>
      <c r="B366" s="12" t="s">
        <v>376</v>
      </c>
      <c r="C366" s="12" t="s">
        <v>123</v>
      </c>
      <c r="D366" s="12" t="s">
        <v>457</v>
      </c>
      <c r="E366" s="12" t="s">
        <v>458</v>
      </c>
    </row>
    <row r="367" spans="1:5" x14ac:dyDescent="0.3">
      <c r="A367" s="12" t="s">
        <v>89</v>
      </c>
      <c r="B367" s="12" t="s">
        <v>376</v>
      </c>
      <c r="C367" s="12" t="s">
        <v>123</v>
      </c>
      <c r="D367" s="12" t="s">
        <v>459</v>
      </c>
      <c r="E367" s="12" t="s">
        <v>460</v>
      </c>
    </row>
    <row r="368" spans="1:5" x14ac:dyDescent="0.3">
      <c r="A368" s="12" t="s">
        <v>89</v>
      </c>
      <c r="B368" s="12" t="s">
        <v>376</v>
      </c>
      <c r="C368" s="12" t="s">
        <v>123</v>
      </c>
      <c r="D368" s="12" t="s">
        <v>461</v>
      </c>
      <c r="E368" s="12" t="s">
        <v>462</v>
      </c>
    </row>
    <row r="369" spans="1:5" x14ac:dyDescent="0.3">
      <c r="A369" s="12" t="s">
        <v>89</v>
      </c>
      <c r="B369" s="12" t="s">
        <v>376</v>
      </c>
      <c r="C369" s="12" t="s">
        <v>123</v>
      </c>
      <c r="D369" s="12" t="s">
        <v>463</v>
      </c>
      <c r="E369" s="12" t="s">
        <v>464</v>
      </c>
    </row>
    <row r="370" spans="1:5" x14ac:dyDescent="0.3">
      <c r="A370" s="12" t="s">
        <v>89</v>
      </c>
      <c r="B370" s="12" t="s">
        <v>376</v>
      </c>
      <c r="C370" s="12" t="s">
        <v>123</v>
      </c>
      <c r="D370" s="12" t="s">
        <v>465</v>
      </c>
      <c r="E370" s="12" t="s">
        <v>466</v>
      </c>
    </row>
    <row r="371" spans="1:5" x14ac:dyDescent="0.3">
      <c r="A371" s="12" t="s">
        <v>89</v>
      </c>
      <c r="B371" s="12" t="s">
        <v>376</v>
      </c>
      <c r="C371" s="12" t="s">
        <v>123</v>
      </c>
      <c r="D371" s="12" t="s">
        <v>215</v>
      </c>
      <c r="E371" s="12" t="s">
        <v>467</v>
      </c>
    </row>
    <row r="372" spans="1:5" x14ac:dyDescent="0.3">
      <c r="A372" s="12" t="s">
        <v>89</v>
      </c>
      <c r="B372" s="12" t="s">
        <v>376</v>
      </c>
      <c r="C372" s="12" t="s">
        <v>123</v>
      </c>
      <c r="D372" s="12" t="s">
        <v>468</v>
      </c>
      <c r="E372" s="12" t="s">
        <v>469</v>
      </c>
    </row>
    <row r="373" spans="1:5" x14ac:dyDescent="0.3">
      <c r="A373" s="12" t="s">
        <v>89</v>
      </c>
      <c r="B373" s="12" t="s">
        <v>376</v>
      </c>
      <c r="C373" s="12" t="s">
        <v>123</v>
      </c>
      <c r="D373" s="12" t="s">
        <v>470</v>
      </c>
      <c r="E373" s="12" t="s">
        <v>471</v>
      </c>
    </row>
    <row r="374" spans="1:5" x14ac:dyDescent="0.3">
      <c r="A374" s="12" t="s">
        <v>89</v>
      </c>
      <c r="B374" s="12" t="s">
        <v>376</v>
      </c>
      <c r="C374" s="12" t="s">
        <v>123</v>
      </c>
      <c r="D374" s="12" t="s">
        <v>472</v>
      </c>
      <c r="E374" s="12" t="s">
        <v>473</v>
      </c>
    </row>
    <row r="375" spans="1:5" x14ac:dyDescent="0.3">
      <c r="A375" s="12" t="s">
        <v>89</v>
      </c>
      <c r="B375" s="12" t="s">
        <v>376</v>
      </c>
      <c r="C375" s="12" t="s">
        <v>123</v>
      </c>
      <c r="D375" s="12" t="s">
        <v>474</v>
      </c>
      <c r="E375" s="12" t="s">
        <v>475</v>
      </c>
    </row>
    <row r="376" spans="1:5" x14ac:dyDescent="0.3">
      <c r="A376" s="12" t="s">
        <v>89</v>
      </c>
      <c r="B376" s="12" t="s">
        <v>376</v>
      </c>
      <c r="C376" s="12" t="s">
        <v>123</v>
      </c>
      <c r="D376" s="12" t="s">
        <v>476</v>
      </c>
      <c r="E376" s="12" t="s">
        <v>477</v>
      </c>
    </row>
    <row r="377" spans="1:5" x14ac:dyDescent="0.3">
      <c r="A377" s="12" t="s">
        <v>89</v>
      </c>
      <c r="B377" s="12" t="s">
        <v>376</v>
      </c>
      <c r="C377" s="12" t="s">
        <v>123</v>
      </c>
      <c r="D377" s="12" t="s">
        <v>291</v>
      </c>
      <c r="E377" s="12" t="s">
        <v>478</v>
      </c>
    </row>
    <row r="378" spans="1:5" x14ac:dyDescent="0.3">
      <c r="A378" s="12" t="s">
        <v>89</v>
      </c>
      <c r="B378" s="12" t="s">
        <v>376</v>
      </c>
      <c r="C378" s="12" t="s">
        <v>123</v>
      </c>
      <c r="D378" s="12" t="s">
        <v>479</v>
      </c>
      <c r="E378" s="12" t="s">
        <v>480</v>
      </c>
    </row>
    <row r="379" spans="1:5" x14ac:dyDescent="0.3">
      <c r="A379" s="12" t="s">
        <v>89</v>
      </c>
      <c r="B379" s="12" t="s">
        <v>376</v>
      </c>
      <c r="C379" s="12" t="s">
        <v>123</v>
      </c>
      <c r="D379" s="12" t="s">
        <v>481</v>
      </c>
      <c r="E379" s="12" t="s">
        <v>482</v>
      </c>
    </row>
    <row r="380" spans="1:5" x14ac:dyDescent="0.3">
      <c r="A380" s="12" t="s">
        <v>89</v>
      </c>
      <c r="B380" s="12" t="s">
        <v>376</v>
      </c>
      <c r="C380" s="12" t="s">
        <v>123</v>
      </c>
      <c r="D380" s="12" t="s">
        <v>483</v>
      </c>
      <c r="E380" s="12" t="s">
        <v>484</v>
      </c>
    </row>
    <row r="381" spans="1:5" x14ac:dyDescent="0.3">
      <c r="A381" s="12" t="s">
        <v>89</v>
      </c>
      <c r="B381" s="12" t="s">
        <v>376</v>
      </c>
      <c r="C381" s="12" t="s">
        <v>123</v>
      </c>
      <c r="D381" s="12" t="s">
        <v>485</v>
      </c>
      <c r="E381" s="12" t="s">
        <v>486</v>
      </c>
    </row>
    <row r="382" spans="1:5" x14ac:dyDescent="0.3">
      <c r="A382" s="12" t="s">
        <v>89</v>
      </c>
      <c r="B382" s="12" t="s">
        <v>376</v>
      </c>
      <c r="C382" s="12" t="s">
        <v>123</v>
      </c>
      <c r="D382" s="12" t="s">
        <v>487</v>
      </c>
      <c r="E382" s="12" t="s">
        <v>488</v>
      </c>
    </row>
    <row r="383" spans="1:5" x14ac:dyDescent="0.3">
      <c r="A383" s="12" t="s">
        <v>89</v>
      </c>
      <c r="B383" s="12" t="s">
        <v>376</v>
      </c>
      <c r="C383" s="12" t="s">
        <v>123</v>
      </c>
      <c r="D383" s="12" t="s">
        <v>489</v>
      </c>
      <c r="E383" s="12" t="s">
        <v>490</v>
      </c>
    </row>
    <row r="384" spans="1:5" x14ac:dyDescent="0.3">
      <c r="A384" s="12" t="s">
        <v>89</v>
      </c>
      <c r="B384" s="12" t="s">
        <v>376</v>
      </c>
      <c r="C384" s="12" t="s">
        <v>123</v>
      </c>
      <c r="D384" s="12" t="s">
        <v>491</v>
      </c>
      <c r="E384" s="12" t="s">
        <v>492</v>
      </c>
    </row>
    <row r="385" spans="1:5" x14ac:dyDescent="0.3">
      <c r="A385" s="12" t="s">
        <v>89</v>
      </c>
      <c r="B385" s="12" t="s">
        <v>376</v>
      </c>
      <c r="C385" s="12" t="s">
        <v>123</v>
      </c>
      <c r="D385" s="12" t="s">
        <v>292</v>
      </c>
      <c r="E385" s="12" t="s">
        <v>493</v>
      </c>
    </row>
    <row r="386" spans="1:5" x14ac:dyDescent="0.3">
      <c r="A386" s="12" t="s">
        <v>89</v>
      </c>
      <c r="B386" s="12" t="s">
        <v>376</v>
      </c>
      <c r="C386" s="12" t="s">
        <v>123</v>
      </c>
      <c r="D386" s="12" t="s">
        <v>494</v>
      </c>
      <c r="E386" s="12" t="s">
        <v>495</v>
      </c>
    </row>
    <row r="387" spans="1:5" x14ac:dyDescent="0.3">
      <c r="A387" s="12" t="s">
        <v>89</v>
      </c>
      <c r="B387" s="12" t="s">
        <v>376</v>
      </c>
      <c r="C387" s="12" t="s">
        <v>123</v>
      </c>
      <c r="D387" s="12" t="s">
        <v>496</v>
      </c>
      <c r="E387" s="12" t="s">
        <v>497</v>
      </c>
    </row>
    <row r="388" spans="1:5" x14ac:dyDescent="0.3">
      <c r="A388" s="12" t="s">
        <v>89</v>
      </c>
      <c r="B388" s="12" t="s">
        <v>376</v>
      </c>
      <c r="C388" s="12" t="s">
        <v>123</v>
      </c>
      <c r="D388" s="12" t="s">
        <v>498</v>
      </c>
      <c r="E388" s="12" t="s">
        <v>499</v>
      </c>
    </row>
    <row r="389" spans="1:5" x14ac:dyDescent="0.3">
      <c r="A389" s="12" t="s">
        <v>89</v>
      </c>
      <c r="B389" s="12" t="s">
        <v>376</v>
      </c>
      <c r="C389" s="12" t="s">
        <v>123</v>
      </c>
      <c r="D389" s="12" t="s">
        <v>500</v>
      </c>
      <c r="E389" s="12" t="s">
        <v>501</v>
      </c>
    </row>
    <row r="390" spans="1:5" x14ac:dyDescent="0.3">
      <c r="A390" s="12" t="s">
        <v>89</v>
      </c>
      <c r="B390" s="12" t="s">
        <v>376</v>
      </c>
      <c r="C390" s="12" t="s">
        <v>123</v>
      </c>
      <c r="D390" s="12" t="s">
        <v>502</v>
      </c>
      <c r="E390" s="12" t="s">
        <v>503</v>
      </c>
    </row>
    <row r="391" spans="1:5" x14ac:dyDescent="0.3">
      <c r="A391" s="12" t="s">
        <v>89</v>
      </c>
      <c r="B391" s="12" t="s">
        <v>376</v>
      </c>
      <c r="C391" s="12" t="s">
        <v>123</v>
      </c>
      <c r="D391" s="12" t="s">
        <v>504</v>
      </c>
      <c r="E391" s="12" t="s">
        <v>505</v>
      </c>
    </row>
    <row r="392" spans="1:5" x14ac:dyDescent="0.3">
      <c r="A392" s="12" t="s">
        <v>89</v>
      </c>
      <c r="B392" s="12" t="s">
        <v>376</v>
      </c>
      <c r="C392" s="12" t="s">
        <v>123</v>
      </c>
      <c r="D392" s="12" t="s">
        <v>506</v>
      </c>
      <c r="E392" s="12" t="s">
        <v>507</v>
      </c>
    </row>
    <row r="393" spans="1:5" x14ac:dyDescent="0.3">
      <c r="A393" s="12" t="s">
        <v>89</v>
      </c>
      <c r="B393" s="12" t="s">
        <v>376</v>
      </c>
      <c r="C393" s="12" t="s">
        <v>123</v>
      </c>
      <c r="D393" s="12" t="s">
        <v>508</v>
      </c>
      <c r="E393" s="12" t="s">
        <v>509</v>
      </c>
    </row>
    <row r="394" spans="1:5" x14ac:dyDescent="0.3">
      <c r="A394" s="12" t="s">
        <v>89</v>
      </c>
      <c r="B394" s="12" t="s">
        <v>376</v>
      </c>
      <c r="C394" s="12" t="s">
        <v>123</v>
      </c>
      <c r="D394" s="12" t="s">
        <v>510</v>
      </c>
      <c r="E394" s="12" t="s">
        <v>511</v>
      </c>
    </row>
    <row r="395" spans="1:5" x14ac:dyDescent="0.3">
      <c r="A395" s="12" t="s">
        <v>89</v>
      </c>
      <c r="B395" s="12" t="s">
        <v>376</v>
      </c>
      <c r="C395" s="12" t="s">
        <v>123</v>
      </c>
      <c r="D395" s="12" t="s">
        <v>512</v>
      </c>
      <c r="E395" s="12" t="s">
        <v>513</v>
      </c>
    </row>
    <row r="396" spans="1:5" x14ac:dyDescent="0.3">
      <c r="A396" s="12" t="s">
        <v>89</v>
      </c>
      <c r="B396" s="12" t="s">
        <v>376</v>
      </c>
      <c r="C396" s="12" t="s">
        <v>123</v>
      </c>
      <c r="D396" s="12" t="s">
        <v>514</v>
      </c>
      <c r="E396" s="12" t="s">
        <v>515</v>
      </c>
    </row>
    <row r="397" spans="1:5" x14ac:dyDescent="0.3">
      <c r="A397" s="12" t="s">
        <v>89</v>
      </c>
      <c r="B397" s="12" t="s">
        <v>376</v>
      </c>
      <c r="C397" s="12" t="s">
        <v>123</v>
      </c>
      <c r="D397" s="12" t="s">
        <v>516</v>
      </c>
      <c r="E397" s="12" t="s">
        <v>517</v>
      </c>
    </row>
    <row r="398" spans="1:5" x14ac:dyDescent="0.3">
      <c r="A398" s="12" t="s">
        <v>89</v>
      </c>
      <c r="B398" s="12" t="s">
        <v>518</v>
      </c>
      <c r="C398" s="12" t="s">
        <v>120</v>
      </c>
      <c r="D398" s="12" t="s">
        <v>299</v>
      </c>
      <c r="E398" s="12" t="s">
        <v>519</v>
      </c>
    </row>
    <row r="399" spans="1:5" x14ac:dyDescent="0.3">
      <c r="A399" s="12" t="s">
        <v>89</v>
      </c>
      <c r="B399" s="12" t="s">
        <v>518</v>
      </c>
      <c r="C399" s="12" t="s">
        <v>123</v>
      </c>
      <c r="D399" s="12" t="s">
        <v>520</v>
      </c>
      <c r="E399" s="12" t="s">
        <v>521</v>
      </c>
    </row>
    <row r="400" spans="1:5" x14ac:dyDescent="0.3">
      <c r="A400" s="12" t="s">
        <v>89</v>
      </c>
      <c r="B400" s="12" t="s">
        <v>518</v>
      </c>
      <c r="C400" s="12" t="s">
        <v>123</v>
      </c>
      <c r="D400" s="12" t="s">
        <v>520</v>
      </c>
      <c r="E400" s="12" t="s">
        <v>522</v>
      </c>
    </row>
    <row r="401" spans="1:5" x14ac:dyDescent="0.3">
      <c r="A401" s="12" t="s">
        <v>89</v>
      </c>
      <c r="B401" s="12" t="s">
        <v>518</v>
      </c>
      <c r="C401" s="12" t="s">
        <v>123</v>
      </c>
      <c r="D401" s="12" t="s">
        <v>520</v>
      </c>
      <c r="E401" s="12" t="s">
        <v>523</v>
      </c>
    </row>
    <row r="402" spans="1:5" x14ac:dyDescent="0.3">
      <c r="A402" s="12" t="s">
        <v>89</v>
      </c>
      <c r="B402" s="12" t="s">
        <v>518</v>
      </c>
      <c r="C402" s="12" t="s">
        <v>123</v>
      </c>
      <c r="D402" s="12" t="s">
        <v>520</v>
      </c>
      <c r="E402" s="12" t="s">
        <v>524</v>
      </c>
    </row>
    <row r="403" spans="1:5" x14ac:dyDescent="0.3">
      <c r="A403" s="12" t="s">
        <v>89</v>
      </c>
      <c r="B403" s="12" t="s">
        <v>518</v>
      </c>
      <c r="C403" s="12" t="s">
        <v>123</v>
      </c>
      <c r="D403" s="12" t="s">
        <v>520</v>
      </c>
      <c r="E403" s="12" t="s">
        <v>525</v>
      </c>
    </row>
    <row r="404" spans="1:5" x14ac:dyDescent="0.3">
      <c r="A404" s="12" t="s">
        <v>89</v>
      </c>
      <c r="B404" s="12" t="s">
        <v>518</v>
      </c>
      <c r="C404" s="12" t="s">
        <v>123</v>
      </c>
      <c r="D404" s="12" t="s">
        <v>520</v>
      </c>
      <c r="E404" s="12" t="s">
        <v>526</v>
      </c>
    </row>
    <row r="405" spans="1:5" x14ac:dyDescent="0.3">
      <c r="A405" s="12" t="s">
        <v>89</v>
      </c>
      <c r="B405" s="12" t="s">
        <v>518</v>
      </c>
      <c r="C405" s="12" t="s">
        <v>123</v>
      </c>
      <c r="D405" s="12" t="s">
        <v>520</v>
      </c>
      <c r="E405" s="12" t="s">
        <v>527</v>
      </c>
    </row>
    <row r="406" spans="1:5" x14ac:dyDescent="0.3">
      <c r="A406" s="12" t="s">
        <v>89</v>
      </c>
      <c r="B406" s="12" t="s">
        <v>518</v>
      </c>
      <c r="C406" s="12" t="s">
        <v>123</v>
      </c>
      <c r="D406" s="12" t="s">
        <v>520</v>
      </c>
      <c r="E406" s="12" t="s">
        <v>528</v>
      </c>
    </row>
    <row r="407" spans="1:5" x14ac:dyDescent="0.3">
      <c r="A407" s="12" t="s">
        <v>89</v>
      </c>
      <c r="B407" s="12" t="s">
        <v>518</v>
      </c>
      <c r="C407" s="12" t="s">
        <v>123</v>
      </c>
      <c r="D407" s="12" t="s">
        <v>520</v>
      </c>
      <c r="E407" s="12" t="s">
        <v>529</v>
      </c>
    </row>
    <row r="408" spans="1:5" x14ac:dyDescent="0.3">
      <c r="A408" s="12" t="s">
        <v>89</v>
      </c>
      <c r="B408" s="12" t="s">
        <v>518</v>
      </c>
      <c r="C408" s="12" t="s">
        <v>123</v>
      </c>
      <c r="D408" s="12" t="s">
        <v>520</v>
      </c>
      <c r="E408" s="12" t="s">
        <v>530</v>
      </c>
    </row>
    <row r="409" spans="1:5" x14ac:dyDescent="0.3">
      <c r="A409" s="12" t="s">
        <v>89</v>
      </c>
      <c r="B409" s="12" t="s">
        <v>518</v>
      </c>
      <c r="C409" s="12" t="s">
        <v>123</v>
      </c>
      <c r="D409" s="12" t="s">
        <v>520</v>
      </c>
      <c r="E409" s="12" t="s">
        <v>531</v>
      </c>
    </row>
    <row r="410" spans="1:5" x14ac:dyDescent="0.3">
      <c r="A410" s="12" t="s">
        <v>89</v>
      </c>
      <c r="B410" s="12" t="s">
        <v>518</v>
      </c>
      <c r="C410" s="12" t="s">
        <v>123</v>
      </c>
      <c r="D410" s="12" t="s">
        <v>520</v>
      </c>
      <c r="E410" s="12" t="s">
        <v>532</v>
      </c>
    </row>
    <row r="411" spans="1:5" x14ac:dyDescent="0.3">
      <c r="A411" s="12" t="s">
        <v>89</v>
      </c>
      <c r="B411" s="12" t="s">
        <v>518</v>
      </c>
      <c r="C411" s="12" t="s">
        <v>123</v>
      </c>
      <c r="D411" s="12" t="s">
        <v>520</v>
      </c>
      <c r="E411" s="12" t="s">
        <v>533</v>
      </c>
    </row>
    <row r="412" spans="1:5" x14ac:dyDescent="0.3">
      <c r="A412" s="12" t="s">
        <v>89</v>
      </c>
      <c r="B412" s="12" t="s">
        <v>518</v>
      </c>
      <c r="C412" s="12" t="s">
        <v>123</v>
      </c>
      <c r="D412" s="12" t="s">
        <v>520</v>
      </c>
      <c r="E412" s="12" t="s">
        <v>534</v>
      </c>
    </row>
    <row r="413" spans="1:5" x14ac:dyDescent="0.3">
      <c r="A413" s="12" t="s">
        <v>89</v>
      </c>
      <c r="B413" s="12" t="s">
        <v>518</v>
      </c>
      <c r="C413" s="12" t="s">
        <v>123</v>
      </c>
      <c r="D413" s="12" t="s">
        <v>520</v>
      </c>
      <c r="E413" s="12" t="s">
        <v>535</v>
      </c>
    </row>
    <row r="414" spans="1:5" x14ac:dyDescent="0.3">
      <c r="A414" s="12" t="s">
        <v>89</v>
      </c>
      <c r="B414" s="12" t="s">
        <v>518</v>
      </c>
      <c r="C414" s="12" t="s">
        <v>123</v>
      </c>
      <c r="D414" s="12" t="s">
        <v>520</v>
      </c>
      <c r="E414" s="12" t="s">
        <v>536</v>
      </c>
    </row>
    <row r="415" spans="1:5" x14ac:dyDescent="0.3">
      <c r="A415" s="12" t="s">
        <v>89</v>
      </c>
      <c r="B415" s="12" t="s">
        <v>518</v>
      </c>
      <c r="C415" s="12" t="s">
        <v>123</v>
      </c>
      <c r="D415" s="12" t="s">
        <v>520</v>
      </c>
      <c r="E415" s="12" t="s">
        <v>537</v>
      </c>
    </row>
    <row r="416" spans="1:5" x14ac:dyDescent="0.3">
      <c r="A416" s="12" t="s">
        <v>89</v>
      </c>
      <c r="B416" s="12" t="s">
        <v>518</v>
      </c>
      <c r="C416" s="12" t="s">
        <v>123</v>
      </c>
      <c r="D416" s="12" t="s">
        <v>538</v>
      </c>
      <c r="E416" s="12" t="s">
        <v>539</v>
      </c>
    </row>
    <row r="417" spans="1:5" x14ac:dyDescent="0.3">
      <c r="A417" s="12" t="s">
        <v>89</v>
      </c>
      <c r="B417" s="12" t="s">
        <v>518</v>
      </c>
      <c r="C417" s="12" t="s">
        <v>123</v>
      </c>
      <c r="D417" s="12" t="s">
        <v>540</v>
      </c>
      <c r="E417" s="12" t="s">
        <v>541</v>
      </c>
    </row>
    <row r="418" spans="1:5" x14ac:dyDescent="0.3">
      <c r="A418" s="12" t="s">
        <v>89</v>
      </c>
      <c r="B418" s="12" t="s">
        <v>518</v>
      </c>
      <c r="C418" s="12" t="s">
        <v>123</v>
      </c>
      <c r="D418" s="12" t="s">
        <v>542</v>
      </c>
      <c r="E418" s="12" t="s">
        <v>1506</v>
      </c>
    </row>
    <row r="419" spans="1:5" x14ac:dyDescent="0.3">
      <c r="A419" s="12" t="s">
        <v>89</v>
      </c>
      <c r="B419" s="12" t="s">
        <v>518</v>
      </c>
      <c r="C419" s="12" t="s">
        <v>123</v>
      </c>
      <c r="D419" s="12" t="s">
        <v>542</v>
      </c>
      <c r="E419" s="12" t="s">
        <v>543</v>
      </c>
    </row>
    <row r="420" spans="1:5" x14ac:dyDescent="0.3">
      <c r="A420" s="12" t="s">
        <v>89</v>
      </c>
      <c r="B420" s="12" t="s">
        <v>518</v>
      </c>
      <c r="C420" s="12" t="s">
        <v>123</v>
      </c>
      <c r="D420" s="12" t="s">
        <v>542</v>
      </c>
      <c r="E420" s="12" t="s">
        <v>544</v>
      </c>
    </row>
    <row r="421" spans="1:5" x14ac:dyDescent="0.3">
      <c r="A421" s="12" t="s">
        <v>89</v>
      </c>
      <c r="B421" s="12" t="s">
        <v>518</v>
      </c>
      <c r="C421" s="12" t="s">
        <v>123</v>
      </c>
      <c r="D421" s="12" t="s">
        <v>542</v>
      </c>
      <c r="E421" s="12" t="s">
        <v>545</v>
      </c>
    </row>
    <row r="422" spans="1:5" x14ac:dyDescent="0.3">
      <c r="A422" s="12" t="s">
        <v>89</v>
      </c>
      <c r="B422" s="12" t="s">
        <v>518</v>
      </c>
      <c r="C422" s="12" t="s">
        <v>123</v>
      </c>
      <c r="D422" s="12" t="s">
        <v>542</v>
      </c>
      <c r="E422" s="12" t="s">
        <v>546</v>
      </c>
    </row>
    <row r="423" spans="1:5" x14ac:dyDescent="0.3">
      <c r="A423" s="12" t="s">
        <v>89</v>
      </c>
      <c r="B423" s="12" t="s">
        <v>518</v>
      </c>
      <c r="C423" s="12" t="s">
        <v>123</v>
      </c>
      <c r="D423" s="12" t="s">
        <v>542</v>
      </c>
      <c r="E423" s="12" t="s">
        <v>547</v>
      </c>
    </row>
    <row r="424" spans="1:5" x14ac:dyDescent="0.3">
      <c r="A424" s="12" t="s">
        <v>89</v>
      </c>
      <c r="B424" s="12" t="s">
        <v>518</v>
      </c>
      <c r="C424" s="12" t="s">
        <v>123</v>
      </c>
      <c r="D424" s="12" t="s">
        <v>542</v>
      </c>
      <c r="E424" s="12" t="s">
        <v>1507</v>
      </c>
    </row>
    <row r="425" spans="1:5" x14ac:dyDescent="0.3">
      <c r="A425" s="12" t="s">
        <v>89</v>
      </c>
      <c r="B425" s="12" t="s">
        <v>518</v>
      </c>
      <c r="C425" s="12" t="s">
        <v>123</v>
      </c>
      <c r="D425" s="12" t="s">
        <v>542</v>
      </c>
      <c r="E425" s="12" t="s">
        <v>1508</v>
      </c>
    </row>
    <row r="426" spans="1:5" x14ac:dyDescent="0.3">
      <c r="A426" s="12" t="s">
        <v>89</v>
      </c>
      <c r="B426" s="12" t="s">
        <v>518</v>
      </c>
      <c r="C426" s="12" t="s">
        <v>123</v>
      </c>
      <c r="D426" s="12" t="s">
        <v>542</v>
      </c>
      <c r="E426" s="12" t="s">
        <v>548</v>
      </c>
    </row>
    <row r="427" spans="1:5" x14ac:dyDescent="0.3">
      <c r="A427" s="12" t="s">
        <v>89</v>
      </c>
      <c r="B427" s="12" t="s">
        <v>518</v>
      </c>
      <c r="C427" s="12" t="s">
        <v>123</v>
      </c>
      <c r="D427" s="12" t="s">
        <v>542</v>
      </c>
      <c r="E427" s="12" t="s">
        <v>549</v>
      </c>
    </row>
    <row r="428" spans="1:5" x14ac:dyDescent="0.3">
      <c r="A428" s="12" t="s">
        <v>89</v>
      </c>
      <c r="B428" s="12" t="s">
        <v>518</v>
      </c>
      <c r="C428" s="12" t="s">
        <v>123</v>
      </c>
      <c r="D428" s="12" t="s">
        <v>542</v>
      </c>
      <c r="E428" s="12" t="s">
        <v>550</v>
      </c>
    </row>
    <row r="429" spans="1:5" x14ac:dyDescent="0.3">
      <c r="A429" s="12" t="s">
        <v>89</v>
      </c>
      <c r="B429" s="12" t="s">
        <v>518</v>
      </c>
      <c r="C429" s="12" t="s">
        <v>123</v>
      </c>
      <c r="D429" s="12" t="s">
        <v>542</v>
      </c>
      <c r="E429" s="12" t="s">
        <v>551</v>
      </c>
    </row>
    <row r="430" spans="1:5" x14ac:dyDescent="0.3">
      <c r="A430" s="12" t="s">
        <v>89</v>
      </c>
      <c r="B430" s="12" t="s">
        <v>518</v>
      </c>
      <c r="C430" s="12" t="s">
        <v>123</v>
      </c>
      <c r="E430" s="12" t="s">
        <v>552</v>
      </c>
    </row>
    <row r="431" spans="1:5" x14ac:dyDescent="0.3">
      <c r="A431" s="12" t="s">
        <v>90</v>
      </c>
      <c r="B431" s="12" t="s">
        <v>119</v>
      </c>
      <c r="C431" s="12" t="s">
        <v>120</v>
      </c>
      <c r="D431" s="12" t="s">
        <v>121</v>
      </c>
      <c r="E431" s="12" t="s">
        <v>122</v>
      </c>
    </row>
    <row r="432" spans="1:5" x14ac:dyDescent="0.3">
      <c r="A432" s="12" t="s">
        <v>90</v>
      </c>
      <c r="B432" s="12" t="s">
        <v>119</v>
      </c>
      <c r="C432" s="12" t="s">
        <v>123</v>
      </c>
      <c r="D432" s="12" t="s">
        <v>124</v>
      </c>
      <c r="E432" s="12" t="s">
        <v>125</v>
      </c>
    </row>
    <row r="433" spans="1:9" x14ac:dyDescent="0.3">
      <c r="A433" s="12" t="s">
        <v>90</v>
      </c>
      <c r="B433" s="12" t="s">
        <v>119</v>
      </c>
      <c r="C433" s="12" t="s">
        <v>123</v>
      </c>
      <c r="D433" s="12" t="s">
        <v>126</v>
      </c>
    </row>
    <row r="434" spans="1:9" x14ac:dyDescent="0.3">
      <c r="A434" s="12" t="s">
        <v>90</v>
      </c>
      <c r="B434" s="12" t="s">
        <v>119</v>
      </c>
      <c r="C434" s="12" t="s">
        <v>123</v>
      </c>
      <c r="D434" s="12" t="s">
        <v>127</v>
      </c>
      <c r="E434" s="12" t="s">
        <v>128</v>
      </c>
    </row>
    <row r="435" spans="1:9" x14ac:dyDescent="0.3">
      <c r="A435" s="12" t="s">
        <v>90</v>
      </c>
      <c r="B435" s="12" t="s">
        <v>119</v>
      </c>
      <c r="C435" s="12" t="s">
        <v>123</v>
      </c>
      <c r="D435" s="12" t="s">
        <v>129</v>
      </c>
      <c r="E435" s="12" t="s">
        <v>553</v>
      </c>
    </row>
    <row r="436" spans="1:9" x14ac:dyDescent="0.3">
      <c r="A436" s="12" t="s">
        <v>90</v>
      </c>
      <c r="B436" s="12" t="s">
        <v>119</v>
      </c>
      <c r="C436" s="12" t="s">
        <v>123</v>
      </c>
      <c r="D436" s="12" t="s">
        <v>131</v>
      </c>
      <c r="E436" s="12" t="s">
        <v>554</v>
      </c>
    </row>
    <row r="437" spans="1:9" x14ac:dyDescent="0.3">
      <c r="A437" s="12" t="s">
        <v>90</v>
      </c>
      <c r="B437" s="12" t="s">
        <v>133</v>
      </c>
      <c r="C437" s="12" t="s">
        <v>120</v>
      </c>
      <c r="D437" s="12" t="s">
        <v>121</v>
      </c>
      <c r="E437" s="12" t="s">
        <v>122</v>
      </c>
    </row>
    <row r="438" spans="1:9" x14ac:dyDescent="0.3">
      <c r="A438" s="12" t="s">
        <v>90</v>
      </c>
      <c r="B438" s="12" t="s">
        <v>133</v>
      </c>
      <c r="C438" s="12" t="s">
        <v>123</v>
      </c>
      <c r="D438" s="12" t="s">
        <v>134</v>
      </c>
    </row>
    <row r="439" spans="1:9" x14ac:dyDescent="0.3">
      <c r="A439" s="12" t="s">
        <v>90</v>
      </c>
      <c r="B439" s="12" t="s">
        <v>133</v>
      </c>
      <c r="C439" s="12" t="s">
        <v>123</v>
      </c>
      <c r="D439" s="12" t="s">
        <v>135</v>
      </c>
    </row>
    <row r="440" spans="1:9" x14ac:dyDescent="0.3">
      <c r="A440" s="12" t="s">
        <v>90</v>
      </c>
      <c r="B440" s="12" t="s">
        <v>133</v>
      </c>
      <c r="C440" s="12" t="s">
        <v>123</v>
      </c>
      <c r="D440" s="12" t="s">
        <v>136</v>
      </c>
    </row>
    <row r="441" spans="1:9" x14ac:dyDescent="0.3">
      <c r="A441" s="12" t="s">
        <v>90</v>
      </c>
      <c r="B441" s="12" t="s">
        <v>133</v>
      </c>
      <c r="C441" s="12" t="s">
        <v>123</v>
      </c>
      <c r="D441" s="12" t="s">
        <v>137</v>
      </c>
    </row>
    <row r="442" spans="1:9" x14ac:dyDescent="0.3">
      <c r="A442" s="12" t="s">
        <v>90</v>
      </c>
      <c r="B442" s="12" t="s">
        <v>133</v>
      </c>
      <c r="C442" s="12" t="s">
        <v>123</v>
      </c>
      <c r="D442" s="12" t="s">
        <v>138</v>
      </c>
      <c r="E442" s="12" t="s">
        <v>139</v>
      </c>
    </row>
    <row r="443" spans="1:9" x14ac:dyDescent="0.3">
      <c r="A443" s="12" t="s">
        <v>90</v>
      </c>
      <c r="B443" s="12" t="s">
        <v>133</v>
      </c>
      <c r="C443" s="12" t="s">
        <v>123</v>
      </c>
      <c r="D443" s="12" t="s">
        <v>140</v>
      </c>
      <c r="E443" s="12" t="s">
        <v>141</v>
      </c>
    </row>
    <row r="444" spans="1:9" x14ac:dyDescent="0.3">
      <c r="A444" s="12" t="s">
        <v>90</v>
      </c>
      <c r="B444" s="12" t="s">
        <v>133</v>
      </c>
      <c r="C444" s="12" t="s">
        <v>123</v>
      </c>
      <c r="D444" s="12" t="s">
        <v>142</v>
      </c>
      <c r="E444" s="12" t="s">
        <v>114</v>
      </c>
    </row>
    <row r="445" spans="1:9" x14ac:dyDescent="0.3">
      <c r="A445" s="12" t="s">
        <v>90</v>
      </c>
      <c r="B445" s="12" t="s">
        <v>143</v>
      </c>
      <c r="C445" s="12" t="s">
        <v>120</v>
      </c>
      <c r="D445" s="12" t="s">
        <v>144</v>
      </c>
      <c r="E445" s="12" t="s">
        <v>145</v>
      </c>
      <c r="F445" s="12" t="s">
        <v>146</v>
      </c>
      <c r="G445" s="12" t="s">
        <v>147</v>
      </c>
      <c r="H445" s="12" t="s">
        <v>148</v>
      </c>
      <c r="I445" s="12" t="s">
        <v>99</v>
      </c>
    </row>
    <row r="446" spans="1:9" x14ac:dyDescent="0.3">
      <c r="A446" s="12" t="s">
        <v>90</v>
      </c>
      <c r="B446" s="12" t="s">
        <v>143</v>
      </c>
      <c r="C446" s="12" t="s">
        <v>123</v>
      </c>
      <c r="D446" s="12" t="s">
        <v>149</v>
      </c>
      <c r="E446" s="12">
        <v>68923.413</v>
      </c>
      <c r="F446" s="12">
        <v>49395.222999999998</v>
      </c>
      <c r="G446" s="12">
        <v>0</v>
      </c>
      <c r="H446" s="12">
        <v>49395.222999999998</v>
      </c>
      <c r="I446" s="12">
        <v>-19528.189999999999</v>
      </c>
    </row>
    <row r="447" spans="1:9" x14ac:dyDescent="0.3">
      <c r="A447" s="12" t="s">
        <v>90</v>
      </c>
      <c r="B447" s="12" t="s">
        <v>143</v>
      </c>
      <c r="C447" s="12" t="s">
        <v>123</v>
      </c>
      <c r="D447" s="12" t="s">
        <v>150</v>
      </c>
      <c r="E447" s="12">
        <v>186063.87</v>
      </c>
      <c r="F447" s="12">
        <v>209001.39</v>
      </c>
      <c r="G447" s="12">
        <v>0</v>
      </c>
      <c r="H447" s="12">
        <v>209001.39</v>
      </c>
      <c r="I447" s="12">
        <v>22937.52</v>
      </c>
    </row>
    <row r="448" spans="1:9" x14ac:dyDescent="0.3">
      <c r="A448" s="12" t="s">
        <v>90</v>
      </c>
      <c r="B448" s="12" t="s">
        <v>143</v>
      </c>
      <c r="C448" s="12" t="s">
        <v>123</v>
      </c>
      <c r="D448" s="12" t="s">
        <v>151</v>
      </c>
      <c r="E448" s="12">
        <v>285.92</v>
      </c>
      <c r="F448" s="12">
        <v>165.05</v>
      </c>
      <c r="G448" s="12">
        <v>0</v>
      </c>
      <c r="H448" s="12">
        <v>165.05</v>
      </c>
      <c r="I448" s="12">
        <v>-120.87</v>
      </c>
    </row>
    <row r="449" spans="1:15" x14ac:dyDescent="0.3">
      <c r="A449" s="12" t="s">
        <v>90</v>
      </c>
      <c r="B449" s="12" t="s">
        <v>143</v>
      </c>
      <c r="C449" s="12" t="s">
        <v>123</v>
      </c>
      <c r="D449" s="12" t="s">
        <v>152</v>
      </c>
      <c r="E449" s="12">
        <v>57.17</v>
      </c>
      <c r="F449" s="12">
        <v>177.5</v>
      </c>
      <c r="G449" s="12">
        <v>0</v>
      </c>
      <c r="H449" s="12">
        <v>177.5</v>
      </c>
      <c r="I449" s="12">
        <v>120.33</v>
      </c>
    </row>
    <row r="450" spans="1:15" x14ac:dyDescent="0.3">
      <c r="A450" s="12" t="s">
        <v>90</v>
      </c>
      <c r="B450" s="12" t="s">
        <v>143</v>
      </c>
      <c r="C450" s="12" t="s">
        <v>123</v>
      </c>
      <c r="D450" s="12" t="s">
        <v>97</v>
      </c>
      <c r="E450" s="12">
        <v>255330.37299999999</v>
      </c>
      <c r="F450" s="12">
        <v>258739.163</v>
      </c>
      <c r="G450" s="12">
        <v>0</v>
      </c>
      <c r="H450" s="12">
        <v>258739.163</v>
      </c>
      <c r="I450" s="12">
        <v>3408.79</v>
      </c>
    </row>
    <row r="451" spans="1:15" x14ac:dyDescent="0.3">
      <c r="A451" s="12" t="s">
        <v>90</v>
      </c>
      <c r="B451" s="12" t="s">
        <v>143</v>
      </c>
      <c r="C451" s="12" t="s">
        <v>120</v>
      </c>
      <c r="D451" s="12" t="s">
        <v>153</v>
      </c>
    </row>
    <row r="452" spans="1:15" x14ac:dyDescent="0.3">
      <c r="A452" s="12" t="s">
        <v>90</v>
      </c>
      <c r="B452" s="12" t="s">
        <v>143</v>
      </c>
      <c r="C452" s="12" t="s">
        <v>123</v>
      </c>
      <c r="D452" s="13">
        <v>1.3350507270000001E-2</v>
      </c>
    </row>
    <row r="453" spans="1:15" x14ac:dyDescent="0.3">
      <c r="A453" s="12" t="s">
        <v>90</v>
      </c>
      <c r="B453" s="12" t="s">
        <v>154</v>
      </c>
      <c r="C453" s="12" t="s">
        <v>120</v>
      </c>
      <c r="D453" s="12" t="s">
        <v>121</v>
      </c>
      <c r="E453" s="12" t="s">
        <v>122</v>
      </c>
    </row>
    <row r="454" spans="1:15" x14ac:dyDescent="0.3">
      <c r="A454" s="12" t="s">
        <v>90</v>
      </c>
      <c r="B454" s="12" t="s">
        <v>154</v>
      </c>
      <c r="C454" s="12" t="s">
        <v>123</v>
      </c>
      <c r="D454" s="12" t="s">
        <v>155</v>
      </c>
      <c r="E454" s="12">
        <v>255330.37299999999</v>
      </c>
    </row>
    <row r="455" spans="1:15" x14ac:dyDescent="0.3">
      <c r="A455" s="12" t="s">
        <v>90</v>
      </c>
      <c r="B455" s="12" t="s">
        <v>154</v>
      </c>
      <c r="C455" s="12" t="s">
        <v>123</v>
      </c>
      <c r="D455" s="12" t="s">
        <v>156</v>
      </c>
      <c r="E455" s="12">
        <v>2979.31</v>
      </c>
    </row>
    <row r="456" spans="1:15" x14ac:dyDescent="0.3">
      <c r="A456" s="12" t="s">
        <v>90</v>
      </c>
      <c r="B456" s="12" t="s">
        <v>154</v>
      </c>
      <c r="C456" s="12" t="s">
        <v>123</v>
      </c>
      <c r="D456" s="12" t="s">
        <v>157</v>
      </c>
      <c r="E456" s="12">
        <v>183.26</v>
      </c>
    </row>
    <row r="457" spans="1:15" x14ac:dyDescent="0.3">
      <c r="A457" s="12" t="s">
        <v>90</v>
      </c>
      <c r="B457" s="12" t="s">
        <v>154</v>
      </c>
      <c r="C457" s="12" t="s">
        <v>123</v>
      </c>
      <c r="D457" s="12" t="s">
        <v>158</v>
      </c>
      <c r="E457" s="12">
        <v>13.62</v>
      </c>
    </row>
    <row r="458" spans="1:15" x14ac:dyDescent="0.3">
      <c r="A458" s="12" t="s">
        <v>90</v>
      </c>
      <c r="B458" s="12" t="s">
        <v>154</v>
      </c>
      <c r="C458" s="12" t="s">
        <v>123</v>
      </c>
      <c r="D458" s="12" t="s">
        <v>159</v>
      </c>
      <c r="E458" s="12">
        <v>120.33</v>
      </c>
    </row>
    <row r="459" spans="1:15" x14ac:dyDescent="0.3">
      <c r="A459" s="12" t="s">
        <v>90</v>
      </c>
      <c r="B459" s="12" t="s">
        <v>154</v>
      </c>
      <c r="C459" s="12" t="s">
        <v>123</v>
      </c>
      <c r="D459" s="12" t="s">
        <v>160</v>
      </c>
      <c r="E459" s="12">
        <v>291.44</v>
      </c>
    </row>
    <row r="460" spans="1:15" x14ac:dyDescent="0.3">
      <c r="A460" s="12" t="s">
        <v>90</v>
      </c>
      <c r="B460" s="12" t="s">
        <v>154</v>
      </c>
      <c r="C460" s="12" t="s">
        <v>123</v>
      </c>
      <c r="D460" s="12" t="s">
        <v>161</v>
      </c>
      <c r="E460" s="12">
        <v>-120.87</v>
      </c>
    </row>
    <row r="461" spans="1:15" x14ac:dyDescent="0.3">
      <c r="A461" s="12" t="s">
        <v>90</v>
      </c>
      <c r="B461" s="12" t="s">
        <v>154</v>
      </c>
      <c r="C461" s="12" t="s">
        <v>123</v>
      </c>
      <c r="D461" s="12" t="s">
        <v>162</v>
      </c>
      <c r="E461" s="12">
        <v>-58.3</v>
      </c>
    </row>
    <row r="462" spans="1:15" x14ac:dyDescent="0.3">
      <c r="A462" s="12" t="s">
        <v>90</v>
      </c>
      <c r="B462" s="12" t="s">
        <v>154</v>
      </c>
      <c r="C462" s="12" t="s">
        <v>123</v>
      </c>
      <c r="D462" s="12" t="s">
        <v>163</v>
      </c>
      <c r="E462" s="12">
        <v>258739.163</v>
      </c>
    </row>
    <row r="463" spans="1:15" x14ac:dyDescent="0.3">
      <c r="A463" s="12" t="s">
        <v>90</v>
      </c>
      <c r="B463" s="12" t="s">
        <v>164</v>
      </c>
      <c r="C463" s="12" t="s">
        <v>120</v>
      </c>
      <c r="D463" s="12" t="s">
        <v>100</v>
      </c>
      <c r="E463" s="12" t="s">
        <v>0</v>
      </c>
      <c r="F463" s="12" t="s">
        <v>101</v>
      </c>
      <c r="G463" s="12" t="s">
        <v>102</v>
      </c>
      <c r="H463" s="12" t="s">
        <v>103</v>
      </c>
      <c r="I463" s="12" t="s">
        <v>104</v>
      </c>
      <c r="J463" s="12" t="s">
        <v>105</v>
      </c>
      <c r="K463" s="12" t="s">
        <v>106</v>
      </c>
      <c r="L463" s="12" t="s">
        <v>107</v>
      </c>
      <c r="M463" s="12" t="s">
        <v>108</v>
      </c>
      <c r="N463" s="12" t="s">
        <v>109</v>
      </c>
      <c r="O463" s="12" t="s">
        <v>165</v>
      </c>
    </row>
    <row r="464" spans="1:15" x14ac:dyDescent="0.3">
      <c r="A464" s="12" t="s">
        <v>90</v>
      </c>
      <c r="B464" s="12" t="s">
        <v>164</v>
      </c>
      <c r="C464" s="12" t="s">
        <v>123</v>
      </c>
      <c r="D464" s="12" t="s">
        <v>110</v>
      </c>
      <c r="E464" s="12" t="s">
        <v>2</v>
      </c>
      <c r="F464" s="12">
        <v>36</v>
      </c>
      <c r="G464" s="12">
        <v>36</v>
      </c>
      <c r="H464" s="12">
        <v>184.4</v>
      </c>
      <c r="I464" s="12">
        <v>180.75</v>
      </c>
      <c r="J464" s="12">
        <v>-131.4</v>
      </c>
      <c r="K464" s="12">
        <v>0</v>
      </c>
      <c r="L464" s="12">
        <v>0</v>
      </c>
      <c r="M464" s="12">
        <v>6.48</v>
      </c>
      <c r="N464" s="12">
        <v>-124.92</v>
      </c>
    </row>
    <row r="465" spans="1:14" x14ac:dyDescent="0.3">
      <c r="A465" s="12" t="s">
        <v>90</v>
      </c>
      <c r="B465" s="12" t="s">
        <v>164</v>
      </c>
      <c r="C465" s="12" t="s">
        <v>123</v>
      </c>
      <c r="D465" s="12" t="s">
        <v>110</v>
      </c>
      <c r="E465" s="12" t="s">
        <v>4</v>
      </c>
      <c r="F465" s="12">
        <v>12</v>
      </c>
      <c r="G465" s="12">
        <v>0</v>
      </c>
      <c r="H465" s="12">
        <v>195.65</v>
      </c>
      <c r="I465" s="12" t="s">
        <v>111</v>
      </c>
      <c r="J465" s="12">
        <v>-86.76</v>
      </c>
      <c r="K465" s="12">
        <v>-24.48</v>
      </c>
      <c r="L465" s="12">
        <v>-1.3</v>
      </c>
      <c r="M465" s="12">
        <v>0</v>
      </c>
      <c r="N465" s="12">
        <v>-112.54</v>
      </c>
    </row>
    <row r="466" spans="1:14" x14ac:dyDescent="0.3">
      <c r="A466" s="12" t="s">
        <v>90</v>
      </c>
      <c r="B466" s="12" t="s">
        <v>164</v>
      </c>
      <c r="C466" s="12" t="s">
        <v>123</v>
      </c>
      <c r="D466" s="12" t="s">
        <v>110</v>
      </c>
      <c r="E466" s="12" t="s">
        <v>5</v>
      </c>
      <c r="F466" s="12">
        <v>104</v>
      </c>
      <c r="G466" s="12">
        <v>54</v>
      </c>
      <c r="H466" s="12">
        <v>155.19999999999999</v>
      </c>
      <c r="I466" s="12">
        <v>176.76</v>
      </c>
      <c r="J466" s="12">
        <v>1994.74</v>
      </c>
      <c r="K466" s="12">
        <v>-40.5</v>
      </c>
      <c r="L466" s="12">
        <v>-1.3</v>
      </c>
      <c r="M466" s="12">
        <v>0</v>
      </c>
      <c r="N466" s="12">
        <v>1952.94</v>
      </c>
    </row>
    <row r="467" spans="1:14" x14ac:dyDescent="0.3">
      <c r="A467" s="12" t="s">
        <v>90</v>
      </c>
      <c r="B467" s="12" t="s">
        <v>164</v>
      </c>
      <c r="C467" s="12" t="s">
        <v>123</v>
      </c>
      <c r="D467" s="12" t="s">
        <v>110</v>
      </c>
      <c r="E467" s="12" t="s">
        <v>6</v>
      </c>
      <c r="F467" s="12">
        <v>31</v>
      </c>
      <c r="G467" s="12">
        <v>21</v>
      </c>
      <c r="H467" s="12">
        <v>258.68</v>
      </c>
      <c r="I467" s="12">
        <v>277.54000000000002</v>
      </c>
      <c r="J467" s="12">
        <v>747.96</v>
      </c>
      <c r="K467" s="12">
        <v>29.9</v>
      </c>
      <c r="L467" s="12">
        <v>-2.6</v>
      </c>
      <c r="M467" s="12">
        <v>0</v>
      </c>
      <c r="N467" s="12">
        <v>775.26</v>
      </c>
    </row>
    <row r="468" spans="1:14" x14ac:dyDescent="0.3">
      <c r="A468" s="12" t="s">
        <v>90</v>
      </c>
      <c r="B468" s="12" t="s">
        <v>164</v>
      </c>
      <c r="C468" s="12" t="s">
        <v>123</v>
      </c>
      <c r="D468" s="12" t="s">
        <v>110</v>
      </c>
      <c r="E468" s="12" t="s">
        <v>7</v>
      </c>
      <c r="F468" s="12">
        <v>7</v>
      </c>
      <c r="G468" s="12">
        <v>4</v>
      </c>
      <c r="H468" s="17">
        <v>1180</v>
      </c>
      <c r="I468" s="17">
        <v>1300.49</v>
      </c>
      <c r="J468" s="12">
        <v>792.28</v>
      </c>
      <c r="K468" s="12">
        <v>-18</v>
      </c>
      <c r="L468" s="12">
        <v>-1.3</v>
      </c>
      <c r="M468" s="12">
        <v>0</v>
      </c>
      <c r="N468" s="12">
        <v>772.98</v>
      </c>
    </row>
    <row r="469" spans="1:14" x14ac:dyDescent="0.3">
      <c r="A469" s="12" t="s">
        <v>90</v>
      </c>
      <c r="B469" s="12" t="s">
        <v>164</v>
      </c>
      <c r="C469" s="12" t="s">
        <v>123</v>
      </c>
      <c r="D469" s="12" t="s">
        <v>110</v>
      </c>
      <c r="E469" s="12" t="s">
        <v>8</v>
      </c>
      <c r="F469" s="12">
        <v>231</v>
      </c>
      <c r="G469" s="12">
        <v>231</v>
      </c>
      <c r="H469" s="12">
        <v>34.01</v>
      </c>
      <c r="I469" s="12">
        <v>34.520000000000003</v>
      </c>
      <c r="J469" s="12">
        <v>117.81</v>
      </c>
      <c r="K469" s="12">
        <v>0</v>
      </c>
      <c r="L469" s="12">
        <v>0</v>
      </c>
      <c r="M469" s="12">
        <v>0</v>
      </c>
      <c r="N469" s="12">
        <v>117.81</v>
      </c>
    </row>
    <row r="470" spans="1:14" x14ac:dyDescent="0.3">
      <c r="A470" s="12" t="s">
        <v>90</v>
      </c>
      <c r="B470" s="12" t="s">
        <v>164</v>
      </c>
      <c r="C470" s="12" t="s">
        <v>123</v>
      </c>
      <c r="D470" s="12" t="s">
        <v>110</v>
      </c>
      <c r="E470" s="12" t="s">
        <v>9</v>
      </c>
      <c r="F470" s="12">
        <v>1</v>
      </c>
      <c r="G470" s="12">
        <v>0</v>
      </c>
      <c r="H470" s="17">
        <v>3507.47</v>
      </c>
      <c r="I470" s="12" t="s">
        <v>111</v>
      </c>
      <c r="J470" s="12">
        <v>233.66</v>
      </c>
      <c r="K470" s="12">
        <v>-14.24</v>
      </c>
      <c r="L470" s="12">
        <v>-1.3</v>
      </c>
      <c r="M470" s="12">
        <v>0</v>
      </c>
      <c r="N470" s="12">
        <v>218.12</v>
      </c>
    </row>
    <row r="471" spans="1:14" x14ac:dyDescent="0.3">
      <c r="A471" s="12" t="s">
        <v>90</v>
      </c>
      <c r="B471" s="12" t="s">
        <v>164</v>
      </c>
      <c r="C471" s="12" t="s">
        <v>123</v>
      </c>
      <c r="D471" s="12" t="s">
        <v>110</v>
      </c>
      <c r="E471" s="12" t="s">
        <v>3</v>
      </c>
      <c r="F471" s="12">
        <v>148</v>
      </c>
      <c r="G471" s="12">
        <v>148</v>
      </c>
      <c r="H471" s="12">
        <v>56.17</v>
      </c>
      <c r="I471" s="12">
        <v>55.49</v>
      </c>
      <c r="J471" s="12">
        <v>-100.64</v>
      </c>
      <c r="K471" s="12">
        <v>0</v>
      </c>
      <c r="L471" s="12">
        <v>0</v>
      </c>
      <c r="M471" s="12">
        <v>58.83</v>
      </c>
      <c r="N471" s="12">
        <v>-41.81</v>
      </c>
    </row>
    <row r="472" spans="1:14" x14ac:dyDescent="0.3">
      <c r="A472" s="12" t="s">
        <v>90</v>
      </c>
      <c r="B472" s="12" t="s">
        <v>164</v>
      </c>
      <c r="C472" s="12" t="s">
        <v>123</v>
      </c>
      <c r="D472" s="12" t="s">
        <v>110</v>
      </c>
      <c r="E472" s="12" t="s">
        <v>11</v>
      </c>
      <c r="F472" s="12">
        <v>11</v>
      </c>
      <c r="G472" s="12">
        <v>11</v>
      </c>
      <c r="H472" s="12">
        <v>694.88</v>
      </c>
      <c r="I472" s="12">
        <v>743.89</v>
      </c>
      <c r="J472" s="12">
        <v>539.11</v>
      </c>
      <c r="K472" s="12">
        <v>0</v>
      </c>
      <c r="L472" s="12">
        <v>0</v>
      </c>
      <c r="M472" s="12">
        <v>8.41</v>
      </c>
      <c r="N472" s="12">
        <v>547.52</v>
      </c>
    </row>
    <row r="473" spans="1:14" x14ac:dyDescent="0.3">
      <c r="A473" s="12" t="s">
        <v>90</v>
      </c>
      <c r="B473" s="12" t="s">
        <v>164</v>
      </c>
      <c r="C473" s="12" t="s">
        <v>123</v>
      </c>
      <c r="D473" s="12" t="s">
        <v>110</v>
      </c>
      <c r="E473" s="12" t="s">
        <v>12</v>
      </c>
      <c r="F473" s="12">
        <v>0</v>
      </c>
      <c r="G473" s="12">
        <v>0</v>
      </c>
      <c r="H473" s="12" t="s">
        <v>111</v>
      </c>
      <c r="I473" s="12" t="s">
        <v>111</v>
      </c>
      <c r="J473" s="12">
        <v>0</v>
      </c>
      <c r="K473" s="12">
        <v>0</v>
      </c>
      <c r="L473" s="12">
        <v>0</v>
      </c>
      <c r="M473" s="12">
        <v>47.38</v>
      </c>
      <c r="N473" s="12">
        <v>47.38</v>
      </c>
    </row>
    <row r="474" spans="1:14" x14ac:dyDescent="0.3">
      <c r="A474" s="12" t="s">
        <v>90</v>
      </c>
      <c r="B474" s="12" t="s">
        <v>164</v>
      </c>
      <c r="C474" s="12" t="s">
        <v>123</v>
      </c>
      <c r="D474" s="12" t="s">
        <v>110</v>
      </c>
      <c r="E474" s="12" t="s">
        <v>13</v>
      </c>
      <c r="F474" s="12">
        <v>18</v>
      </c>
      <c r="G474" s="12">
        <v>10</v>
      </c>
      <c r="H474" s="12">
        <v>393.58</v>
      </c>
      <c r="I474" s="12">
        <v>365.05</v>
      </c>
      <c r="J474" s="12">
        <v>-133.44</v>
      </c>
      <c r="K474" s="12">
        <v>51.1</v>
      </c>
      <c r="L474" s="12">
        <v>-2.6</v>
      </c>
      <c r="M474" s="12">
        <v>0</v>
      </c>
      <c r="N474" s="12">
        <v>-84.94</v>
      </c>
    </row>
    <row r="475" spans="1:14" x14ac:dyDescent="0.3">
      <c r="A475" s="12" t="s">
        <v>90</v>
      </c>
      <c r="B475" s="12" t="s">
        <v>164</v>
      </c>
      <c r="C475" s="12" t="s">
        <v>123</v>
      </c>
      <c r="D475" s="12" t="s">
        <v>110</v>
      </c>
      <c r="E475" s="12" t="s">
        <v>16</v>
      </c>
      <c r="F475" s="12">
        <v>20</v>
      </c>
      <c r="G475" s="12">
        <v>0</v>
      </c>
      <c r="H475" s="12">
        <v>113.79</v>
      </c>
      <c r="I475" s="12" t="s">
        <v>111</v>
      </c>
      <c r="J475" s="12">
        <v>-82.8</v>
      </c>
      <c r="K475" s="12">
        <v>9.8000000000000007</v>
      </c>
      <c r="L475" s="12">
        <v>-1.3</v>
      </c>
      <c r="M475" s="12">
        <v>0.91</v>
      </c>
      <c r="N475" s="12">
        <v>-73.39</v>
      </c>
    </row>
    <row r="476" spans="1:14" x14ac:dyDescent="0.3">
      <c r="A476" s="12" t="s">
        <v>90</v>
      </c>
      <c r="B476" s="12" t="s">
        <v>164</v>
      </c>
      <c r="C476" s="12" t="s">
        <v>123</v>
      </c>
      <c r="D476" s="12" t="s">
        <v>110</v>
      </c>
      <c r="E476" s="12" t="s">
        <v>17</v>
      </c>
      <c r="F476" s="12">
        <v>106</v>
      </c>
      <c r="G476" s="12">
        <v>0</v>
      </c>
      <c r="H476" s="12">
        <v>32.69</v>
      </c>
      <c r="I476" s="12" t="s">
        <v>111</v>
      </c>
      <c r="J476" s="12">
        <v>-3.18</v>
      </c>
      <c r="K476" s="12">
        <v>7.42</v>
      </c>
      <c r="L476" s="12">
        <v>-1.3</v>
      </c>
      <c r="M476" s="12">
        <v>0</v>
      </c>
      <c r="N476" s="12">
        <v>2.94</v>
      </c>
    </row>
    <row r="477" spans="1:14" x14ac:dyDescent="0.3">
      <c r="A477" s="12" t="s">
        <v>90</v>
      </c>
      <c r="B477" s="12" t="s">
        <v>164</v>
      </c>
      <c r="C477" s="12" t="s">
        <v>123</v>
      </c>
      <c r="D477" s="12" t="s">
        <v>110</v>
      </c>
      <c r="E477" s="12" t="s">
        <v>18</v>
      </c>
      <c r="F477" s="12">
        <v>14</v>
      </c>
      <c r="G477" s="12">
        <v>14</v>
      </c>
      <c r="H477" s="12">
        <v>264.99</v>
      </c>
      <c r="I477" s="12">
        <v>273.25</v>
      </c>
      <c r="J477" s="12">
        <v>115.64</v>
      </c>
      <c r="K477" s="12">
        <v>0</v>
      </c>
      <c r="L477" s="12">
        <v>0</v>
      </c>
      <c r="M477" s="12">
        <v>13.86</v>
      </c>
      <c r="N477" s="12">
        <v>129.5</v>
      </c>
    </row>
    <row r="478" spans="1:14" x14ac:dyDescent="0.3">
      <c r="A478" s="12" t="s">
        <v>90</v>
      </c>
      <c r="B478" s="12" t="s">
        <v>164</v>
      </c>
      <c r="C478" s="12" t="s">
        <v>123</v>
      </c>
      <c r="D478" s="12" t="s">
        <v>110</v>
      </c>
      <c r="E478" s="12" t="s">
        <v>19</v>
      </c>
      <c r="F478" s="12">
        <v>107</v>
      </c>
      <c r="G478" s="12">
        <v>107</v>
      </c>
      <c r="H478" s="12">
        <v>140.1</v>
      </c>
      <c r="I478" s="12">
        <v>138.46</v>
      </c>
      <c r="J478" s="12">
        <v>-175.48</v>
      </c>
      <c r="K478" s="12">
        <v>0</v>
      </c>
      <c r="L478" s="12">
        <v>0</v>
      </c>
      <c r="M478" s="12">
        <v>0</v>
      </c>
      <c r="N478" s="12">
        <v>-175.48</v>
      </c>
    </row>
    <row r="479" spans="1:14" x14ac:dyDescent="0.3">
      <c r="A479" s="12" t="s">
        <v>90</v>
      </c>
      <c r="B479" s="12" t="s">
        <v>164</v>
      </c>
      <c r="C479" s="12" t="s">
        <v>123</v>
      </c>
      <c r="D479" s="12" t="s">
        <v>110</v>
      </c>
      <c r="E479" s="12" t="s">
        <v>20</v>
      </c>
      <c r="F479" s="12">
        <v>11</v>
      </c>
      <c r="G479" s="12">
        <v>11</v>
      </c>
      <c r="H479" s="12">
        <v>352.96</v>
      </c>
      <c r="I479" s="12">
        <v>380.61</v>
      </c>
      <c r="J479" s="12">
        <v>304.14999999999998</v>
      </c>
      <c r="K479" s="12">
        <v>0</v>
      </c>
      <c r="L479" s="12">
        <v>0</v>
      </c>
      <c r="M479" s="12">
        <v>0</v>
      </c>
      <c r="N479" s="12">
        <v>304.14999999999998</v>
      </c>
    </row>
    <row r="480" spans="1:14" x14ac:dyDescent="0.3">
      <c r="A480" s="12" t="s">
        <v>90</v>
      </c>
      <c r="B480" s="12" t="s">
        <v>164</v>
      </c>
      <c r="C480" s="12" t="s">
        <v>123</v>
      </c>
      <c r="D480" s="12" t="s">
        <v>110</v>
      </c>
      <c r="E480" s="12" t="s">
        <v>21</v>
      </c>
      <c r="F480" s="12">
        <v>6</v>
      </c>
      <c r="G480" s="12">
        <v>0</v>
      </c>
      <c r="H480" s="12">
        <v>611</v>
      </c>
      <c r="I480" s="12" t="s">
        <v>111</v>
      </c>
      <c r="J480" s="12">
        <v>111.84</v>
      </c>
      <c r="K480" s="12">
        <v>-75.900000000000006</v>
      </c>
      <c r="L480" s="12">
        <v>-1.3</v>
      </c>
      <c r="M480" s="12">
        <v>0</v>
      </c>
      <c r="N480" s="12">
        <v>34.64</v>
      </c>
    </row>
    <row r="481" spans="1:14" x14ac:dyDescent="0.3">
      <c r="A481" s="12" t="s">
        <v>90</v>
      </c>
      <c r="B481" s="12" t="s">
        <v>164</v>
      </c>
      <c r="C481" s="12" t="s">
        <v>123</v>
      </c>
      <c r="D481" s="12" t="s">
        <v>110</v>
      </c>
      <c r="E481" s="12" t="s">
        <v>22</v>
      </c>
      <c r="F481" s="12">
        <v>66</v>
      </c>
      <c r="G481" s="12">
        <v>83</v>
      </c>
      <c r="H481" s="12">
        <v>56.26</v>
      </c>
      <c r="I481" s="12">
        <v>66.55</v>
      </c>
      <c r="J481" s="12">
        <v>652.88</v>
      </c>
      <c r="K481" s="12">
        <v>66.239999999999995</v>
      </c>
      <c r="L481" s="12">
        <v>-3.9</v>
      </c>
      <c r="M481" s="12">
        <v>2.4700000000000002</v>
      </c>
      <c r="N481" s="12">
        <v>717.69</v>
      </c>
    </row>
    <row r="482" spans="1:14" x14ac:dyDescent="0.3">
      <c r="A482" s="12" t="s">
        <v>90</v>
      </c>
      <c r="B482" s="12" t="s">
        <v>164</v>
      </c>
      <c r="C482" s="12" t="s">
        <v>123</v>
      </c>
      <c r="D482" s="12" t="s">
        <v>110</v>
      </c>
      <c r="E482" s="12" t="s">
        <v>37</v>
      </c>
      <c r="F482" s="12">
        <v>0</v>
      </c>
      <c r="G482" s="12">
        <v>20</v>
      </c>
      <c r="H482" s="12" t="s">
        <v>111</v>
      </c>
      <c r="I482" s="12">
        <v>185.03</v>
      </c>
      <c r="J482" s="12">
        <v>-22.6</v>
      </c>
      <c r="K482" s="12">
        <v>27.6</v>
      </c>
      <c r="L482" s="12">
        <v>-1.3</v>
      </c>
      <c r="M482" s="12">
        <v>0</v>
      </c>
      <c r="N482" s="12">
        <v>3.7</v>
      </c>
    </row>
    <row r="483" spans="1:14" x14ac:dyDescent="0.3">
      <c r="A483" s="12" t="s">
        <v>90</v>
      </c>
      <c r="B483" s="12" t="s">
        <v>164</v>
      </c>
      <c r="C483" s="12" t="s">
        <v>123</v>
      </c>
      <c r="D483" s="12" t="s">
        <v>110</v>
      </c>
      <c r="E483" s="12" t="s">
        <v>23</v>
      </c>
      <c r="F483" s="12">
        <v>13</v>
      </c>
      <c r="G483" s="12">
        <v>0</v>
      </c>
      <c r="H483" s="12">
        <v>631.33000000000004</v>
      </c>
      <c r="I483" s="12" t="s">
        <v>111</v>
      </c>
      <c r="J483" s="12">
        <v>90.22</v>
      </c>
      <c r="K483" s="12">
        <v>-85.28</v>
      </c>
      <c r="L483" s="12">
        <v>-1.3</v>
      </c>
      <c r="M483" s="12">
        <v>0.57999999999999996</v>
      </c>
      <c r="N483" s="12">
        <v>4.22</v>
      </c>
    </row>
    <row r="484" spans="1:14" x14ac:dyDescent="0.3">
      <c r="A484" s="12" t="s">
        <v>90</v>
      </c>
      <c r="B484" s="12" t="s">
        <v>164</v>
      </c>
      <c r="C484" s="12" t="s">
        <v>123</v>
      </c>
      <c r="D484" s="12" t="s">
        <v>110</v>
      </c>
      <c r="E484" s="12" t="s">
        <v>24</v>
      </c>
      <c r="F484" s="12">
        <v>45</v>
      </c>
      <c r="G484" s="12">
        <v>50</v>
      </c>
      <c r="H484" s="12">
        <v>79.86</v>
      </c>
      <c r="I484" s="12">
        <v>91.33</v>
      </c>
      <c r="J484" s="12">
        <v>534.1</v>
      </c>
      <c r="K484" s="12">
        <v>2.75</v>
      </c>
      <c r="L484" s="12">
        <v>-2.6</v>
      </c>
      <c r="M484" s="12">
        <v>0</v>
      </c>
      <c r="N484" s="12">
        <v>534.25</v>
      </c>
    </row>
    <row r="485" spans="1:14" x14ac:dyDescent="0.3">
      <c r="A485" s="12" t="s">
        <v>90</v>
      </c>
      <c r="B485" s="12" t="s">
        <v>164</v>
      </c>
      <c r="C485" s="12" t="s">
        <v>123</v>
      </c>
      <c r="D485" s="12" t="s">
        <v>110</v>
      </c>
      <c r="E485" s="12" t="s">
        <v>25</v>
      </c>
      <c r="F485" s="12">
        <v>8</v>
      </c>
      <c r="G485" s="12">
        <v>8</v>
      </c>
      <c r="H485" s="12">
        <v>453.82</v>
      </c>
      <c r="I485" s="12">
        <v>467.09</v>
      </c>
      <c r="J485" s="12">
        <v>106.16</v>
      </c>
      <c r="K485" s="12">
        <v>0</v>
      </c>
      <c r="L485" s="12">
        <v>0</v>
      </c>
      <c r="M485" s="12">
        <v>0</v>
      </c>
      <c r="N485" s="12">
        <v>106.16</v>
      </c>
    </row>
    <row r="486" spans="1:14" x14ac:dyDescent="0.3">
      <c r="A486" s="12" t="s">
        <v>90</v>
      </c>
      <c r="B486" s="12" t="s">
        <v>164</v>
      </c>
      <c r="C486" s="12" t="s">
        <v>123</v>
      </c>
      <c r="D486" s="12" t="s">
        <v>110</v>
      </c>
      <c r="E486" s="12" t="s">
        <v>26</v>
      </c>
      <c r="F486" s="12">
        <v>9</v>
      </c>
      <c r="G486" s="12">
        <v>10</v>
      </c>
      <c r="H486" s="12">
        <v>392.04</v>
      </c>
      <c r="I486" s="12">
        <v>379.42</v>
      </c>
      <c r="J486" s="12">
        <v>4</v>
      </c>
      <c r="K486" s="12">
        <v>8.42</v>
      </c>
      <c r="L486" s="12">
        <v>-2.6</v>
      </c>
      <c r="M486" s="12">
        <v>0</v>
      </c>
      <c r="N486" s="12">
        <v>9.82</v>
      </c>
    </row>
    <row r="487" spans="1:14" x14ac:dyDescent="0.3">
      <c r="A487" s="12" t="s">
        <v>90</v>
      </c>
      <c r="B487" s="12" t="s">
        <v>164</v>
      </c>
      <c r="C487" s="12" t="s">
        <v>123</v>
      </c>
      <c r="D487" s="12" t="s">
        <v>110</v>
      </c>
      <c r="E487" s="12" t="s">
        <v>38</v>
      </c>
      <c r="F487" s="12">
        <v>0</v>
      </c>
      <c r="G487" s="12">
        <v>0</v>
      </c>
      <c r="H487" s="12" t="s">
        <v>111</v>
      </c>
      <c r="I487" s="12" t="s">
        <v>111</v>
      </c>
      <c r="J487" s="12">
        <v>22.16</v>
      </c>
      <c r="K487" s="12">
        <v>-50.4</v>
      </c>
      <c r="L487" s="12">
        <v>-2.6</v>
      </c>
      <c r="M487" s="12">
        <v>0</v>
      </c>
      <c r="N487" s="12">
        <v>-30.84</v>
      </c>
    </row>
    <row r="488" spans="1:14" x14ac:dyDescent="0.3">
      <c r="A488" s="12" t="s">
        <v>90</v>
      </c>
      <c r="B488" s="12" t="s">
        <v>164</v>
      </c>
      <c r="C488" s="12" t="s">
        <v>123</v>
      </c>
      <c r="D488" s="12" t="s">
        <v>110</v>
      </c>
      <c r="E488" s="12" t="s">
        <v>27</v>
      </c>
      <c r="F488" s="12">
        <v>21</v>
      </c>
      <c r="G488" s="12">
        <v>11</v>
      </c>
      <c r="H488" s="12">
        <v>390.14</v>
      </c>
      <c r="I488" s="12">
        <v>490.13</v>
      </c>
      <c r="J488" s="12">
        <v>1948.39</v>
      </c>
      <c r="K488" s="12">
        <v>-33.4</v>
      </c>
      <c r="L488" s="12">
        <v>-1.3</v>
      </c>
      <c r="M488" s="12">
        <v>0</v>
      </c>
      <c r="N488" s="12">
        <v>1913.69</v>
      </c>
    </row>
    <row r="489" spans="1:14" x14ac:dyDescent="0.3">
      <c r="A489" s="12" t="s">
        <v>90</v>
      </c>
      <c r="B489" s="12" t="s">
        <v>164</v>
      </c>
      <c r="C489" s="12" t="s">
        <v>123</v>
      </c>
      <c r="D489" s="12" t="s">
        <v>110</v>
      </c>
      <c r="E489" s="12" t="s">
        <v>28</v>
      </c>
      <c r="F489" s="12">
        <v>49</v>
      </c>
      <c r="G489" s="12">
        <v>49</v>
      </c>
      <c r="H489" s="12">
        <v>397.58</v>
      </c>
      <c r="I489" s="12">
        <v>413.64</v>
      </c>
      <c r="J489" s="12">
        <v>786.94</v>
      </c>
      <c r="K489" s="12">
        <v>0</v>
      </c>
      <c r="L489" s="12">
        <v>0</v>
      </c>
      <c r="M489" s="12">
        <v>0</v>
      </c>
      <c r="N489" s="12">
        <v>786.94</v>
      </c>
    </row>
    <row r="490" spans="1:14" x14ac:dyDescent="0.3">
      <c r="A490" s="12" t="s">
        <v>90</v>
      </c>
      <c r="B490" s="12" t="s">
        <v>164</v>
      </c>
      <c r="C490" s="12" t="s">
        <v>123</v>
      </c>
      <c r="D490" s="12" t="s">
        <v>110</v>
      </c>
      <c r="E490" s="12" t="s">
        <v>29</v>
      </c>
      <c r="F490" s="12">
        <v>12</v>
      </c>
      <c r="G490" s="12">
        <v>18</v>
      </c>
      <c r="H490" s="12">
        <v>338.51</v>
      </c>
      <c r="I490" s="12">
        <v>310.55</v>
      </c>
      <c r="J490" s="12">
        <v>-79.14</v>
      </c>
      <c r="K490" s="12">
        <v>16.5</v>
      </c>
      <c r="L490" s="12">
        <v>-1.3</v>
      </c>
      <c r="M490" s="12">
        <v>0</v>
      </c>
      <c r="N490" s="12">
        <v>-63.94</v>
      </c>
    </row>
    <row r="491" spans="1:14" x14ac:dyDescent="0.3">
      <c r="A491" s="12" t="s">
        <v>90</v>
      </c>
      <c r="B491" s="12" t="s">
        <v>164</v>
      </c>
      <c r="C491" s="12" t="s">
        <v>123</v>
      </c>
      <c r="D491" s="12" t="s">
        <v>110</v>
      </c>
      <c r="E491" s="12" t="s">
        <v>39</v>
      </c>
      <c r="F491" s="12">
        <v>0</v>
      </c>
      <c r="G491" s="12">
        <v>20</v>
      </c>
      <c r="H491" s="12" t="s">
        <v>111</v>
      </c>
      <c r="I491" s="12">
        <v>157.79</v>
      </c>
      <c r="J491" s="12">
        <v>322</v>
      </c>
      <c r="K491" s="12">
        <v>3.6</v>
      </c>
      <c r="L491" s="12">
        <v>-1.3</v>
      </c>
      <c r="M491" s="12">
        <v>0</v>
      </c>
      <c r="N491" s="12">
        <v>324.3</v>
      </c>
    </row>
    <row r="492" spans="1:14" x14ac:dyDescent="0.3">
      <c r="A492" s="12" t="s">
        <v>90</v>
      </c>
      <c r="B492" s="12" t="s">
        <v>164</v>
      </c>
      <c r="C492" s="12" t="s">
        <v>123</v>
      </c>
      <c r="D492" s="12" t="s">
        <v>110</v>
      </c>
      <c r="E492" s="12" t="s">
        <v>30</v>
      </c>
      <c r="F492" s="12">
        <v>26</v>
      </c>
      <c r="G492" s="12">
        <v>26</v>
      </c>
      <c r="H492" s="12">
        <v>140.28</v>
      </c>
      <c r="I492" s="12">
        <v>148.96</v>
      </c>
      <c r="J492" s="12">
        <v>225.68</v>
      </c>
      <c r="K492" s="12">
        <v>0</v>
      </c>
      <c r="L492" s="12">
        <v>0</v>
      </c>
      <c r="M492" s="12">
        <v>0</v>
      </c>
      <c r="N492" s="12">
        <v>225.68</v>
      </c>
    </row>
    <row r="493" spans="1:14" x14ac:dyDescent="0.3">
      <c r="A493" s="12" t="s">
        <v>90</v>
      </c>
      <c r="B493" s="12" t="s">
        <v>164</v>
      </c>
      <c r="C493" s="12" t="s">
        <v>123</v>
      </c>
      <c r="D493" s="12" t="s">
        <v>110</v>
      </c>
      <c r="E493" s="12" t="s">
        <v>31</v>
      </c>
      <c r="F493" s="12">
        <v>18</v>
      </c>
      <c r="G493" s="12">
        <v>18</v>
      </c>
      <c r="H493" s="12">
        <v>195.64</v>
      </c>
      <c r="I493" s="12">
        <v>188.28</v>
      </c>
      <c r="J493" s="12">
        <v>-96.21</v>
      </c>
      <c r="K493" s="12">
        <v>444.24</v>
      </c>
      <c r="L493" s="12">
        <v>-2.6</v>
      </c>
      <c r="M493" s="12">
        <v>0</v>
      </c>
      <c r="N493" s="12">
        <v>345.43</v>
      </c>
    </row>
    <row r="494" spans="1:14" x14ac:dyDescent="0.3">
      <c r="A494" s="12" t="s">
        <v>90</v>
      </c>
      <c r="B494" s="12" t="s">
        <v>164</v>
      </c>
      <c r="C494" s="12" t="s">
        <v>123</v>
      </c>
      <c r="D494" s="12" t="s">
        <v>110</v>
      </c>
      <c r="E494" s="12" t="s">
        <v>32</v>
      </c>
      <c r="F494" s="12">
        <v>106</v>
      </c>
      <c r="G494" s="12">
        <v>70</v>
      </c>
      <c r="H494" s="12">
        <v>65.27</v>
      </c>
      <c r="I494" s="12">
        <v>79.5</v>
      </c>
      <c r="J494" s="12">
        <v>1574.22</v>
      </c>
      <c r="K494" s="12">
        <v>28.05</v>
      </c>
      <c r="L494" s="12">
        <v>-3.9</v>
      </c>
      <c r="M494" s="12">
        <v>0</v>
      </c>
      <c r="N494" s="12">
        <v>1598.37</v>
      </c>
    </row>
    <row r="495" spans="1:14" x14ac:dyDescent="0.3">
      <c r="A495" s="12" t="s">
        <v>90</v>
      </c>
      <c r="B495" s="12" t="s">
        <v>164</v>
      </c>
      <c r="C495" s="12" t="s">
        <v>123</v>
      </c>
      <c r="D495" s="12" t="s">
        <v>110</v>
      </c>
      <c r="E495" s="12" t="s">
        <v>33</v>
      </c>
      <c r="F495" s="12">
        <v>7</v>
      </c>
      <c r="G495" s="12">
        <v>0</v>
      </c>
      <c r="H495" s="12">
        <v>502.05</v>
      </c>
      <c r="I495" s="12" t="s">
        <v>111</v>
      </c>
      <c r="J495" s="12">
        <v>203.07</v>
      </c>
      <c r="K495" s="12">
        <v>-53.13</v>
      </c>
      <c r="L495" s="12">
        <v>-1.3</v>
      </c>
      <c r="M495" s="12">
        <v>0</v>
      </c>
      <c r="N495" s="12">
        <v>148.63999999999999</v>
      </c>
    </row>
    <row r="496" spans="1:14" x14ac:dyDescent="0.3">
      <c r="A496" s="12" t="s">
        <v>90</v>
      </c>
      <c r="B496" s="12" t="s">
        <v>164</v>
      </c>
      <c r="C496" s="12" t="s">
        <v>123</v>
      </c>
      <c r="D496" s="12" t="s">
        <v>110</v>
      </c>
      <c r="E496" s="12" t="s">
        <v>40</v>
      </c>
      <c r="F496" s="12">
        <v>0</v>
      </c>
      <c r="G496" s="12">
        <v>15</v>
      </c>
      <c r="H496" s="12" t="s">
        <v>111</v>
      </c>
      <c r="I496" s="12">
        <v>253.69</v>
      </c>
      <c r="J496" s="12">
        <v>80.400000000000006</v>
      </c>
      <c r="K496" s="12">
        <v>19.95</v>
      </c>
      <c r="L496" s="12">
        <v>-1.3</v>
      </c>
      <c r="M496" s="12">
        <v>0</v>
      </c>
      <c r="N496" s="12">
        <v>99.05</v>
      </c>
    </row>
    <row r="497" spans="1:18" x14ac:dyDescent="0.3">
      <c r="A497" s="12" t="s">
        <v>90</v>
      </c>
      <c r="B497" s="12" t="s">
        <v>164</v>
      </c>
      <c r="C497" s="12" t="s">
        <v>123</v>
      </c>
      <c r="D497" s="12" t="s">
        <v>110</v>
      </c>
      <c r="E497" s="12" t="s">
        <v>34</v>
      </c>
      <c r="F497" s="12">
        <v>13</v>
      </c>
      <c r="G497" s="12">
        <v>13</v>
      </c>
      <c r="H497" s="12">
        <v>291.07</v>
      </c>
      <c r="I497" s="12">
        <v>294.66000000000003</v>
      </c>
      <c r="J497" s="12">
        <v>46.67</v>
      </c>
      <c r="K497" s="12">
        <v>0</v>
      </c>
      <c r="L497" s="12">
        <v>0</v>
      </c>
      <c r="M497" s="12">
        <v>0</v>
      </c>
      <c r="N497" s="12">
        <v>46.67</v>
      </c>
    </row>
    <row r="498" spans="1:18" x14ac:dyDescent="0.3">
      <c r="A498" s="12" t="s">
        <v>90</v>
      </c>
      <c r="B498" s="12" t="s">
        <v>164</v>
      </c>
      <c r="C498" s="12" t="s">
        <v>123</v>
      </c>
      <c r="D498" s="12" t="s">
        <v>110</v>
      </c>
      <c r="E498" s="12" t="s">
        <v>41</v>
      </c>
      <c r="F498" s="12">
        <v>0</v>
      </c>
      <c r="G498" s="12">
        <v>600</v>
      </c>
      <c r="H498" s="12" t="s">
        <v>111</v>
      </c>
      <c r="I498" s="12">
        <v>41.28</v>
      </c>
      <c r="J498" s="12">
        <v>312</v>
      </c>
      <c r="K498" s="12">
        <v>9</v>
      </c>
      <c r="L498" s="12">
        <v>-4.2</v>
      </c>
      <c r="M498" s="12">
        <v>0</v>
      </c>
      <c r="N498" s="12">
        <v>316.8</v>
      </c>
    </row>
    <row r="499" spans="1:18" x14ac:dyDescent="0.3">
      <c r="A499" s="12" t="s">
        <v>90</v>
      </c>
      <c r="B499" s="12" t="s">
        <v>164</v>
      </c>
      <c r="C499" s="12" t="s">
        <v>123</v>
      </c>
      <c r="D499" s="12" t="s">
        <v>110</v>
      </c>
      <c r="E499" s="12" t="s">
        <v>42</v>
      </c>
      <c r="F499" s="12">
        <v>0</v>
      </c>
      <c r="G499" s="12">
        <v>50</v>
      </c>
      <c r="H499" s="12" t="s">
        <v>111</v>
      </c>
      <c r="I499" s="12">
        <v>206.98</v>
      </c>
      <c r="J499" s="12">
        <v>340.5</v>
      </c>
      <c r="K499" s="12">
        <v>-19.5</v>
      </c>
      <c r="L499" s="12">
        <v>-1.3</v>
      </c>
      <c r="M499" s="12">
        <v>0</v>
      </c>
      <c r="N499" s="12">
        <v>319.7</v>
      </c>
    </row>
    <row r="500" spans="1:18" x14ac:dyDescent="0.3">
      <c r="A500" s="12" t="s">
        <v>90</v>
      </c>
      <c r="B500" s="12" t="s">
        <v>164</v>
      </c>
      <c r="C500" s="12" t="s">
        <v>123</v>
      </c>
      <c r="D500" s="12" t="s">
        <v>110</v>
      </c>
      <c r="E500" s="12" t="s">
        <v>43</v>
      </c>
      <c r="F500" s="12">
        <v>0</v>
      </c>
      <c r="G500" s="12">
        <v>80</v>
      </c>
      <c r="H500" s="12" t="s">
        <v>111</v>
      </c>
      <c r="I500" s="12">
        <v>62.1</v>
      </c>
      <c r="J500" s="12">
        <v>171.2</v>
      </c>
      <c r="K500" s="12">
        <v>-91.2</v>
      </c>
      <c r="L500" s="12">
        <v>-1.3</v>
      </c>
      <c r="M500" s="12">
        <v>0</v>
      </c>
      <c r="N500" s="12">
        <v>78.7</v>
      </c>
    </row>
    <row r="501" spans="1:18" x14ac:dyDescent="0.3">
      <c r="A501" s="12" t="s">
        <v>90</v>
      </c>
      <c r="B501" s="12" t="s">
        <v>164</v>
      </c>
      <c r="C501" s="12" t="s">
        <v>123</v>
      </c>
      <c r="D501" s="12" t="s">
        <v>110</v>
      </c>
      <c r="E501" s="12" t="s">
        <v>44</v>
      </c>
      <c r="F501" s="12">
        <v>0</v>
      </c>
      <c r="G501" s="12">
        <v>30</v>
      </c>
      <c r="H501" s="12" t="s">
        <v>111</v>
      </c>
      <c r="I501" s="12">
        <v>144.82</v>
      </c>
      <c r="J501" s="12">
        <v>-9.9</v>
      </c>
      <c r="K501" s="12">
        <v>1.2</v>
      </c>
      <c r="L501" s="12">
        <v>-1.3</v>
      </c>
      <c r="M501" s="12">
        <v>0</v>
      </c>
      <c r="N501" s="12">
        <v>-10</v>
      </c>
    </row>
    <row r="502" spans="1:18" x14ac:dyDescent="0.3">
      <c r="A502" s="12" t="s">
        <v>90</v>
      </c>
      <c r="B502" s="12" t="s">
        <v>164</v>
      </c>
      <c r="C502" s="12" t="s">
        <v>123</v>
      </c>
      <c r="D502" s="12" t="s">
        <v>110</v>
      </c>
      <c r="E502" s="12" t="s">
        <v>35</v>
      </c>
      <c r="F502" s="12">
        <v>24</v>
      </c>
      <c r="G502" s="12">
        <v>100</v>
      </c>
      <c r="H502" s="12">
        <v>102.81</v>
      </c>
      <c r="I502" s="12">
        <v>104.52</v>
      </c>
      <c r="J502" s="12">
        <v>254.84</v>
      </c>
      <c r="K502" s="12">
        <v>-74</v>
      </c>
      <c r="L502" s="12">
        <v>-2.6</v>
      </c>
      <c r="M502" s="12">
        <v>0</v>
      </c>
      <c r="N502" s="12">
        <v>178.24</v>
      </c>
    </row>
    <row r="503" spans="1:18" x14ac:dyDescent="0.3">
      <c r="A503" s="12" t="s">
        <v>90</v>
      </c>
      <c r="B503" s="12" t="s">
        <v>164</v>
      </c>
      <c r="C503" s="12" t="s">
        <v>123</v>
      </c>
      <c r="D503" s="12" t="s">
        <v>97</v>
      </c>
      <c r="J503" s="12">
        <v>11711.07</v>
      </c>
      <c r="K503" s="12">
        <v>145.74</v>
      </c>
      <c r="L503" s="12">
        <v>-52.3</v>
      </c>
      <c r="M503" s="12">
        <v>138.91999999999999</v>
      </c>
      <c r="N503" s="12">
        <v>11943.43</v>
      </c>
    </row>
    <row r="504" spans="1:18" x14ac:dyDescent="0.3">
      <c r="A504" s="12" t="s">
        <v>90</v>
      </c>
      <c r="B504" s="12" t="s">
        <v>164</v>
      </c>
      <c r="C504" s="12" t="s">
        <v>123</v>
      </c>
      <c r="D504" s="12" t="s">
        <v>112</v>
      </c>
      <c r="E504" s="12" t="s">
        <v>36</v>
      </c>
      <c r="F504" s="12">
        <v>-8</v>
      </c>
      <c r="G504" s="12">
        <v>-8</v>
      </c>
      <c r="H504" s="17">
        <v>4870.5</v>
      </c>
      <c r="I504" s="17">
        <v>5103.75</v>
      </c>
      <c r="J504" s="12">
        <v>-8803.75</v>
      </c>
      <c r="K504" s="12">
        <v>-73.75</v>
      </c>
      <c r="L504" s="12">
        <v>-6</v>
      </c>
      <c r="M504" s="12">
        <v>0</v>
      </c>
      <c r="N504" s="12">
        <v>-8883.5</v>
      </c>
    </row>
    <row r="505" spans="1:18" x14ac:dyDescent="0.3">
      <c r="A505" s="12" t="s">
        <v>90</v>
      </c>
      <c r="B505" s="12" t="s">
        <v>164</v>
      </c>
      <c r="C505" s="12" t="s">
        <v>123</v>
      </c>
      <c r="D505" s="12" t="s">
        <v>97</v>
      </c>
      <c r="J505" s="12">
        <v>-8803.75</v>
      </c>
      <c r="K505" s="12">
        <v>-73.75</v>
      </c>
      <c r="L505" s="12">
        <v>-6</v>
      </c>
      <c r="M505" s="12">
        <v>0</v>
      </c>
      <c r="N505" s="12">
        <v>-8883.5</v>
      </c>
    </row>
    <row r="506" spans="1:18" x14ac:dyDescent="0.3">
      <c r="A506" s="12" t="s">
        <v>90</v>
      </c>
      <c r="B506" s="12" t="s">
        <v>164</v>
      </c>
      <c r="C506" s="12" t="s">
        <v>123</v>
      </c>
      <c r="D506" s="12" t="s">
        <v>113</v>
      </c>
      <c r="E506" s="12" t="s">
        <v>114</v>
      </c>
      <c r="F506" s="12">
        <v>68923.413</v>
      </c>
      <c r="G506" s="12">
        <v>49395.222999999998</v>
      </c>
      <c r="H506" s="12">
        <v>1</v>
      </c>
      <c r="I506" s="12">
        <v>1</v>
      </c>
      <c r="J506" s="12">
        <v>0</v>
      </c>
      <c r="K506" s="12">
        <v>0</v>
      </c>
      <c r="L506" s="12">
        <v>0</v>
      </c>
      <c r="M506" s="12">
        <v>0</v>
      </c>
      <c r="N506" s="12">
        <v>0</v>
      </c>
    </row>
    <row r="507" spans="1:18" x14ac:dyDescent="0.3">
      <c r="A507" s="12" t="s">
        <v>90</v>
      </c>
      <c r="B507" s="12" t="s">
        <v>164</v>
      </c>
      <c r="C507" s="12" t="s">
        <v>123</v>
      </c>
      <c r="D507" s="12" t="s">
        <v>97</v>
      </c>
      <c r="J507" s="12">
        <v>0</v>
      </c>
      <c r="K507" s="12">
        <v>0</v>
      </c>
      <c r="L507" s="12">
        <v>0</v>
      </c>
      <c r="M507" s="12">
        <v>0</v>
      </c>
      <c r="N507" s="12">
        <v>0</v>
      </c>
    </row>
    <row r="508" spans="1:18" x14ac:dyDescent="0.3">
      <c r="A508" s="12" t="s">
        <v>90</v>
      </c>
      <c r="B508" s="12" t="s">
        <v>164</v>
      </c>
      <c r="C508" s="12" t="s">
        <v>123</v>
      </c>
      <c r="D508" s="12" t="s">
        <v>115</v>
      </c>
      <c r="J508" s="12">
        <v>2907.32</v>
      </c>
      <c r="K508" s="12">
        <v>71.989999999999995</v>
      </c>
      <c r="L508" s="12">
        <v>-58.3</v>
      </c>
      <c r="M508" s="12">
        <v>138.91999999999999</v>
      </c>
      <c r="N508" s="12">
        <v>3059.93</v>
      </c>
    </row>
    <row r="509" spans="1:18" x14ac:dyDescent="0.3">
      <c r="A509" s="12" t="s">
        <v>90</v>
      </c>
      <c r="B509" s="12" t="s">
        <v>164</v>
      </c>
      <c r="C509" s="12" t="s">
        <v>123</v>
      </c>
      <c r="D509" s="12" t="s">
        <v>116</v>
      </c>
      <c r="N509" s="12">
        <v>291.44</v>
      </c>
    </row>
    <row r="510" spans="1:18" x14ac:dyDescent="0.3">
      <c r="A510" s="12" t="s">
        <v>90</v>
      </c>
      <c r="B510" s="12" t="s">
        <v>164</v>
      </c>
      <c r="C510" s="12" t="s">
        <v>123</v>
      </c>
      <c r="D510" s="12" t="s">
        <v>117</v>
      </c>
      <c r="N510" s="12">
        <v>57.96</v>
      </c>
    </row>
    <row r="511" spans="1:18" x14ac:dyDescent="0.3">
      <c r="A511" s="12" t="s">
        <v>90</v>
      </c>
      <c r="B511" s="12" t="s">
        <v>166</v>
      </c>
      <c r="N511" s="12">
        <v>3351.37</v>
      </c>
    </row>
    <row r="512" spans="1:18" x14ac:dyDescent="0.3">
      <c r="A512" s="12" t="s">
        <v>90</v>
      </c>
      <c r="B512" s="12" t="s">
        <v>167</v>
      </c>
      <c r="C512" s="12" t="s">
        <v>120</v>
      </c>
      <c r="D512" s="12" t="s">
        <v>100</v>
      </c>
      <c r="E512" s="12" t="s">
        <v>0</v>
      </c>
      <c r="F512" s="12" t="s">
        <v>168</v>
      </c>
      <c r="G512" s="12" t="s">
        <v>169</v>
      </c>
      <c r="H512" s="12" t="s">
        <v>170</v>
      </c>
      <c r="I512" s="12" t="s">
        <v>171</v>
      </c>
      <c r="J512" s="12" t="s">
        <v>172</v>
      </c>
      <c r="K512" s="12" t="s">
        <v>173</v>
      </c>
      <c r="L512" s="12" t="s">
        <v>174</v>
      </c>
      <c r="M512" s="12" t="s">
        <v>175</v>
      </c>
      <c r="N512" s="12" t="s">
        <v>176</v>
      </c>
      <c r="O512" s="12" t="s">
        <v>177</v>
      </c>
      <c r="P512" s="12" t="s">
        <v>178</v>
      </c>
      <c r="Q512" s="12" t="s">
        <v>97</v>
      </c>
      <c r="R512" s="12" t="s">
        <v>165</v>
      </c>
    </row>
    <row r="513" spans="1:17" x14ac:dyDescent="0.3">
      <c r="A513" s="12" t="s">
        <v>90</v>
      </c>
      <c r="B513" s="12" t="s">
        <v>167</v>
      </c>
      <c r="C513" s="12" t="s">
        <v>123</v>
      </c>
      <c r="D513" s="12" t="s">
        <v>110</v>
      </c>
      <c r="E513" s="12" t="s">
        <v>2</v>
      </c>
      <c r="F513" s="12">
        <v>0</v>
      </c>
      <c r="G513" s="12">
        <v>0</v>
      </c>
      <c r="H513" s="12">
        <v>0</v>
      </c>
      <c r="I513" s="12">
        <v>0</v>
      </c>
      <c r="J513" s="12">
        <v>0</v>
      </c>
      <c r="K513" s="12">
        <v>0</v>
      </c>
      <c r="L513" s="12">
        <v>0</v>
      </c>
      <c r="M513" s="12">
        <v>-106.2</v>
      </c>
      <c r="N513" s="12">
        <v>0</v>
      </c>
      <c r="O513" s="12">
        <v>0</v>
      </c>
      <c r="P513" s="12">
        <v>-106.2</v>
      </c>
      <c r="Q513" s="12">
        <v>-106.2</v>
      </c>
    </row>
    <row r="514" spans="1:17" x14ac:dyDescent="0.3">
      <c r="A514" s="12" t="s">
        <v>90</v>
      </c>
      <c r="B514" s="12" t="s">
        <v>167</v>
      </c>
      <c r="C514" s="12" t="s">
        <v>123</v>
      </c>
      <c r="D514" s="12" t="s">
        <v>110</v>
      </c>
      <c r="E514" s="12" t="s">
        <v>4</v>
      </c>
      <c r="F514" s="12">
        <v>0</v>
      </c>
      <c r="G514" s="12">
        <v>0</v>
      </c>
      <c r="H514" s="12">
        <v>-331.52</v>
      </c>
      <c r="I514" s="12">
        <v>0</v>
      </c>
      <c r="J514" s="12">
        <v>0</v>
      </c>
      <c r="K514" s="12">
        <v>-331.52</v>
      </c>
      <c r="L514" s="12">
        <v>0</v>
      </c>
      <c r="M514" s="12">
        <v>0</v>
      </c>
      <c r="N514" s="12">
        <v>0</v>
      </c>
      <c r="O514" s="12">
        <v>0</v>
      </c>
      <c r="P514" s="12">
        <v>0</v>
      </c>
      <c r="Q514" s="12">
        <v>-331.52</v>
      </c>
    </row>
    <row r="515" spans="1:17" x14ac:dyDescent="0.3">
      <c r="A515" s="12" t="s">
        <v>90</v>
      </c>
      <c r="B515" s="12" t="s">
        <v>167</v>
      </c>
      <c r="C515" s="12" t="s">
        <v>123</v>
      </c>
      <c r="D515" s="12" t="s">
        <v>110</v>
      </c>
      <c r="E515" s="12" t="s">
        <v>5</v>
      </c>
      <c r="F515" s="12">
        <v>0</v>
      </c>
      <c r="G515" s="12">
        <v>1285.575</v>
      </c>
      <c r="H515" s="12">
        <v>0</v>
      </c>
      <c r="I515" s="12">
        <v>0</v>
      </c>
      <c r="J515" s="12">
        <v>0</v>
      </c>
      <c r="K515" s="12">
        <v>1285.575</v>
      </c>
      <c r="L515" s="12">
        <v>1700.865</v>
      </c>
      <c r="M515" s="12">
        <v>0</v>
      </c>
      <c r="N515" s="12">
        <v>0</v>
      </c>
      <c r="O515" s="12">
        <v>0</v>
      </c>
      <c r="P515" s="12">
        <v>1700.865</v>
      </c>
      <c r="Q515" s="12">
        <v>2986.44</v>
      </c>
    </row>
    <row r="516" spans="1:17" x14ac:dyDescent="0.3">
      <c r="A516" s="12" t="s">
        <v>90</v>
      </c>
      <c r="B516" s="12" t="s">
        <v>167</v>
      </c>
      <c r="C516" s="12" t="s">
        <v>123</v>
      </c>
      <c r="D516" s="12" t="s">
        <v>110</v>
      </c>
      <c r="E516" s="12" t="s">
        <v>6</v>
      </c>
      <c r="F516" s="12">
        <v>0</v>
      </c>
      <c r="G516" s="12">
        <v>807.77096773999995</v>
      </c>
      <c r="H516" s="12">
        <v>0</v>
      </c>
      <c r="I516" s="12">
        <v>0</v>
      </c>
      <c r="J516" s="12">
        <v>0</v>
      </c>
      <c r="K516" s="12">
        <v>807.77096773999995</v>
      </c>
      <c r="L516" s="12">
        <v>885.64903200000003</v>
      </c>
      <c r="M516" s="12">
        <v>0</v>
      </c>
      <c r="N516" s="12">
        <v>0</v>
      </c>
      <c r="O516" s="12">
        <v>0</v>
      </c>
      <c r="P516" s="12">
        <v>885.64903200000003</v>
      </c>
      <c r="Q516" s="12">
        <v>1693.4199997400001</v>
      </c>
    </row>
    <row r="517" spans="1:17" x14ac:dyDescent="0.3">
      <c r="A517" s="12" t="s">
        <v>90</v>
      </c>
      <c r="B517" s="12" t="s">
        <v>167</v>
      </c>
      <c r="C517" s="12" t="s">
        <v>123</v>
      </c>
      <c r="D517" s="12" t="s">
        <v>110</v>
      </c>
      <c r="E517" s="12" t="s">
        <v>7</v>
      </c>
      <c r="F517" s="12">
        <v>0</v>
      </c>
      <c r="G517" s="12">
        <v>654.4</v>
      </c>
      <c r="H517" s="12">
        <v>0</v>
      </c>
      <c r="I517" s="12">
        <v>0</v>
      </c>
      <c r="J517" s="12">
        <v>0</v>
      </c>
      <c r="K517" s="12">
        <v>654.4</v>
      </c>
      <c r="L517" s="12">
        <v>968.2</v>
      </c>
      <c r="M517" s="12">
        <v>0</v>
      </c>
      <c r="N517" s="12">
        <v>0</v>
      </c>
      <c r="O517" s="12">
        <v>0</v>
      </c>
      <c r="P517" s="12">
        <v>968.2</v>
      </c>
      <c r="Q517" s="12">
        <v>1622.6</v>
      </c>
    </row>
    <row r="518" spans="1:17" x14ac:dyDescent="0.3">
      <c r="A518" s="12" t="s">
        <v>90</v>
      </c>
      <c r="B518" s="12" t="s">
        <v>167</v>
      </c>
      <c r="C518" s="12" t="s">
        <v>123</v>
      </c>
      <c r="D518" s="12" t="s">
        <v>110</v>
      </c>
      <c r="E518" s="12" t="s">
        <v>8</v>
      </c>
      <c r="F518" s="12">
        <v>0</v>
      </c>
      <c r="G518" s="12">
        <v>0</v>
      </c>
      <c r="H518" s="12">
        <v>0</v>
      </c>
      <c r="I518" s="12">
        <v>0</v>
      </c>
      <c r="J518" s="12">
        <v>0</v>
      </c>
      <c r="K518" s="12">
        <v>0</v>
      </c>
      <c r="L518" s="12">
        <v>541.23299999999995</v>
      </c>
      <c r="M518" s="12">
        <v>0</v>
      </c>
      <c r="N518" s="12">
        <v>0</v>
      </c>
      <c r="O518" s="12">
        <v>0</v>
      </c>
      <c r="P518" s="12">
        <v>541.23299999999995</v>
      </c>
      <c r="Q518" s="12">
        <v>541.23299999999995</v>
      </c>
    </row>
    <row r="519" spans="1:17" x14ac:dyDescent="0.3">
      <c r="A519" s="12" t="s">
        <v>90</v>
      </c>
      <c r="B519" s="12" t="s">
        <v>167</v>
      </c>
      <c r="C519" s="12" t="s">
        <v>123</v>
      </c>
      <c r="D519" s="12" t="s">
        <v>110</v>
      </c>
      <c r="E519" s="12" t="s">
        <v>9</v>
      </c>
      <c r="F519" s="12">
        <v>0</v>
      </c>
      <c r="G519" s="12">
        <v>338.37</v>
      </c>
      <c r="H519" s="12">
        <v>0</v>
      </c>
      <c r="I519" s="12">
        <v>0</v>
      </c>
      <c r="J519" s="12">
        <v>0</v>
      </c>
      <c r="K519" s="12">
        <v>338.37</v>
      </c>
      <c r="L519" s="12">
        <v>0</v>
      </c>
      <c r="M519" s="12">
        <v>0</v>
      </c>
      <c r="N519" s="12">
        <v>0</v>
      </c>
      <c r="O519" s="12">
        <v>0</v>
      </c>
      <c r="P519" s="12">
        <v>0</v>
      </c>
      <c r="Q519" s="12">
        <v>338.37</v>
      </c>
    </row>
    <row r="520" spans="1:17" x14ac:dyDescent="0.3">
      <c r="A520" s="12" t="s">
        <v>90</v>
      </c>
      <c r="B520" s="12" t="s">
        <v>167</v>
      </c>
      <c r="C520" s="12" t="s">
        <v>123</v>
      </c>
      <c r="D520" s="12" t="s">
        <v>110</v>
      </c>
      <c r="E520" s="12" t="s">
        <v>3</v>
      </c>
      <c r="F520" s="12">
        <v>0</v>
      </c>
      <c r="G520" s="12">
        <v>0</v>
      </c>
      <c r="H520" s="12">
        <v>0</v>
      </c>
      <c r="I520" s="12">
        <v>0</v>
      </c>
      <c r="J520" s="12">
        <v>0</v>
      </c>
      <c r="K520" s="12">
        <v>0</v>
      </c>
      <c r="L520" s="12">
        <v>605.5</v>
      </c>
      <c r="M520" s="12">
        <v>0</v>
      </c>
      <c r="N520" s="12">
        <v>0</v>
      </c>
      <c r="O520" s="12">
        <v>0</v>
      </c>
      <c r="P520" s="12">
        <v>605.5</v>
      </c>
      <c r="Q520" s="12">
        <v>605.5</v>
      </c>
    </row>
    <row r="521" spans="1:17" x14ac:dyDescent="0.3">
      <c r="A521" s="12" t="s">
        <v>90</v>
      </c>
      <c r="B521" s="12" t="s">
        <v>167</v>
      </c>
      <c r="C521" s="12" t="s">
        <v>123</v>
      </c>
      <c r="D521" s="12" t="s">
        <v>110</v>
      </c>
      <c r="E521" s="12" t="s">
        <v>11</v>
      </c>
      <c r="F521" s="12">
        <v>0</v>
      </c>
      <c r="G521" s="12">
        <v>0</v>
      </c>
      <c r="H521" s="12">
        <v>0</v>
      </c>
      <c r="I521" s="12">
        <v>0</v>
      </c>
      <c r="J521" s="12">
        <v>0</v>
      </c>
      <c r="K521" s="12">
        <v>0</v>
      </c>
      <c r="L521" s="12">
        <v>1107.72</v>
      </c>
      <c r="M521" s="12">
        <v>0</v>
      </c>
      <c r="N521" s="12">
        <v>0</v>
      </c>
      <c r="O521" s="12">
        <v>0</v>
      </c>
      <c r="P521" s="12">
        <v>1107.72</v>
      </c>
      <c r="Q521" s="12">
        <v>1107.72</v>
      </c>
    </row>
    <row r="522" spans="1:17" x14ac:dyDescent="0.3">
      <c r="A522" s="12" t="s">
        <v>90</v>
      </c>
      <c r="B522" s="12" t="s">
        <v>167</v>
      </c>
      <c r="C522" s="12" t="s">
        <v>123</v>
      </c>
      <c r="D522" s="12" t="s">
        <v>110</v>
      </c>
      <c r="E522" s="12" t="s">
        <v>13</v>
      </c>
      <c r="F522" s="12">
        <v>0</v>
      </c>
      <c r="G522" s="12">
        <v>0</v>
      </c>
      <c r="H522" s="12">
        <v>-218.78</v>
      </c>
      <c r="I522" s="12">
        <v>0</v>
      </c>
      <c r="J522" s="12">
        <v>0</v>
      </c>
      <c r="K522" s="12">
        <v>-218.78</v>
      </c>
      <c r="L522" s="12">
        <v>16.8</v>
      </c>
      <c r="M522" s="12">
        <v>0</v>
      </c>
      <c r="N522" s="12">
        <v>0</v>
      </c>
      <c r="O522" s="12">
        <v>0</v>
      </c>
      <c r="P522" s="12">
        <v>16.8</v>
      </c>
      <c r="Q522" s="12">
        <v>-201.98</v>
      </c>
    </row>
    <row r="523" spans="1:17" x14ac:dyDescent="0.3">
      <c r="A523" s="12" t="s">
        <v>90</v>
      </c>
      <c r="B523" s="12" t="s">
        <v>167</v>
      </c>
      <c r="C523" s="12" t="s">
        <v>123</v>
      </c>
      <c r="D523" s="12" t="s">
        <v>110</v>
      </c>
      <c r="E523" s="12" t="s">
        <v>16</v>
      </c>
      <c r="F523" s="12">
        <v>0</v>
      </c>
      <c r="G523" s="12">
        <v>0</v>
      </c>
      <c r="H523" s="12">
        <v>-300.8</v>
      </c>
      <c r="I523" s="12">
        <v>0</v>
      </c>
      <c r="J523" s="12">
        <v>0</v>
      </c>
      <c r="K523" s="12">
        <v>-300.8</v>
      </c>
      <c r="L523" s="12">
        <v>0</v>
      </c>
      <c r="M523" s="12">
        <v>0</v>
      </c>
      <c r="N523" s="12">
        <v>0</v>
      </c>
      <c r="O523" s="12">
        <v>0</v>
      </c>
      <c r="P523" s="12">
        <v>0</v>
      </c>
      <c r="Q523" s="12">
        <v>-300.8</v>
      </c>
    </row>
    <row r="524" spans="1:17" x14ac:dyDescent="0.3">
      <c r="A524" s="12" t="s">
        <v>90</v>
      </c>
      <c r="B524" s="12" t="s">
        <v>167</v>
      </c>
      <c r="C524" s="12" t="s">
        <v>123</v>
      </c>
      <c r="D524" s="12" t="s">
        <v>110</v>
      </c>
      <c r="E524" s="12" t="s">
        <v>17</v>
      </c>
      <c r="F524" s="12">
        <v>0</v>
      </c>
      <c r="G524" s="12">
        <v>12.77358491</v>
      </c>
      <c r="H524" s="12">
        <v>-0.53358490999999997</v>
      </c>
      <c r="I524" s="12">
        <v>0</v>
      </c>
      <c r="J524" s="12">
        <v>0</v>
      </c>
      <c r="K524" s="12">
        <v>12.24</v>
      </c>
      <c r="L524" s="12">
        <v>0</v>
      </c>
      <c r="M524" s="12">
        <v>0</v>
      </c>
      <c r="N524" s="12">
        <v>0</v>
      </c>
      <c r="O524" s="12">
        <v>0</v>
      </c>
      <c r="P524" s="12">
        <v>0</v>
      </c>
      <c r="Q524" s="12">
        <v>12.24</v>
      </c>
    </row>
    <row r="525" spans="1:17" x14ac:dyDescent="0.3">
      <c r="A525" s="12" t="s">
        <v>90</v>
      </c>
      <c r="B525" s="12" t="s">
        <v>167</v>
      </c>
      <c r="C525" s="12" t="s">
        <v>123</v>
      </c>
      <c r="D525" s="12" t="s">
        <v>110</v>
      </c>
      <c r="E525" s="12" t="s">
        <v>18</v>
      </c>
      <c r="F525" s="12">
        <v>0</v>
      </c>
      <c r="G525" s="12">
        <v>0</v>
      </c>
      <c r="H525" s="12">
        <v>0</v>
      </c>
      <c r="I525" s="12">
        <v>0</v>
      </c>
      <c r="J525" s="12">
        <v>0</v>
      </c>
      <c r="K525" s="12">
        <v>0</v>
      </c>
      <c r="L525" s="12">
        <v>221.58</v>
      </c>
      <c r="M525" s="12">
        <v>0</v>
      </c>
      <c r="N525" s="12">
        <v>0</v>
      </c>
      <c r="O525" s="12">
        <v>0</v>
      </c>
      <c r="P525" s="12">
        <v>221.58</v>
      </c>
      <c r="Q525" s="12">
        <v>221.58</v>
      </c>
    </row>
    <row r="526" spans="1:17" x14ac:dyDescent="0.3">
      <c r="A526" s="12" t="s">
        <v>90</v>
      </c>
      <c r="B526" s="12" t="s">
        <v>167</v>
      </c>
      <c r="C526" s="12" t="s">
        <v>123</v>
      </c>
      <c r="D526" s="12" t="s">
        <v>110</v>
      </c>
      <c r="E526" s="12" t="s">
        <v>19</v>
      </c>
      <c r="F526" s="12">
        <v>0</v>
      </c>
      <c r="G526" s="12">
        <v>0</v>
      </c>
      <c r="H526" s="12">
        <v>0</v>
      </c>
      <c r="I526" s="12">
        <v>0</v>
      </c>
      <c r="J526" s="12">
        <v>0</v>
      </c>
      <c r="K526" s="12">
        <v>0</v>
      </c>
      <c r="L526" s="12">
        <v>0</v>
      </c>
      <c r="M526" s="12">
        <v>-66.569999999999993</v>
      </c>
      <c r="N526" s="12">
        <v>0</v>
      </c>
      <c r="O526" s="12">
        <v>0</v>
      </c>
      <c r="P526" s="12">
        <v>-66.569999999999993</v>
      </c>
      <c r="Q526" s="12">
        <v>-66.569999999999993</v>
      </c>
    </row>
    <row r="527" spans="1:17" x14ac:dyDescent="0.3">
      <c r="A527" s="12" t="s">
        <v>90</v>
      </c>
      <c r="B527" s="12" t="s">
        <v>167</v>
      </c>
      <c r="C527" s="12" t="s">
        <v>123</v>
      </c>
      <c r="D527" s="12" t="s">
        <v>110</v>
      </c>
      <c r="E527" s="12" t="s">
        <v>20</v>
      </c>
      <c r="F527" s="12">
        <v>0</v>
      </c>
      <c r="G527" s="12">
        <v>0</v>
      </c>
      <c r="H527" s="12">
        <v>0</v>
      </c>
      <c r="I527" s="12">
        <v>0</v>
      </c>
      <c r="J527" s="12">
        <v>0</v>
      </c>
      <c r="K527" s="12">
        <v>0</v>
      </c>
      <c r="L527" s="12">
        <v>456.74</v>
      </c>
      <c r="M527" s="12">
        <v>0</v>
      </c>
      <c r="N527" s="12">
        <v>0</v>
      </c>
      <c r="O527" s="12">
        <v>0</v>
      </c>
      <c r="P527" s="12">
        <v>456.74</v>
      </c>
      <c r="Q527" s="12">
        <v>456.74</v>
      </c>
    </row>
    <row r="528" spans="1:17" x14ac:dyDescent="0.3">
      <c r="A528" s="12" t="s">
        <v>90</v>
      </c>
      <c r="B528" s="12" t="s">
        <v>167</v>
      </c>
      <c r="C528" s="12" t="s">
        <v>123</v>
      </c>
      <c r="D528" s="12" t="s">
        <v>110</v>
      </c>
      <c r="E528" s="12" t="s">
        <v>21</v>
      </c>
      <c r="F528" s="12">
        <v>0</v>
      </c>
      <c r="G528" s="12">
        <v>350.74</v>
      </c>
      <c r="H528" s="12">
        <v>0</v>
      </c>
      <c r="I528" s="12">
        <v>0</v>
      </c>
      <c r="J528" s="12">
        <v>0</v>
      </c>
      <c r="K528" s="12">
        <v>350.74</v>
      </c>
      <c r="L528" s="12">
        <v>0</v>
      </c>
      <c r="M528" s="12">
        <v>0</v>
      </c>
      <c r="N528" s="12">
        <v>0</v>
      </c>
      <c r="O528" s="12">
        <v>0</v>
      </c>
      <c r="P528" s="12">
        <v>0</v>
      </c>
      <c r="Q528" s="12">
        <v>350.74</v>
      </c>
    </row>
    <row r="529" spans="1:17" x14ac:dyDescent="0.3">
      <c r="A529" s="12" t="s">
        <v>90</v>
      </c>
      <c r="B529" s="12" t="s">
        <v>167</v>
      </c>
      <c r="C529" s="12" t="s">
        <v>123</v>
      </c>
      <c r="D529" s="12" t="s">
        <v>110</v>
      </c>
      <c r="E529" s="12" t="s">
        <v>22</v>
      </c>
      <c r="F529" s="12">
        <v>0</v>
      </c>
      <c r="G529" s="12">
        <v>442.43900000000002</v>
      </c>
      <c r="H529" s="12">
        <v>0</v>
      </c>
      <c r="I529" s="12">
        <v>0</v>
      </c>
      <c r="J529" s="12">
        <v>0</v>
      </c>
      <c r="K529" s="12">
        <v>442.43900000000002</v>
      </c>
      <c r="L529" s="12">
        <v>488.62099999999998</v>
      </c>
      <c r="M529" s="12">
        <v>0</v>
      </c>
      <c r="N529" s="12">
        <v>0</v>
      </c>
      <c r="O529" s="12">
        <v>0</v>
      </c>
      <c r="P529" s="12">
        <v>488.62099999999998</v>
      </c>
      <c r="Q529" s="12">
        <v>931.06</v>
      </c>
    </row>
    <row r="530" spans="1:17" x14ac:dyDescent="0.3">
      <c r="A530" s="12" t="s">
        <v>90</v>
      </c>
      <c r="B530" s="12" t="s">
        <v>167</v>
      </c>
      <c r="C530" s="12" t="s">
        <v>123</v>
      </c>
      <c r="D530" s="12" t="s">
        <v>110</v>
      </c>
      <c r="E530" s="12" t="s">
        <v>37</v>
      </c>
      <c r="F530" s="12">
        <v>0</v>
      </c>
      <c r="G530" s="12">
        <v>0</v>
      </c>
      <c r="H530" s="12">
        <v>0</v>
      </c>
      <c r="I530" s="12">
        <v>0</v>
      </c>
      <c r="J530" s="12">
        <v>0</v>
      </c>
      <c r="K530" s="12">
        <v>0</v>
      </c>
      <c r="L530" s="12">
        <v>3.7</v>
      </c>
      <c r="M530" s="12">
        <v>0</v>
      </c>
      <c r="N530" s="12">
        <v>0</v>
      </c>
      <c r="O530" s="12">
        <v>0</v>
      </c>
      <c r="P530" s="12">
        <v>3.7</v>
      </c>
      <c r="Q530" s="12">
        <v>3.7</v>
      </c>
    </row>
    <row r="531" spans="1:17" x14ac:dyDescent="0.3">
      <c r="A531" s="12" t="s">
        <v>90</v>
      </c>
      <c r="B531" s="12" t="s">
        <v>167</v>
      </c>
      <c r="C531" s="12" t="s">
        <v>123</v>
      </c>
      <c r="D531" s="12" t="s">
        <v>110</v>
      </c>
      <c r="E531" s="12" t="s">
        <v>23</v>
      </c>
      <c r="F531" s="12">
        <v>0</v>
      </c>
      <c r="G531" s="12">
        <v>541.32000000000005</v>
      </c>
      <c r="H531" s="12">
        <v>0</v>
      </c>
      <c r="I531" s="12">
        <v>0</v>
      </c>
      <c r="J531" s="12">
        <v>0</v>
      </c>
      <c r="K531" s="12">
        <v>541.32000000000005</v>
      </c>
      <c r="L531" s="12">
        <v>0</v>
      </c>
      <c r="M531" s="12">
        <v>0</v>
      </c>
      <c r="N531" s="12">
        <v>0</v>
      </c>
      <c r="O531" s="12">
        <v>0</v>
      </c>
      <c r="P531" s="12">
        <v>0</v>
      </c>
      <c r="Q531" s="12">
        <v>541.32000000000005</v>
      </c>
    </row>
    <row r="532" spans="1:17" x14ac:dyDescent="0.3">
      <c r="A532" s="12" t="s">
        <v>90</v>
      </c>
      <c r="B532" s="12" t="s">
        <v>167</v>
      </c>
      <c r="C532" s="12" t="s">
        <v>123</v>
      </c>
      <c r="D532" s="12" t="s">
        <v>110</v>
      </c>
      <c r="E532" s="12" t="s">
        <v>24</v>
      </c>
      <c r="F532" s="12">
        <v>0</v>
      </c>
      <c r="G532" s="12">
        <v>242.28749999999999</v>
      </c>
      <c r="H532" s="12">
        <v>0</v>
      </c>
      <c r="I532" s="12">
        <v>0</v>
      </c>
      <c r="J532" s="12">
        <v>0</v>
      </c>
      <c r="K532" s="12">
        <v>242.28749999999999</v>
      </c>
      <c r="L532" s="12">
        <v>533.21249999999998</v>
      </c>
      <c r="M532" s="12">
        <v>0</v>
      </c>
      <c r="N532" s="12">
        <v>0</v>
      </c>
      <c r="O532" s="12">
        <v>0</v>
      </c>
      <c r="P532" s="12">
        <v>533.21249999999998</v>
      </c>
      <c r="Q532" s="12">
        <v>775.5</v>
      </c>
    </row>
    <row r="533" spans="1:17" x14ac:dyDescent="0.3">
      <c r="A533" s="12" t="s">
        <v>90</v>
      </c>
      <c r="B533" s="12" t="s">
        <v>167</v>
      </c>
      <c r="C533" s="12" t="s">
        <v>123</v>
      </c>
      <c r="D533" s="12" t="s">
        <v>110</v>
      </c>
      <c r="E533" s="12" t="s">
        <v>25</v>
      </c>
      <c r="F533" s="12">
        <v>0</v>
      </c>
      <c r="G533" s="12">
        <v>0</v>
      </c>
      <c r="H533" s="12">
        <v>0</v>
      </c>
      <c r="I533" s="12">
        <v>0</v>
      </c>
      <c r="J533" s="12">
        <v>0</v>
      </c>
      <c r="K533" s="12">
        <v>0</v>
      </c>
      <c r="L533" s="12">
        <v>0</v>
      </c>
      <c r="M533" s="12">
        <v>-89.54</v>
      </c>
      <c r="N533" s="12">
        <v>0</v>
      </c>
      <c r="O533" s="12">
        <v>0</v>
      </c>
      <c r="P533" s="12">
        <v>-89.54</v>
      </c>
      <c r="Q533" s="12">
        <v>-89.54</v>
      </c>
    </row>
    <row r="534" spans="1:17" x14ac:dyDescent="0.3">
      <c r="A534" s="12" t="s">
        <v>90</v>
      </c>
      <c r="B534" s="12" t="s">
        <v>167</v>
      </c>
      <c r="C534" s="12" t="s">
        <v>123</v>
      </c>
      <c r="D534" s="12" t="s">
        <v>110</v>
      </c>
      <c r="E534" s="12" t="s">
        <v>26</v>
      </c>
      <c r="F534" s="12">
        <v>0</v>
      </c>
      <c r="G534" s="12">
        <v>108.84222222</v>
      </c>
      <c r="H534" s="12">
        <v>0</v>
      </c>
      <c r="I534" s="12">
        <v>0</v>
      </c>
      <c r="J534" s="12">
        <v>0</v>
      </c>
      <c r="K534" s="12">
        <v>108.84222222</v>
      </c>
      <c r="L534" s="12">
        <v>47.277777999999998</v>
      </c>
      <c r="M534" s="12">
        <v>0</v>
      </c>
      <c r="N534" s="12">
        <v>0</v>
      </c>
      <c r="O534" s="12">
        <v>0</v>
      </c>
      <c r="P534" s="12">
        <v>47.277777999999998</v>
      </c>
      <c r="Q534" s="12">
        <v>156.12000022000001</v>
      </c>
    </row>
    <row r="535" spans="1:17" x14ac:dyDescent="0.3">
      <c r="A535" s="12" t="s">
        <v>90</v>
      </c>
      <c r="B535" s="12" t="s">
        <v>167</v>
      </c>
      <c r="C535" s="12" t="s">
        <v>123</v>
      </c>
      <c r="D535" s="12" t="s">
        <v>110</v>
      </c>
      <c r="E535" s="12" t="s">
        <v>38</v>
      </c>
      <c r="F535" s="12">
        <v>0</v>
      </c>
      <c r="G535" s="12">
        <v>0</v>
      </c>
      <c r="H535" s="12">
        <v>-30.84</v>
      </c>
      <c r="I535" s="12">
        <v>0</v>
      </c>
      <c r="J535" s="12">
        <v>0</v>
      </c>
      <c r="K535" s="12">
        <v>-30.84</v>
      </c>
      <c r="L535" s="12">
        <v>0</v>
      </c>
      <c r="M535" s="12">
        <v>0</v>
      </c>
      <c r="N535" s="12">
        <v>0</v>
      </c>
      <c r="O535" s="12">
        <v>0</v>
      </c>
      <c r="P535" s="12">
        <v>0</v>
      </c>
      <c r="Q535" s="12">
        <v>-30.84</v>
      </c>
    </row>
    <row r="536" spans="1:17" x14ac:dyDescent="0.3">
      <c r="A536" s="12" t="s">
        <v>90</v>
      </c>
      <c r="B536" s="12" t="s">
        <v>167</v>
      </c>
      <c r="C536" s="12" t="s">
        <v>123</v>
      </c>
      <c r="D536" s="12" t="s">
        <v>110</v>
      </c>
      <c r="E536" s="12" t="s">
        <v>27</v>
      </c>
      <c r="F536" s="12">
        <v>0</v>
      </c>
      <c r="G536" s="12">
        <v>1291.18095238</v>
      </c>
      <c r="H536" s="12">
        <v>0</v>
      </c>
      <c r="I536" s="12">
        <v>0</v>
      </c>
      <c r="J536" s="12">
        <v>0</v>
      </c>
      <c r="K536" s="12">
        <v>1291.18095238</v>
      </c>
      <c r="L536" s="12">
        <v>1625.0090479999999</v>
      </c>
      <c r="M536" s="12">
        <v>0</v>
      </c>
      <c r="N536" s="12">
        <v>0</v>
      </c>
      <c r="O536" s="12">
        <v>0</v>
      </c>
      <c r="P536" s="12">
        <v>1625.0090479999999</v>
      </c>
      <c r="Q536" s="12">
        <v>2916.1900003800001</v>
      </c>
    </row>
    <row r="537" spans="1:17" x14ac:dyDescent="0.3">
      <c r="A537" s="12" t="s">
        <v>90</v>
      </c>
      <c r="B537" s="12" t="s">
        <v>167</v>
      </c>
      <c r="C537" s="12" t="s">
        <v>123</v>
      </c>
      <c r="D537" s="12" t="s">
        <v>110</v>
      </c>
      <c r="E537" s="12" t="s">
        <v>28</v>
      </c>
      <c r="F537" s="12">
        <v>0</v>
      </c>
      <c r="G537" s="12">
        <v>0</v>
      </c>
      <c r="H537" s="12">
        <v>0</v>
      </c>
      <c r="I537" s="12">
        <v>0</v>
      </c>
      <c r="J537" s="12">
        <v>0</v>
      </c>
      <c r="K537" s="12">
        <v>0</v>
      </c>
      <c r="L537" s="12">
        <v>2262.5</v>
      </c>
      <c r="M537" s="12">
        <v>0</v>
      </c>
      <c r="N537" s="12">
        <v>0</v>
      </c>
      <c r="O537" s="12">
        <v>0</v>
      </c>
      <c r="P537" s="12">
        <v>2262.5</v>
      </c>
      <c r="Q537" s="12">
        <v>2262.5</v>
      </c>
    </row>
    <row r="538" spans="1:17" x14ac:dyDescent="0.3">
      <c r="A538" s="12" t="s">
        <v>90</v>
      </c>
      <c r="B538" s="12" t="s">
        <v>167</v>
      </c>
      <c r="C538" s="12" t="s">
        <v>123</v>
      </c>
      <c r="D538" s="12" t="s">
        <v>110</v>
      </c>
      <c r="E538" s="12" t="s">
        <v>29</v>
      </c>
      <c r="F538" s="12">
        <v>0</v>
      </c>
      <c r="G538" s="12">
        <v>0</v>
      </c>
      <c r="H538" s="12">
        <v>0</v>
      </c>
      <c r="I538" s="12">
        <v>0</v>
      </c>
      <c r="J538" s="12">
        <v>0</v>
      </c>
      <c r="K538" s="12">
        <v>0</v>
      </c>
      <c r="L538" s="12">
        <v>584.20000000000005</v>
      </c>
      <c r="M538" s="12">
        <v>0</v>
      </c>
      <c r="N538" s="12">
        <v>0</v>
      </c>
      <c r="O538" s="12">
        <v>0</v>
      </c>
      <c r="P538" s="12">
        <v>584.20000000000005</v>
      </c>
      <c r="Q538" s="12">
        <v>584.20000000000005</v>
      </c>
    </row>
    <row r="539" spans="1:17" x14ac:dyDescent="0.3">
      <c r="A539" s="12" t="s">
        <v>90</v>
      </c>
      <c r="B539" s="12" t="s">
        <v>167</v>
      </c>
      <c r="C539" s="12" t="s">
        <v>123</v>
      </c>
      <c r="D539" s="12" t="s">
        <v>110</v>
      </c>
      <c r="E539" s="12" t="s">
        <v>39</v>
      </c>
      <c r="F539" s="12">
        <v>0</v>
      </c>
      <c r="G539" s="12">
        <v>0</v>
      </c>
      <c r="H539" s="12">
        <v>0</v>
      </c>
      <c r="I539" s="12">
        <v>0</v>
      </c>
      <c r="J539" s="12">
        <v>0</v>
      </c>
      <c r="K539" s="12">
        <v>0</v>
      </c>
      <c r="L539" s="12">
        <v>324.3</v>
      </c>
      <c r="M539" s="12">
        <v>0</v>
      </c>
      <c r="N539" s="12">
        <v>0</v>
      </c>
      <c r="O539" s="12">
        <v>0</v>
      </c>
      <c r="P539" s="12">
        <v>324.3</v>
      </c>
      <c r="Q539" s="12">
        <v>324.3</v>
      </c>
    </row>
    <row r="540" spans="1:17" x14ac:dyDescent="0.3">
      <c r="A540" s="12" t="s">
        <v>90</v>
      </c>
      <c r="B540" s="12" t="s">
        <v>167</v>
      </c>
      <c r="C540" s="12" t="s">
        <v>123</v>
      </c>
      <c r="D540" s="12" t="s">
        <v>110</v>
      </c>
      <c r="E540" s="12" t="s">
        <v>30</v>
      </c>
      <c r="F540" s="12">
        <v>0</v>
      </c>
      <c r="G540" s="12">
        <v>0</v>
      </c>
      <c r="H540" s="12">
        <v>0</v>
      </c>
      <c r="I540" s="12">
        <v>0</v>
      </c>
      <c r="J540" s="12">
        <v>0</v>
      </c>
      <c r="K540" s="12">
        <v>0</v>
      </c>
      <c r="L540" s="12">
        <v>357.9</v>
      </c>
      <c r="M540" s="12">
        <v>0</v>
      </c>
      <c r="N540" s="12">
        <v>0</v>
      </c>
      <c r="O540" s="12">
        <v>0</v>
      </c>
      <c r="P540" s="12">
        <v>357.9</v>
      </c>
      <c r="Q540" s="12">
        <v>357.9</v>
      </c>
    </row>
    <row r="541" spans="1:17" x14ac:dyDescent="0.3">
      <c r="A541" s="12" t="s">
        <v>90</v>
      </c>
      <c r="B541" s="12" t="s">
        <v>167</v>
      </c>
      <c r="C541" s="12" t="s">
        <v>123</v>
      </c>
      <c r="D541" s="12" t="s">
        <v>110</v>
      </c>
      <c r="E541" s="12" t="s">
        <v>31</v>
      </c>
      <c r="F541" s="12">
        <v>0</v>
      </c>
      <c r="G541" s="12">
        <v>468.5</v>
      </c>
      <c r="H541" s="12">
        <v>0</v>
      </c>
      <c r="I541" s="12">
        <v>0</v>
      </c>
      <c r="J541" s="12">
        <v>0</v>
      </c>
      <c r="K541" s="12">
        <v>468.5</v>
      </c>
      <c r="L541" s="12">
        <v>102.07</v>
      </c>
      <c r="M541" s="12">
        <v>0</v>
      </c>
      <c r="N541" s="12">
        <v>0</v>
      </c>
      <c r="O541" s="12">
        <v>0</v>
      </c>
      <c r="P541" s="12">
        <v>102.07</v>
      </c>
      <c r="Q541" s="12">
        <v>570.57000000000005</v>
      </c>
    </row>
    <row r="542" spans="1:17" x14ac:dyDescent="0.3">
      <c r="A542" s="12" t="s">
        <v>90</v>
      </c>
      <c r="B542" s="12" t="s">
        <v>167</v>
      </c>
      <c r="C542" s="12" t="s">
        <v>123</v>
      </c>
      <c r="D542" s="12" t="s">
        <v>110</v>
      </c>
      <c r="E542" s="12" t="s">
        <v>32</v>
      </c>
      <c r="F542" s="12">
        <v>0</v>
      </c>
      <c r="G542" s="12">
        <v>1345.05849057</v>
      </c>
      <c r="H542" s="12">
        <v>0</v>
      </c>
      <c r="I542" s="12">
        <v>0</v>
      </c>
      <c r="J542" s="12">
        <v>0</v>
      </c>
      <c r="K542" s="12">
        <v>1345.05849057</v>
      </c>
      <c r="L542" s="12">
        <v>1018.391509</v>
      </c>
      <c r="M542" s="12">
        <v>0</v>
      </c>
      <c r="N542" s="12">
        <v>0</v>
      </c>
      <c r="O542" s="12">
        <v>0</v>
      </c>
      <c r="P542" s="12">
        <v>1018.391509</v>
      </c>
      <c r="Q542" s="12">
        <v>2363.4499995699998</v>
      </c>
    </row>
    <row r="543" spans="1:17" x14ac:dyDescent="0.3">
      <c r="A543" s="12" t="s">
        <v>90</v>
      </c>
      <c r="B543" s="12" t="s">
        <v>167</v>
      </c>
      <c r="C543" s="12" t="s">
        <v>123</v>
      </c>
      <c r="D543" s="12" t="s">
        <v>110</v>
      </c>
      <c r="E543" s="12" t="s">
        <v>33</v>
      </c>
      <c r="F543" s="12">
        <v>0</v>
      </c>
      <c r="G543" s="12">
        <v>344.95</v>
      </c>
      <c r="H543" s="12">
        <v>0</v>
      </c>
      <c r="I543" s="12">
        <v>0</v>
      </c>
      <c r="J543" s="12">
        <v>0</v>
      </c>
      <c r="K543" s="12">
        <v>344.95</v>
      </c>
      <c r="L543" s="12">
        <v>0</v>
      </c>
      <c r="M543" s="12">
        <v>0</v>
      </c>
      <c r="N543" s="12">
        <v>0</v>
      </c>
      <c r="O543" s="12">
        <v>0</v>
      </c>
      <c r="P543" s="12">
        <v>0</v>
      </c>
      <c r="Q543" s="12">
        <v>344.95</v>
      </c>
    </row>
    <row r="544" spans="1:17" x14ac:dyDescent="0.3">
      <c r="A544" s="12" t="s">
        <v>90</v>
      </c>
      <c r="B544" s="12" t="s">
        <v>167</v>
      </c>
      <c r="C544" s="12" t="s">
        <v>123</v>
      </c>
      <c r="D544" s="12" t="s">
        <v>110</v>
      </c>
      <c r="E544" s="12" t="s">
        <v>40</v>
      </c>
      <c r="F544" s="12">
        <v>0</v>
      </c>
      <c r="G544" s="12">
        <v>0</v>
      </c>
      <c r="H544" s="12">
        <v>0</v>
      </c>
      <c r="I544" s="12">
        <v>0</v>
      </c>
      <c r="J544" s="12">
        <v>0</v>
      </c>
      <c r="K544" s="12">
        <v>0</v>
      </c>
      <c r="L544" s="12">
        <v>99.05</v>
      </c>
      <c r="M544" s="12">
        <v>0</v>
      </c>
      <c r="N544" s="12">
        <v>0</v>
      </c>
      <c r="O544" s="12">
        <v>0</v>
      </c>
      <c r="P544" s="12">
        <v>99.05</v>
      </c>
      <c r="Q544" s="12">
        <v>99.05</v>
      </c>
    </row>
    <row r="545" spans="1:17" x14ac:dyDescent="0.3">
      <c r="A545" s="12" t="s">
        <v>90</v>
      </c>
      <c r="B545" s="12" t="s">
        <v>167</v>
      </c>
      <c r="C545" s="12" t="s">
        <v>123</v>
      </c>
      <c r="D545" s="12" t="s">
        <v>110</v>
      </c>
      <c r="E545" s="12" t="s">
        <v>34</v>
      </c>
      <c r="F545" s="12">
        <v>0</v>
      </c>
      <c r="G545" s="12">
        <v>0</v>
      </c>
      <c r="H545" s="12">
        <v>0</v>
      </c>
      <c r="I545" s="12">
        <v>0</v>
      </c>
      <c r="J545" s="12">
        <v>0</v>
      </c>
      <c r="K545" s="12">
        <v>0</v>
      </c>
      <c r="L545" s="12">
        <v>338.91</v>
      </c>
      <c r="M545" s="12">
        <v>0</v>
      </c>
      <c r="N545" s="12">
        <v>0</v>
      </c>
      <c r="O545" s="12">
        <v>0</v>
      </c>
      <c r="P545" s="12">
        <v>338.91</v>
      </c>
      <c r="Q545" s="12">
        <v>338.91</v>
      </c>
    </row>
    <row r="546" spans="1:17" x14ac:dyDescent="0.3">
      <c r="A546" s="12" t="s">
        <v>90</v>
      </c>
      <c r="B546" s="12" t="s">
        <v>167</v>
      </c>
      <c r="C546" s="12" t="s">
        <v>123</v>
      </c>
      <c r="D546" s="12" t="s">
        <v>110</v>
      </c>
      <c r="E546" s="12" t="s">
        <v>41</v>
      </c>
      <c r="F546" s="12">
        <v>0</v>
      </c>
      <c r="G546" s="12">
        <v>0</v>
      </c>
      <c r="H546" s="12">
        <v>0</v>
      </c>
      <c r="I546" s="12">
        <v>0</v>
      </c>
      <c r="J546" s="12">
        <v>0</v>
      </c>
      <c r="K546" s="12">
        <v>0</v>
      </c>
      <c r="L546" s="12">
        <v>327.9</v>
      </c>
      <c r="M546" s="12">
        <v>-11.1</v>
      </c>
      <c r="N546" s="12">
        <v>0</v>
      </c>
      <c r="O546" s="12">
        <v>0</v>
      </c>
      <c r="P546" s="12">
        <v>316.8</v>
      </c>
      <c r="Q546" s="12">
        <v>316.8</v>
      </c>
    </row>
    <row r="547" spans="1:17" x14ac:dyDescent="0.3">
      <c r="A547" s="12" t="s">
        <v>90</v>
      </c>
      <c r="B547" s="12" t="s">
        <v>167</v>
      </c>
      <c r="C547" s="12" t="s">
        <v>123</v>
      </c>
      <c r="D547" s="12" t="s">
        <v>110</v>
      </c>
      <c r="E547" s="12" t="s">
        <v>42</v>
      </c>
      <c r="F547" s="12">
        <v>0</v>
      </c>
      <c r="G547" s="12">
        <v>0</v>
      </c>
      <c r="H547" s="12">
        <v>0</v>
      </c>
      <c r="I547" s="12">
        <v>0</v>
      </c>
      <c r="J547" s="12">
        <v>0</v>
      </c>
      <c r="K547" s="12">
        <v>0</v>
      </c>
      <c r="L547" s="12">
        <v>319.7</v>
      </c>
      <c r="M547" s="12">
        <v>0</v>
      </c>
      <c r="N547" s="12">
        <v>0</v>
      </c>
      <c r="O547" s="12">
        <v>0</v>
      </c>
      <c r="P547" s="12">
        <v>319.7</v>
      </c>
      <c r="Q547" s="12">
        <v>319.7</v>
      </c>
    </row>
    <row r="548" spans="1:17" x14ac:dyDescent="0.3">
      <c r="A548" s="12" t="s">
        <v>90</v>
      </c>
      <c r="B548" s="12" t="s">
        <v>167</v>
      </c>
      <c r="C548" s="12" t="s">
        <v>123</v>
      </c>
      <c r="D548" s="12" t="s">
        <v>110</v>
      </c>
      <c r="E548" s="12" t="s">
        <v>43</v>
      </c>
      <c r="F548" s="12">
        <v>0</v>
      </c>
      <c r="G548" s="12">
        <v>0</v>
      </c>
      <c r="H548" s="12">
        <v>0</v>
      </c>
      <c r="I548" s="12">
        <v>0</v>
      </c>
      <c r="J548" s="12">
        <v>0</v>
      </c>
      <c r="K548" s="12">
        <v>0</v>
      </c>
      <c r="L548" s="12">
        <v>78.7</v>
      </c>
      <c r="M548" s="12">
        <v>0</v>
      </c>
      <c r="N548" s="12">
        <v>0</v>
      </c>
      <c r="O548" s="12">
        <v>0</v>
      </c>
      <c r="P548" s="12">
        <v>78.7</v>
      </c>
      <c r="Q548" s="12">
        <v>78.7</v>
      </c>
    </row>
    <row r="549" spans="1:17" x14ac:dyDescent="0.3">
      <c r="A549" s="12" t="s">
        <v>90</v>
      </c>
      <c r="B549" s="12" t="s">
        <v>167</v>
      </c>
      <c r="C549" s="12" t="s">
        <v>123</v>
      </c>
      <c r="D549" s="12" t="s">
        <v>110</v>
      </c>
      <c r="E549" s="12" t="s">
        <v>44</v>
      </c>
      <c r="F549" s="12">
        <v>0</v>
      </c>
      <c r="G549" s="12">
        <v>0</v>
      </c>
      <c r="H549" s="12">
        <v>0</v>
      </c>
      <c r="I549" s="12">
        <v>0</v>
      </c>
      <c r="J549" s="12">
        <v>0</v>
      </c>
      <c r="K549" s="12">
        <v>0</v>
      </c>
      <c r="L549" s="12">
        <v>0</v>
      </c>
      <c r="M549" s="12">
        <v>-10</v>
      </c>
      <c r="N549" s="12">
        <v>0</v>
      </c>
      <c r="O549" s="12">
        <v>0</v>
      </c>
      <c r="P549" s="12">
        <v>-10</v>
      </c>
      <c r="Q549" s="12">
        <v>-10</v>
      </c>
    </row>
    <row r="550" spans="1:17" x14ac:dyDescent="0.3">
      <c r="A550" s="12" t="s">
        <v>90</v>
      </c>
      <c r="B550" s="12" t="s">
        <v>167</v>
      </c>
      <c r="C550" s="12" t="s">
        <v>123</v>
      </c>
      <c r="D550" s="12" t="s">
        <v>110</v>
      </c>
      <c r="E550" s="12" t="s">
        <v>35</v>
      </c>
      <c r="F550" s="12">
        <v>0</v>
      </c>
      <c r="G550" s="12">
        <v>0</v>
      </c>
      <c r="H550" s="12">
        <v>-39.56</v>
      </c>
      <c r="I550" s="12">
        <v>0</v>
      </c>
      <c r="J550" s="12">
        <v>0</v>
      </c>
      <c r="K550" s="12">
        <v>-39.56</v>
      </c>
      <c r="L550" s="12">
        <v>199.7</v>
      </c>
      <c r="M550" s="12">
        <v>0</v>
      </c>
      <c r="N550" s="12">
        <v>0</v>
      </c>
      <c r="O550" s="12">
        <v>0</v>
      </c>
      <c r="P550" s="12">
        <v>199.7</v>
      </c>
      <c r="Q550" s="12">
        <v>160.13999999999999</v>
      </c>
    </row>
    <row r="551" spans="1:17" x14ac:dyDescent="0.3">
      <c r="A551" s="12" t="s">
        <v>90</v>
      </c>
      <c r="B551" s="12" t="s">
        <v>167</v>
      </c>
      <c r="C551" s="12" t="s">
        <v>123</v>
      </c>
      <c r="D551" s="12" t="s">
        <v>97</v>
      </c>
      <c r="F551" s="12">
        <v>0</v>
      </c>
      <c r="G551" s="12">
        <v>8234.2077178199997</v>
      </c>
      <c r="H551" s="12">
        <v>-922.03358490999995</v>
      </c>
      <c r="I551" s="12">
        <v>0</v>
      </c>
      <c r="J551" s="12">
        <v>0</v>
      </c>
      <c r="K551" s="12">
        <v>7312.1741329099996</v>
      </c>
      <c r="L551" s="12">
        <v>15215.428867000001</v>
      </c>
      <c r="M551" s="12">
        <v>-283.41000000000003</v>
      </c>
      <c r="N551" s="12">
        <v>0</v>
      </c>
      <c r="O551" s="12">
        <v>0</v>
      </c>
      <c r="P551" s="12">
        <v>14932.018867000001</v>
      </c>
      <c r="Q551" s="12">
        <v>22244.192999909999</v>
      </c>
    </row>
    <row r="552" spans="1:17" x14ac:dyDescent="0.3">
      <c r="A552" s="12" t="s">
        <v>90</v>
      </c>
      <c r="B552" s="12" t="s">
        <v>167</v>
      </c>
      <c r="C552" s="12" t="s">
        <v>123</v>
      </c>
      <c r="D552" s="12" t="s">
        <v>112</v>
      </c>
      <c r="E552" s="12" t="s">
        <v>36</v>
      </c>
      <c r="F552" s="12">
        <v>0</v>
      </c>
      <c r="G552" s="12">
        <v>0</v>
      </c>
      <c r="H552" s="12">
        <v>-1284.75</v>
      </c>
      <c r="I552" s="12">
        <v>0</v>
      </c>
      <c r="J552" s="12">
        <v>0</v>
      </c>
      <c r="K552" s="12">
        <v>-1284.75</v>
      </c>
      <c r="L552" s="12">
        <v>0</v>
      </c>
      <c r="M552" s="12">
        <v>-12186.5</v>
      </c>
      <c r="N552" s="12">
        <v>0</v>
      </c>
      <c r="O552" s="12">
        <v>0</v>
      </c>
      <c r="P552" s="12">
        <v>-12186.5</v>
      </c>
      <c r="Q552" s="12">
        <v>-13471.25</v>
      </c>
    </row>
    <row r="553" spans="1:17" x14ac:dyDescent="0.3">
      <c r="A553" s="12" t="s">
        <v>90</v>
      </c>
      <c r="B553" s="12" t="s">
        <v>167</v>
      </c>
      <c r="C553" s="12" t="s">
        <v>123</v>
      </c>
      <c r="D553" s="12" t="s">
        <v>97</v>
      </c>
      <c r="F553" s="12">
        <v>0</v>
      </c>
      <c r="G553" s="12">
        <v>0</v>
      </c>
      <c r="H553" s="12">
        <v>-1284.75</v>
      </c>
      <c r="I553" s="12">
        <v>0</v>
      </c>
      <c r="J553" s="12">
        <v>0</v>
      </c>
      <c r="K553" s="12">
        <v>-1284.75</v>
      </c>
      <c r="L553" s="12">
        <v>0</v>
      </c>
      <c r="M553" s="12">
        <v>-12186.5</v>
      </c>
      <c r="N553" s="12">
        <v>0</v>
      </c>
      <c r="O553" s="12">
        <v>0</v>
      </c>
      <c r="P553" s="12">
        <v>-12186.5</v>
      </c>
      <c r="Q553" s="12">
        <v>-13471.25</v>
      </c>
    </row>
    <row r="554" spans="1:17" x14ac:dyDescent="0.3">
      <c r="A554" s="12" t="s">
        <v>90</v>
      </c>
      <c r="B554" s="12" t="s">
        <v>167</v>
      </c>
      <c r="C554" s="12" t="s">
        <v>123</v>
      </c>
      <c r="D554" s="12" t="s">
        <v>115</v>
      </c>
      <c r="F554" s="12">
        <v>0</v>
      </c>
      <c r="G554" s="12">
        <v>8234.2077178199997</v>
      </c>
      <c r="H554" s="12">
        <v>-2206.7835849100002</v>
      </c>
      <c r="I554" s="12">
        <v>0</v>
      </c>
      <c r="J554" s="12">
        <v>0</v>
      </c>
      <c r="K554" s="12">
        <v>6027.4241329099996</v>
      </c>
      <c r="L554" s="12">
        <v>15215.428867000001</v>
      </c>
      <c r="M554" s="12">
        <v>-12469.91</v>
      </c>
      <c r="N554" s="12">
        <v>0</v>
      </c>
      <c r="O554" s="12">
        <v>0</v>
      </c>
      <c r="P554" s="12">
        <v>2745.5188669999998</v>
      </c>
      <c r="Q554" s="12">
        <v>8772.9429999099993</v>
      </c>
    </row>
    <row r="555" spans="1:17" x14ac:dyDescent="0.3">
      <c r="A555" s="12" t="s">
        <v>90</v>
      </c>
      <c r="B555" s="12" t="s">
        <v>179</v>
      </c>
      <c r="C555" s="12" t="s">
        <v>120</v>
      </c>
      <c r="D555" s="12" t="s">
        <v>180</v>
      </c>
      <c r="E555" s="12" t="s">
        <v>181</v>
      </c>
      <c r="F555" s="12" t="s">
        <v>97</v>
      </c>
      <c r="G555" s="12" t="s">
        <v>182</v>
      </c>
      <c r="H555" s="12" t="s">
        <v>112</v>
      </c>
    </row>
    <row r="556" spans="1:17" x14ac:dyDescent="0.3">
      <c r="A556" s="12" t="s">
        <v>90</v>
      </c>
      <c r="B556" s="12" t="s">
        <v>179</v>
      </c>
      <c r="C556" s="12" t="s">
        <v>123</v>
      </c>
      <c r="D556" s="12" t="s">
        <v>183</v>
      </c>
      <c r="E556" s="12" t="s">
        <v>184</v>
      </c>
      <c r="F556" s="12">
        <v>68923.413</v>
      </c>
      <c r="G556" s="12">
        <v>55955.652999999998</v>
      </c>
      <c r="H556" s="12">
        <v>12967.76</v>
      </c>
    </row>
    <row r="557" spans="1:17" x14ac:dyDescent="0.3">
      <c r="A557" s="12" t="s">
        <v>90</v>
      </c>
      <c r="B557" s="12" t="s">
        <v>179</v>
      </c>
      <c r="C557" s="12" t="s">
        <v>123</v>
      </c>
      <c r="D557" s="12" t="s">
        <v>162</v>
      </c>
      <c r="E557" s="12" t="s">
        <v>184</v>
      </c>
      <c r="F557" s="12">
        <v>-58.3</v>
      </c>
      <c r="G557" s="12">
        <v>-52.3</v>
      </c>
      <c r="H557" s="12">
        <v>-6</v>
      </c>
    </row>
    <row r="558" spans="1:17" x14ac:dyDescent="0.3">
      <c r="A558" s="12" t="s">
        <v>90</v>
      </c>
      <c r="B558" s="12" t="s">
        <v>179</v>
      </c>
      <c r="C558" s="12" t="s">
        <v>123</v>
      </c>
      <c r="D558" s="12" t="s">
        <v>185</v>
      </c>
      <c r="E558" s="12" t="s">
        <v>184</v>
      </c>
      <c r="F558" s="12">
        <v>0</v>
      </c>
      <c r="G558" s="12">
        <v>-6031.59</v>
      </c>
      <c r="H558" s="12">
        <v>6031.59</v>
      </c>
    </row>
    <row r="559" spans="1:17" x14ac:dyDescent="0.3">
      <c r="A559" s="12" t="s">
        <v>90</v>
      </c>
      <c r="B559" s="12" t="s">
        <v>179</v>
      </c>
      <c r="C559" s="12" t="s">
        <v>123</v>
      </c>
      <c r="D559" s="12" t="s">
        <v>157</v>
      </c>
      <c r="E559" s="12" t="s">
        <v>184</v>
      </c>
      <c r="F559" s="12">
        <v>183.26</v>
      </c>
      <c r="G559" s="12">
        <v>183.26</v>
      </c>
      <c r="H559" s="12">
        <v>0</v>
      </c>
    </row>
    <row r="560" spans="1:17" x14ac:dyDescent="0.3">
      <c r="A560" s="12" t="s">
        <v>90</v>
      </c>
      <c r="B560" s="12" t="s">
        <v>179</v>
      </c>
      <c r="C560" s="12" t="s">
        <v>123</v>
      </c>
      <c r="D560" s="12" t="s">
        <v>116</v>
      </c>
      <c r="E560" s="12" t="s">
        <v>184</v>
      </c>
      <c r="F560" s="12">
        <v>291.44</v>
      </c>
      <c r="G560" s="12">
        <v>291.44</v>
      </c>
      <c r="H560" s="12">
        <v>0</v>
      </c>
    </row>
    <row r="561" spans="1:15" x14ac:dyDescent="0.3">
      <c r="A561" s="12" t="s">
        <v>90</v>
      </c>
      <c r="B561" s="12" t="s">
        <v>179</v>
      </c>
      <c r="C561" s="12" t="s">
        <v>123</v>
      </c>
      <c r="D561" s="12" t="s">
        <v>186</v>
      </c>
      <c r="E561" s="12" t="s">
        <v>184</v>
      </c>
      <c r="F561" s="12">
        <v>-8877.5</v>
      </c>
      <c r="G561" s="12">
        <v>0</v>
      </c>
      <c r="H561" s="12">
        <v>-8877.5</v>
      </c>
    </row>
    <row r="562" spans="1:15" x14ac:dyDescent="0.3">
      <c r="A562" s="12" t="s">
        <v>90</v>
      </c>
      <c r="B562" s="12" t="s">
        <v>179</v>
      </c>
      <c r="C562" s="12" t="s">
        <v>123</v>
      </c>
      <c r="D562" s="12" t="s">
        <v>187</v>
      </c>
      <c r="E562" s="12" t="s">
        <v>184</v>
      </c>
      <c r="F562" s="12">
        <v>78462.720000000001</v>
      </c>
      <c r="G562" s="12">
        <v>78462.720000000001</v>
      </c>
      <c r="H562" s="12">
        <v>0</v>
      </c>
    </row>
    <row r="563" spans="1:15" x14ac:dyDescent="0.3">
      <c r="A563" s="12" t="s">
        <v>90</v>
      </c>
      <c r="B563" s="12" t="s">
        <v>179</v>
      </c>
      <c r="C563" s="12" t="s">
        <v>123</v>
      </c>
      <c r="D563" s="12" t="s">
        <v>188</v>
      </c>
      <c r="E563" s="12" t="s">
        <v>184</v>
      </c>
      <c r="F563" s="12">
        <v>-89543.43</v>
      </c>
      <c r="G563" s="12">
        <v>-89543.43</v>
      </c>
      <c r="H563" s="12">
        <v>0</v>
      </c>
    </row>
    <row r="564" spans="1:15" x14ac:dyDescent="0.3">
      <c r="A564" s="12" t="s">
        <v>90</v>
      </c>
      <c r="B564" s="12" t="s">
        <v>179</v>
      </c>
      <c r="C564" s="12" t="s">
        <v>123</v>
      </c>
      <c r="D564" s="12" t="s">
        <v>158</v>
      </c>
      <c r="E564" s="12" t="s">
        <v>184</v>
      </c>
      <c r="F564" s="12">
        <v>13.62</v>
      </c>
      <c r="G564" s="12">
        <v>13.62</v>
      </c>
      <c r="H564" s="12">
        <v>0</v>
      </c>
    </row>
    <row r="565" spans="1:15" x14ac:dyDescent="0.3">
      <c r="A565" s="12" t="s">
        <v>90</v>
      </c>
      <c r="B565" s="12" t="s">
        <v>179</v>
      </c>
      <c r="C565" s="12" t="s">
        <v>123</v>
      </c>
      <c r="D565" s="12" t="s">
        <v>189</v>
      </c>
      <c r="E565" s="12" t="s">
        <v>184</v>
      </c>
      <c r="F565" s="12">
        <v>49395.222999999998</v>
      </c>
      <c r="G565" s="12">
        <v>39279.373</v>
      </c>
      <c r="H565" s="12">
        <v>10115.85</v>
      </c>
    </row>
    <row r="566" spans="1:15" x14ac:dyDescent="0.3">
      <c r="A566" s="12" t="s">
        <v>90</v>
      </c>
      <c r="B566" s="12" t="s">
        <v>179</v>
      </c>
      <c r="C566" s="12" t="s">
        <v>123</v>
      </c>
      <c r="D566" s="12" t="s">
        <v>190</v>
      </c>
      <c r="E566" s="12" t="s">
        <v>184</v>
      </c>
      <c r="F566" s="12">
        <v>48423.222999999998</v>
      </c>
      <c r="G566" s="12">
        <v>37397.373</v>
      </c>
      <c r="H566" s="12">
        <v>11025.85</v>
      </c>
    </row>
    <row r="567" spans="1:15" x14ac:dyDescent="0.3">
      <c r="A567" s="12" t="s">
        <v>90</v>
      </c>
      <c r="B567" s="12" t="s">
        <v>191</v>
      </c>
      <c r="C567" s="12" t="s">
        <v>120</v>
      </c>
      <c r="D567" s="12" t="s">
        <v>192</v>
      </c>
      <c r="E567" s="12" t="s">
        <v>100</v>
      </c>
      <c r="F567" s="12" t="s">
        <v>181</v>
      </c>
      <c r="G567" s="12" t="s">
        <v>0</v>
      </c>
      <c r="H567" s="12" t="s">
        <v>193</v>
      </c>
      <c r="I567" s="12" t="s">
        <v>194</v>
      </c>
      <c r="J567" s="12" t="s">
        <v>195</v>
      </c>
      <c r="K567" s="12" t="s">
        <v>196</v>
      </c>
      <c r="L567" s="12" t="s">
        <v>197</v>
      </c>
      <c r="M567" s="12" t="s">
        <v>198</v>
      </c>
      <c r="N567" s="12" t="s">
        <v>199</v>
      </c>
      <c r="O567" s="12" t="s">
        <v>165</v>
      </c>
    </row>
    <row r="568" spans="1:15" x14ac:dyDescent="0.3">
      <c r="A568" s="12" t="s">
        <v>90</v>
      </c>
      <c r="B568" s="12" t="s">
        <v>191</v>
      </c>
      <c r="C568" s="12" t="s">
        <v>123</v>
      </c>
      <c r="D568" s="12" t="s">
        <v>200</v>
      </c>
      <c r="E568" s="12" t="s">
        <v>110</v>
      </c>
      <c r="F568" s="12" t="s">
        <v>114</v>
      </c>
      <c r="G568" s="12" t="s">
        <v>2</v>
      </c>
      <c r="H568" s="12">
        <v>36</v>
      </c>
      <c r="I568" s="12">
        <v>1</v>
      </c>
      <c r="J568" s="12">
        <v>183.7</v>
      </c>
      <c r="K568" s="12">
        <v>6613.2</v>
      </c>
      <c r="L568" s="12">
        <v>180.75</v>
      </c>
      <c r="M568" s="12">
        <v>6507</v>
      </c>
      <c r="N568" s="12">
        <v>-106.2</v>
      </c>
    </row>
    <row r="569" spans="1:15" x14ac:dyDescent="0.3">
      <c r="A569" s="12" t="s">
        <v>90</v>
      </c>
      <c r="B569" s="12" t="s">
        <v>191</v>
      </c>
      <c r="C569" s="12" t="s">
        <v>123</v>
      </c>
      <c r="D569" s="12" t="s">
        <v>200</v>
      </c>
      <c r="E569" s="12" t="s">
        <v>110</v>
      </c>
      <c r="F569" s="12" t="s">
        <v>114</v>
      </c>
      <c r="G569" s="12" t="s">
        <v>5</v>
      </c>
      <c r="H569" s="12">
        <v>54</v>
      </c>
      <c r="I569" s="12">
        <v>1</v>
      </c>
      <c r="J569" s="12">
        <v>145.26249999999999</v>
      </c>
      <c r="K569" s="12">
        <v>7844.1750000000002</v>
      </c>
      <c r="L569" s="12">
        <v>176.76</v>
      </c>
      <c r="M569" s="12">
        <v>9545.0400000000009</v>
      </c>
      <c r="N569" s="12">
        <v>1700.865</v>
      </c>
    </row>
    <row r="570" spans="1:15" x14ac:dyDescent="0.3">
      <c r="A570" s="12" t="s">
        <v>90</v>
      </c>
      <c r="B570" s="12" t="s">
        <v>191</v>
      </c>
      <c r="C570" s="12" t="s">
        <v>123</v>
      </c>
      <c r="D570" s="12" t="s">
        <v>200</v>
      </c>
      <c r="E570" s="12" t="s">
        <v>110</v>
      </c>
      <c r="F570" s="12" t="s">
        <v>114</v>
      </c>
      <c r="G570" s="12" t="s">
        <v>6</v>
      </c>
      <c r="H570" s="12">
        <v>21</v>
      </c>
      <c r="I570" s="12">
        <v>1</v>
      </c>
      <c r="J570" s="12">
        <v>235.366236571</v>
      </c>
      <c r="K570" s="12">
        <v>4942.6909679999999</v>
      </c>
      <c r="L570" s="12">
        <v>277.54000000000002</v>
      </c>
      <c r="M570" s="12">
        <v>5828.34</v>
      </c>
      <c r="N570" s="12">
        <v>885.64903200000003</v>
      </c>
    </row>
    <row r="571" spans="1:15" x14ac:dyDescent="0.3">
      <c r="A571" s="12" t="s">
        <v>90</v>
      </c>
      <c r="B571" s="12" t="s">
        <v>191</v>
      </c>
      <c r="C571" s="12" t="s">
        <v>123</v>
      </c>
      <c r="D571" s="12" t="s">
        <v>200</v>
      </c>
      <c r="E571" s="12" t="s">
        <v>110</v>
      </c>
      <c r="F571" s="12" t="s">
        <v>114</v>
      </c>
      <c r="G571" s="12" t="s">
        <v>7</v>
      </c>
      <c r="H571" s="12">
        <v>4</v>
      </c>
      <c r="I571" s="12">
        <v>1</v>
      </c>
      <c r="J571" s="12">
        <v>1058.44</v>
      </c>
      <c r="K571" s="12">
        <v>4233.76</v>
      </c>
      <c r="L571" s="12">
        <v>1300.49</v>
      </c>
      <c r="M571" s="12">
        <v>5201.96</v>
      </c>
      <c r="N571" s="12">
        <v>968.2</v>
      </c>
    </row>
    <row r="572" spans="1:15" x14ac:dyDescent="0.3">
      <c r="A572" s="12" t="s">
        <v>90</v>
      </c>
      <c r="B572" s="12" t="s">
        <v>191</v>
      </c>
      <c r="C572" s="12" t="s">
        <v>123</v>
      </c>
      <c r="D572" s="12" t="s">
        <v>200</v>
      </c>
      <c r="E572" s="12" t="s">
        <v>110</v>
      </c>
      <c r="F572" s="12" t="s">
        <v>114</v>
      </c>
      <c r="G572" s="12" t="s">
        <v>8</v>
      </c>
      <c r="H572" s="12">
        <v>231</v>
      </c>
      <c r="I572" s="12">
        <v>1</v>
      </c>
      <c r="J572" s="12">
        <v>32.177</v>
      </c>
      <c r="K572" s="12">
        <v>7432.8869999999997</v>
      </c>
      <c r="L572" s="12">
        <v>34.520000000000003</v>
      </c>
      <c r="M572" s="12">
        <v>7974.12</v>
      </c>
      <c r="N572" s="12">
        <v>541.23299999999995</v>
      </c>
    </row>
    <row r="573" spans="1:15" x14ac:dyDescent="0.3">
      <c r="A573" s="12" t="s">
        <v>90</v>
      </c>
      <c r="B573" s="12" t="s">
        <v>191</v>
      </c>
      <c r="C573" s="12" t="s">
        <v>123</v>
      </c>
      <c r="D573" s="12" t="s">
        <v>200</v>
      </c>
      <c r="E573" s="12" t="s">
        <v>110</v>
      </c>
      <c r="F573" s="12" t="s">
        <v>114</v>
      </c>
      <c r="G573" s="12" t="s">
        <v>3</v>
      </c>
      <c r="H573" s="12">
        <v>148</v>
      </c>
      <c r="I573" s="12">
        <v>1</v>
      </c>
      <c r="J573" s="12">
        <v>51.398783784000003</v>
      </c>
      <c r="K573" s="12">
        <v>7607.02</v>
      </c>
      <c r="L573" s="12">
        <v>55.49</v>
      </c>
      <c r="M573" s="12">
        <v>8212.52</v>
      </c>
      <c r="N573" s="12">
        <v>605.5</v>
      </c>
    </row>
    <row r="574" spans="1:15" x14ac:dyDescent="0.3">
      <c r="A574" s="12" t="s">
        <v>90</v>
      </c>
      <c r="B574" s="12" t="s">
        <v>191</v>
      </c>
      <c r="C574" s="12" t="s">
        <v>123</v>
      </c>
      <c r="D574" s="12" t="s">
        <v>200</v>
      </c>
      <c r="E574" s="12" t="s">
        <v>110</v>
      </c>
      <c r="F574" s="12" t="s">
        <v>114</v>
      </c>
      <c r="G574" s="12" t="s">
        <v>11</v>
      </c>
      <c r="H574" s="12">
        <v>11</v>
      </c>
      <c r="I574" s="12">
        <v>1</v>
      </c>
      <c r="J574" s="12">
        <v>643.18818181799998</v>
      </c>
      <c r="K574" s="12">
        <v>7075.07</v>
      </c>
      <c r="L574" s="12">
        <v>743.89</v>
      </c>
      <c r="M574" s="12">
        <v>8182.79</v>
      </c>
      <c r="N574" s="12">
        <v>1107.72</v>
      </c>
    </row>
    <row r="575" spans="1:15" x14ac:dyDescent="0.3">
      <c r="A575" s="12" t="s">
        <v>90</v>
      </c>
      <c r="B575" s="12" t="s">
        <v>191</v>
      </c>
      <c r="C575" s="12" t="s">
        <v>123</v>
      </c>
      <c r="D575" s="12" t="s">
        <v>200</v>
      </c>
      <c r="E575" s="12" t="s">
        <v>110</v>
      </c>
      <c r="F575" s="12" t="s">
        <v>114</v>
      </c>
      <c r="G575" s="12" t="s">
        <v>13</v>
      </c>
      <c r="H575" s="12">
        <v>10</v>
      </c>
      <c r="I575" s="12">
        <v>1</v>
      </c>
      <c r="J575" s="12">
        <v>363.37</v>
      </c>
      <c r="K575" s="12">
        <v>3633.7</v>
      </c>
      <c r="L575" s="12">
        <v>365.05</v>
      </c>
      <c r="M575" s="12">
        <v>3650.5</v>
      </c>
      <c r="N575" s="12">
        <v>16.8</v>
      </c>
    </row>
    <row r="576" spans="1:15" x14ac:dyDescent="0.3">
      <c r="A576" s="12" t="s">
        <v>90</v>
      </c>
      <c r="B576" s="12" t="s">
        <v>191</v>
      </c>
      <c r="C576" s="12" t="s">
        <v>123</v>
      </c>
      <c r="D576" s="12" t="s">
        <v>200</v>
      </c>
      <c r="E576" s="12" t="s">
        <v>110</v>
      </c>
      <c r="F576" s="12" t="s">
        <v>114</v>
      </c>
      <c r="G576" s="12" t="s">
        <v>18</v>
      </c>
      <c r="H576" s="12">
        <v>14</v>
      </c>
      <c r="I576" s="12">
        <v>1</v>
      </c>
      <c r="J576" s="12">
        <v>257.42285714299999</v>
      </c>
      <c r="K576" s="12">
        <v>3603.92</v>
      </c>
      <c r="L576" s="12">
        <v>273.25</v>
      </c>
      <c r="M576" s="12">
        <v>3825.5</v>
      </c>
      <c r="N576" s="12">
        <v>221.58</v>
      </c>
    </row>
    <row r="577" spans="1:14" x14ac:dyDescent="0.3">
      <c r="A577" s="12" t="s">
        <v>90</v>
      </c>
      <c r="B577" s="12" t="s">
        <v>191</v>
      </c>
      <c r="C577" s="12" t="s">
        <v>123</v>
      </c>
      <c r="D577" s="12" t="s">
        <v>200</v>
      </c>
      <c r="E577" s="12" t="s">
        <v>110</v>
      </c>
      <c r="F577" s="12" t="s">
        <v>114</v>
      </c>
      <c r="G577" s="12" t="s">
        <v>19</v>
      </c>
      <c r="H577" s="12">
        <v>107</v>
      </c>
      <c r="I577" s="12">
        <v>1</v>
      </c>
      <c r="J577" s="12">
        <v>139.08214953300001</v>
      </c>
      <c r="K577" s="12">
        <v>14881.79</v>
      </c>
      <c r="L577" s="12">
        <v>138.46</v>
      </c>
      <c r="M577" s="12">
        <v>14815.22</v>
      </c>
      <c r="N577" s="12">
        <v>-66.569999999999993</v>
      </c>
    </row>
    <row r="578" spans="1:14" x14ac:dyDescent="0.3">
      <c r="A578" s="12" t="s">
        <v>90</v>
      </c>
      <c r="B578" s="12" t="s">
        <v>191</v>
      </c>
      <c r="C578" s="12" t="s">
        <v>123</v>
      </c>
      <c r="D578" s="12" t="s">
        <v>200</v>
      </c>
      <c r="E578" s="12" t="s">
        <v>110</v>
      </c>
      <c r="F578" s="12" t="s">
        <v>114</v>
      </c>
      <c r="G578" s="12" t="s">
        <v>20</v>
      </c>
      <c r="H578" s="12">
        <v>11</v>
      </c>
      <c r="I578" s="12">
        <v>1</v>
      </c>
      <c r="J578" s="12">
        <v>339.08818181800001</v>
      </c>
      <c r="K578" s="12">
        <v>3729.97</v>
      </c>
      <c r="L578" s="12">
        <v>380.61</v>
      </c>
      <c r="M578" s="12">
        <v>4186.71</v>
      </c>
      <c r="N578" s="12">
        <v>456.74</v>
      </c>
    </row>
    <row r="579" spans="1:14" x14ac:dyDescent="0.3">
      <c r="A579" s="12" t="s">
        <v>90</v>
      </c>
      <c r="B579" s="12" t="s">
        <v>191</v>
      </c>
      <c r="C579" s="12" t="s">
        <v>123</v>
      </c>
      <c r="D579" s="12" t="s">
        <v>200</v>
      </c>
      <c r="E579" s="12" t="s">
        <v>110</v>
      </c>
      <c r="F579" s="12" t="s">
        <v>114</v>
      </c>
      <c r="G579" s="12" t="s">
        <v>22</v>
      </c>
      <c r="H579" s="12">
        <v>83</v>
      </c>
      <c r="I579" s="12">
        <v>1</v>
      </c>
      <c r="J579" s="12">
        <v>60.662999999999997</v>
      </c>
      <c r="K579" s="12">
        <v>5035.0290000000005</v>
      </c>
      <c r="L579" s="12">
        <v>66.55</v>
      </c>
      <c r="M579" s="12">
        <v>5523.65</v>
      </c>
      <c r="N579" s="12">
        <v>488.62099999999998</v>
      </c>
    </row>
    <row r="580" spans="1:14" x14ac:dyDescent="0.3">
      <c r="A580" s="12" t="s">
        <v>90</v>
      </c>
      <c r="B580" s="12" t="s">
        <v>191</v>
      </c>
      <c r="C580" s="12" t="s">
        <v>123</v>
      </c>
      <c r="D580" s="12" t="s">
        <v>200</v>
      </c>
      <c r="E580" s="12" t="s">
        <v>110</v>
      </c>
      <c r="F580" s="12" t="s">
        <v>114</v>
      </c>
      <c r="G580" s="12" t="s">
        <v>37</v>
      </c>
      <c r="H580" s="12">
        <v>20</v>
      </c>
      <c r="I580" s="12">
        <v>1</v>
      </c>
      <c r="J580" s="12">
        <v>184.845</v>
      </c>
      <c r="K580" s="12">
        <v>3696.9</v>
      </c>
      <c r="L580" s="12">
        <v>185.03</v>
      </c>
      <c r="M580" s="12">
        <v>3700.6</v>
      </c>
      <c r="N580" s="12">
        <v>3.7</v>
      </c>
    </row>
    <row r="581" spans="1:14" x14ac:dyDescent="0.3">
      <c r="A581" s="12" t="s">
        <v>90</v>
      </c>
      <c r="B581" s="12" t="s">
        <v>191</v>
      </c>
      <c r="C581" s="12" t="s">
        <v>123</v>
      </c>
      <c r="D581" s="12" t="s">
        <v>200</v>
      </c>
      <c r="E581" s="12" t="s">
        <v>110</v>
      </c>
      <c r="F581" s="12" t="s">
        <v>114</v>
      </c>
      <c r="G581" s="12" t="s">
        <v>24</v>
      </c>
      <c r="H581" s="12">
        <v>50</v>
      </c>
      <c r="I581" s="12">
        <v>1</v>
      </c>
      <c r="J581" s="12">
        <v>80.665750000000003</v>
      </c>
      <c r="K581" s="12">
        <v>4033.2874999999999</v>
      </c>
      <c r="L581" s="12">
        <v>91.33</v>
      </c>
      <c r="M581" s="12">
        <v>4566.5</v>
      </c>
      <c r="N581" s="12">
        <v>533.21249999999998</v>
      </c>
    </row>
    <row r="582" spans="1:14" x14ac:dyDescent="0.3">
      <c r="A582" s="12" t="s">
        <v>90</v>
      </c>
      <c r="B582" s="12" t="s">
        <v>191</v>
      </c>
      <c r="C582" s="12" t="s">
        <v>123</v>
      </c>
      <c r="D582" s="12" t="s">
        <v>200</v>
      </c>
      <c r="E582" s="12" t="s">
        <v>110</v>
      </c>
      <c r="F582" s="12" t="s">
        <v>114</v>
      </c>
      <c r="G582" s="12" t="s">
        <v>25</v>
      </c>
      <c r="H582" s="12">
        <v>8</v>
      </c>
      <c r="I582" s="12">
        <v>1</v>
      </c>
      <c r="J582" s="12">
        <v>478.28250000000003</v>
      </c>
      <c r="K582" s="12">
        <v>3826.26</v>
      </c>
      <c r="L582" s="12">
        <v>467.09</v>
      </c>
      <c r="M582" s="12">
        <v>3736.72</v>
      </c>
      <c r="N582" s="12">
        <v>-89.54</v>
      </c>
    </row>
    <row r="583" spans="1:14" x14ac:dyDescent="0.3">
      <c r="A583" s="12" t="s">
        <v>90</v>
      </c>
      <c r="B583" s="12" t="s">
        <v>191</v>
      </c>
      <c r="C583" s="12" t="s">
        <v>123</v>
      </c>
      <c r="D583" s="12" t="s">
        <v>200</v>
      </c>
      <c r="E583" s="12" t="s">
        <v>110</v>
      </c>
      <c r="F583" s="12" t="s">
        <v>114</v>
      </c>
      <c r="G583" s="12" t="s">
        <v>26</v>
      </c>
      <c r="H583" s="12">
        <v>10</v>
      </c>
      <c r="I583" s="12">
        <v>1</v>
      </c>
      <c r="J583" s="12">
        <v>374.6922222</v>
      </c>
      <c r="K583" s="12">
        <v>3746.9222220000001</v>
      </c>
      <c r="L583" s="12">
        <v>379.42</v>
      </c>
      <c r="M583" s="12">
        <v>3794.2</v>
      </c>
      <c r="N583" s="12">
        <v>47.277777999999998</v>
      </c>
    </row>
    <row r="584" spans="1:14" x14ac:dyDescent="0.3">
      <c r="A584" s="12" t="s">
        <v>90</v>
      </c>
      <c r="B584" s="12" t="s">
        <v>191</v>
      </c>
      <c r="C584" s="12" t="s">
        <v>123</v>
      </c>
      <c r="D584" s="12" t="s">
        <v>200</v>
      </c>
      <c r="E584" s="12" t="s">
        <v>110</v>
      </c>
      <c r="F584" s="12" t="s">
        <v>114</v>
      </c>
      <c r="G584" s="12" t="s">
        <v>27</v>
      </c>
      <c r="H584" s="12">
        <v>11</v>
      </c>
      <c r="I584" s="12">
        <v>1</v>
      </c>
      <c r="J584" s="12">
        <v>342.40190472699999</v>
      </c>
      <c r="K584" s="12">
        <v>3766.4209519999999</v>
      </c>
      <c r="L584" s="12">
        <v>490.13</v>
      </c>
      <c r="M584" s="12">
        <v>5391.43</v>
      </c>
      <c r="N584" s="12">
        <v>1625.0090479999999</v>
      </c>
    </row>
    <row r="585" spans="1:14" x14ac:dyDescent="0.3">
      <c r="A585" s="12" t="s">
        <v>90</v>
      </c>
      <c r="B585" s="12" t="s">
        <v>191</v>
      </c>
      <c r="C585" s="12" t="s">
        <v>123</v>
      </c>
      <c r="D585" s="12" t="s">
        <v>200</v>
      </c>
      <c r="E585" s="12" t="s">
        <v>110</v>
      </c>
      <c r="F585" s="12" t="s">
        <v>114</v>
      </c>
      <c r="G585" s="12" t="s">
        <v>28</v>
      </c>
      <c r="H585" s="12">
        <v>49</v>
      </c>
      <c r="I585" s="12">
        <v>1</v>
      </c>
      <c r="J585" s="12">
        <v>367.46653061199999</v>
      </c>
      <c r="K585" s="12">
        <v>18005.86</v>
      </c>
      <c r="L585" s="12">
        <v>413.64</v>
      </c>
      <c r="M585" s="12">
        <v>20268.36</v>
      </c>
      <c r="N585" s="12">
        <v>2262.5</v>
      </c>
    </row>
    <row r="586" spans="1:14" x14ac:dyDescent="0.3">
      <c r="A586" s="12" t="s">
        <v>90</v>
      </c>
      <c r="B586" s="12" t="s">
        <v>191</v>
      </c>
      <c r="C586" s="12" t="s">
        <v>123</v>
      </c>
      <c r="D586" s="12" t="s">
        <v>200</v>
      </c>
      <c r="E586" s="12" t="s">
        <v>110</v>
      </c>
      <c r="F586" s="12" t="s">
        <v>114</v>
      </c>
      <c r="G586" s="12" t="s">
        <v>29</v>
      </c>
      <c r="H586" s="12">
        <v>18</v>
      </c>
      <c r="I586" s="12">
        <v>1</v>
      </c>
      <c r="J586" s="12">
        <v>278.09444444399998</v>
      </c>
      <c r="K586" s="12">
        <v>5005.7</v>
      </c>
      <c r="L586" s="12">
        <v>310.55</v>
      </c>
      <c r="M586" s="12">
        <v>5589.9</v>
      </c>
      <c r="N586" s="12">
        <v>584.20000000000005</v>
      </c>
    </row>
    <row r="587" spans="1:14" x14ac:dyDescent="0.3">
      <c r="A587" s="12" t="s">
        <v>90</v>
      </c>
      <c r="B587" s="12" t="s">
        <v>191</v>
      </c>
      <c r="C587" s="12" t="s">
        <v>123</v>
      </c>
      <c r="D587" s="12" t="s">
        <v>200</v>
      </c>
      <c r="E587" s="12" t="s">
        <v>110</v>
      </c>
      <c r="F587" s="12" t="s">
        <v>114</v>
      </c>
      <c r="G587" s="12" t="s">
        <v>39</v>
      </c>
      <c r="H587" s="12">
        <v>20</v>
      </c>
      <c r="I587" s="12">
        <v>1</v>
      </c>
      <c r="J587" s="12">
        <v>141.57499999999999</v>
      </c>
      <c r="K587" s="12">
        <v>2831.5</v>
      </c>
      <c r="L587" s="12">
        <v>157.79</v>
      </c>
      <c r="M587" s="12">
        <v>3155.8</v>
      </c>
      <c r="N587" s="12">
        <v>324.3</v>
      </c>
    </row>
    <row r="588" spans="1:14" x14ac:dyDescent="0.3">
      <c r="A588" s="12" t="s">
        <v>90</v>
      </c>
      <c r="B588" s="12" t="s">
        <v>191</v>
      </c>
      <c r="C588" s="12" t="s">
        <v>123</v>
      </c>
      <c r="D588" s="12" t="s">
        <v>200</v>
      </c>
      <c r="E588" s="12" t="s">
        <v>110</v>
      </c>
      <c r="F588" s="12" t="s">
        <v>114</v>
      </c>
      <c r="G588" s="12" t="s">
        <v>30</v>
      </c>
      <c r="H588" s="12">
        <v>26</v>
      </c>
      <c r="I588" s="12">
        <v>1</v>
      </c>
      <c r="J588" s="12">
        <v>135.19461538499999</v>
      </c>
      <c r="K588" s="12">
        <v>3515.06</v>
      </c>
      <c r="L588" s="12">
        <v>148.96</v>
      </c>
      <c r="M588" s="12">
        <v>3872.96</v>
      </c>
      <c r="N588" s="12">
        <v>357.9</v>
      </c>
    </row>
    <row r="589" spans="1:14" x14ac:dyDescent="0.3">
      <c r="A589" s="12" t="s">
        <v>90</v>
      </c>
      <c r="B589" s="12" t="s">
        <v>191</v>
      </c>
      <c r="C589" s="12" t="s">
        <v>123</v>
      </c>
      <c r="D589" s="12" t="s">
        <v>200</v>
      </c>
      <c r="E589" s="12" t="s">
        <v>110</v>
      </c>
      <c r="F589" s="12" t="s">
        <v>114</v>
      </c>
      <c r="G589" s="12" t="s">
        <v>31</v>
      </c>
      <c r="H589" s="12">
        <v>18</v>
      </c>
      <c r="I589" s="12">
        <v>1</v>
      </c>
      <c r="J589" s="12">
        <v>182.60944444399999</v>
      </c>
      <c r="K589" s="12">
        <v>3286.97</v>
      </c>
      <c r="L589" s="12">
        <v>188.28</v>
      </c>
      <c r="M589" s="12">
        <v>3389.04</v>
      </c>
      <c r="N589" s="12">
        <v>102.07</v>
      </c>
    </row>
    <row r="590" spans="1:14" x14ac:dyDescent="0.3">
      <c r="A590" s="12" t="s">
        <v>90</v>
      </c>
      <c r="B590" s="12" t="s">
        <v>191</v>
      </c>
      <c r="C590" s="12" t="s">
        <v>123</v>
      </c>
      <c r="D590" s="12" t="s">
        <v>200</v>
      </c>
      <c r="E590" s="12" t="s">
        <v>110</v>
      </c>
      <c r="F590" s="12" t="s">
        <v>114</v>
      </c>
      <c r="G590" s="12" t="s">
        <v>32</v>
      </c>
      <c r="H590" s="12">
        <v>70</v>
      </c>
      <c r="I590" s="12">
        <v>1</v>
      </c>
      <c r="J590" s="12">
        <v>64.951549870999997</v>
      </c>
      <c r="K590" s="12">
        <v>4546.608491</v>
      </c>
      <c r="L590" s="12">
        <v>79.5</v>
      </c>
      <c r="M590" s="12">
        <v>5565</v>
      </c>
      <c r="N590" s="12">
        <v>1018.391509</v>
      </c>
    </row>
    <row r="591" spans="1:14" x14ac:dyDescent="0.3">
      <c r="A591" s="12" t="s">
        <v>90</v>
      </c>
      <c r="B591" s="12" t="s">
        <v>191</v>
      </c>
      <c r="C591" s="12" t="s">
        <v>123</v>
      </c>
      <c r="D591" s="12" t="s">
        <v>200</v>
      </c>
      <c r="E591" s="12" t="s">
        <v>110</v>
      </c>
      <c r="F591" s="12" t="s">
        <v>114</v>
      </c>
      <c r="G591" s="12" t="s">
        <v>40</v>
      </c>
      <c r="H591" s="12">
        <v>15</v>
      </c>
      <c r="I591" s="12">
        <v>1</v>
      </c>
      <c r="J591" s="12">
        <v>247.086666667</v>
      </c>
      <c r="K591" s="12">
        <v>3706.3</v>
      </c>
      <c r="L591" s="12">
        <v>253.69</v>
      </c>
      <c r="M591" s="12">
        <v>3805.35</v>
      </c>
      <c r="N591" s="12">
        <v>99.05</v>
      </c>
    </row>
    <row r="592" spans="1:14" x14ac:dyDescent="0.3">
      <c r="A592" s="12" t="s">
        <v>90</v>
      </c>
      <c r="B592" s="12" t="s">
        <v>191</v>
      </c>
      <c r="C592" s="12" t="s">
        <v>123</v>
      </c>
      <c r="D592" s="12" t="s">
        <v>200</v>
      </c>
      <c r="E592" s="12" t="s">
        <v>110</v>
      </c>
      <c r="F592" s="12" t="s">
        <v>114</v>
      </c>
      <c r="G592" s="12" t="s">
        <v>34</v>
      </c>
      <c r="H592" s="12">
        <v>13</v>
      </c>
      <c r="I592" s="12">
        <v>1</v>
      </c>
      <c r="J592" s="12">
        <v>268.58999999999997</v>
      </c>
      <c r="K592" s="12">
        <v>3491.67</v>
      </c>
      <c r="L592" s="12">
        <v>294.66000000000003</v>
      </c>
      <c r="M592" s="12">
        <v>3830.58</v>
      </c>
      <c r="N592" s="12">
        <v>338.91</v>
      </c>
    </row>
    <row r="593" spans="1:17" x14ac:dyDescent="0.3">
      <c r="A593" s="12" t="s">
        <v>90</v>
      </c>
      <c r="B593" s="12" t="s">
        <v>191</v>
      </c>
      <c r="C593" s="12" t="s">
        <v>123</v>
      </c>
      <c r="D593" s="12" t="s">
        <v>200</v>
      </c>
      <c r="E593" s="12" t="s">
        <v>110</v>
      </c>
      <c r="F593" s="12" t="s">
        <v>114</v>
      </c>
      <c r="G593" s="12" t="s">
        <v>41</v>
      </c>
      <c r="H593" s="12">
        <v>600</v>
      </c>
      <c r="I593" s="12">
        <v>1</v>
      </c>
      <c r="J593" s="12">
        <v>40.752000000000002</v>
      </c>
      <c r="K593" s="12">
        <v>24451.200000000001</v>
      </c>
      <c r="L593" s="12">
        <v>41.28</v>
      </c>
      <c r="M593" s="12">
        <v>24768</v>
      </c>
      <c r="N593" s="12">
        <v>316.8</v>
      </c>
      <c r="O593" s="12" t="s">
        <v>555</v>
      </c>
    </row>
    <row r="594" spans="1:17" x14ac:dyDescent="0.3">
      <c r="A594" s="12" t="s">
        <v>90</v>
      </c>
      <c r="B594" s="12" t="s">
        <v>191</v>
      </c>
      <c r="C594" s="12" t="s">
        <v>123</v>
      </c>
      <c r="D594" s="12" t="s">
        <v>200</v>
      </c>
      <c r="E594" s="12" t="s">
        <v>110</v>
      </c>
      <c r="F594" s="12" t="s">
        <v>114</v>
      </c>
      <c r="G594" s="12" t="s">
        <v>42</v>
      </c>
      <c r="H594" s="12">
        <v>50</v>
      </c>
      <c r="I594" s="12">
        <v>1</v>
      </c>
      <c r="J594" s="12">
        <v>200.58600000000001</v>
      </c>
      <c r="K594" s="12">
        <v>10029.299999999999</v>
      </c>
      <c r="L594" s="12">
        <v>206.98</v>
      </c>
      <c r="M594" s="12">
        <v>10349</v>
      </c>
      <c r="N594" s="12">
        <v>319.7</v>
      </c>
    </row>
    <row r="595" spans="1:17" x14ac:dyDescent="0.3">
      <c r="A595" s="12" t="s">
        <v>90</v>
      </c>
      <c r="B595" s="12" t="s">
        <v>191</v>
      </c>
      <c r="C595" s="12" t="s">
        <v>123</v>
      </c>
      <c r="D595" s="12" t="s">
        <v>200</v>
      </c>
      <c r="E595" s="12" t="s">
        <v>110</v>
      </c>
      <c r="F595" s="12" t="s">
        <v>114</v>
      </c>
      <c r="G595" s="12" t="s">
        <v>43</v>
      </c>
      <c r="H595" s="12">
        <v>80</v>
      </c>
      <c r="I595" s="12">
        <v>1</v>
      </c>
      <c r="J595" s="12">
        <v>61.116250000000001</v>
      </c>
      <c r="K595" s="12">
        <v>4889.3</v>
      </c>
      <c r="L595" s="12">
        <v>62.1</v>
      </c>
      <c r="M595" s="12">
        <v>4968</v>
      </c>
      <c r="N595" s="12">
        <v>78.7</v>
      </c>
    </row>
    <row r="596" spans="1:17" x14ac:dyDescent="0.3">
      <c r="A596" s="12" t="s">
        <v>90</v>
      </c>
      <c r="B596" s="12" t="s">
        <v>191</v>
      </c>
      <c r="C596" s="12" t="s">
        <v>123</v>
      </c>
      <c r="D596" s="12" t="s">
        <v>200</v>
      </c>
      <c r="E596" s="12" t="s">
        <v>110</v>
      </c>
      <c r="F596" s="12" t="s">
        <v>114</v>
      </c>
      <c r="G596" s="12" t="s">
        <v>44</v>
      </c>
      <c r="H596" s="12">
        <v>30</v>
      </c>
      <c r="I596" s="12">
        <v>1</v>
      </c>
      <c r="J596" s="12">
        <v>145.15333333300001</v>
      </c>
      <c r="K596" s="12">
        <v>4354.6000000000004</v>
      </c>
      <c r="L596" s="12">
        <v>144.82</v>
      </c>
      <c r="M596" s="12">
        <v>4344.6000000000004</v>
      </c>
      <c r="N596" s="12">
        <v>-10</v>
      </c>
    </row>
    <row r="597" spans="1:17" x14ac:dyDescent="0.3">
      <c r="A597" s="12" t="s">
        <v>90</v>
      </c>
      <c r="B597" s="12" t="s">
        <v>191</v>
      </c>
      <c r="C597" s="12" t="s">
        <v>123</v>
      </c>
      <c r="D597" s="12" t="s">
        <v>200</v>
      </c>
      <c r="E597" s="12" t="s">
        <v>110</v>
      </c>
      <c r="F597" s="12" t="s">
        <v>114</v>
      </c>
      <c r="G597" s="12" t="s">
        <v>35</v>
      </c>
      <c r="H597" s="12">
        <v>100</v>
      </c>
      <c r="I597" s="12">
        <v>1</v>
      </c>
      <c r="J597" s="12">
        <v>102.523</v>
      </c>
      <c r="K597" s="12">
        <v>10252.299999999999</v>
      </c>
      <c r="L597" s="12">
        <v>104.52</v>
      </c>
      <c r="M597" s="12">
        <v>10452</v>
      </c>
      <c r="N597" s="12">
        <v>199.7</v>
      </c>
    </row>
    <row r="598" spans="1:17" x14ac:dyDescent="0.3">
      <c r="A598" s="12" t="s">
        <v>90</v>
      </c>
      <c r="B598" s="12" t="s">
        <v>191</v>
      </c>
      <c r="C598" s="12" t="s">
        <v>97</v>
      </c>
      <c r="E598" s="12" t="s">
        <v>110</v>
      </c>
      <c r="F598" s="12" t="s">
        <v>114</v>
      </c>
      <c r="K598" s="12">
        <v>194069.37113300001</v>
      </c>
      <c r="M598" s="12">
        <v>209001.39</v>
      </c>
      <c r="N598" s="12">
        <v>14932.018867000001</v>
      </c>
    </row>
    <row r="599" spans="1:17" x14ac:dyDescent="0.3">
      <c r="A599" s="12" t="s">
        <v>90</v>
      </c>
      <c r="B599" s="12" t="s">
        <v>191</v>
      </c>
      <c r="C599" s="12" t="s">
        <v>120</v>
      </c>
      <c r="D599" s="12" t="s">
        <v>192</v>
      </c>
      <c r="E599" s="12" t="s">
        <v>100</v>
      </c>
      <c r="F599" s="12" t="s">
        <v>181</v>
      </c>
      <c r="G599" s="12" t="s">
        <v>0</v>
      </c>
      <c r="H599" s="12" t="s">
        <v>193</v>
      </c>
      <c r="I599" s="12" t="s">
        <v>194</v>
      </c>
      <c r="J599" s="12" t="s">
        <v>195</v>
      </c>
      <c r="K599" s="12" t="s">
        <v>196</v>
      </c>
      <c r="L599" s="12" t="s">
        <v>197</v>
      </c>
      <c r="M599" s="12" t="s">
        <v>198</v>
      </c>
      <c r="N599" s="12" t="s">
        <v>199</v>
      </c>
      <c r="O599" s="12" t="s">
        <v>165</v>
      </c>
    </row>
    <row r="600" spans="1:17" x14ac:dyDescent="0.3">
      <c r="A600" s="12" t="s">
        <v>90</v>
      </c>
      <c r="B600" s="12" t="s">
        <v>191</v>
      </c>
      <c r="C600" s="12" t="s">
        <v>123</v>
      </c>
      <c r="D600" s="12" t="s">
        <v>200</v>
      </c>
      <c r="E600" s="12" t="s">
        <v>112</v>
      </c>
      <c r="F600" s="12" t="s">
        <v>114</v>
      </c>
      <c r="G600" s="12" t="s">
        <v>36</v>
      </c>
      <c r="H600" s="12">
        <v>-8</v>
      </c>
      <c r="I600" s="12">
        <v>5</v>
      </c>
      <c r="J600" s="12">
        <v>4799.0874999999996</v>
      </c>
      <c r="K600" s="12">
        <v>-191963.5</v>
      </c>
      <c r="L600" s="12">
        <v>5103.75</v>
      </c>
      <c r="M600" s="12">
        <v>-204150</v>
      </c>
      <c r="N600" s="12">
        <v>-12186.5</v>
      </c>
    </row>
    <row r="601" spans="1:17" x14ac:dyDescent="0.3">
      <c r="A601" s="12" t="s">
        <v>90</v>
      </c>
      <c r="B601" s="12" t="s">
        <v>191</v>
      </c>
      <c r="C601" s="12" t="s">
        <v>97</v>
      </c>
      <c r="E601" s="12" t="s">
        <v>112</v>
      </c>
      <c r="F601" s="12" t="s">
        <v>114</v>
      </c>
      <c r="K601" s="12">
        <v>-191963.5</v>
      </c>
      <c r="M601" s="12">
        <v>-204150</v>
      </c>
      <c r="N601" s="12">
        <v>-12186.5</v>
      </c>
    </row>
    <row r="602" spans="1:17" x14ac:dyDescent="0.3">
      <c r="A602" s="12" t="s">
        <v>90</v>
      </c>
      <c r="B602" s="12" t="s">
        <v>201</v>
      </c>
      <c r="C602" s="12" t="s">
        <v>120</v>
      </c>
      <c r="D602" s="12" t="s">
        <v>192</v>
      </c>
      <c r="E602" s="12" t="s">
        <v>100</v>
      </c>
      <c r="F602" s="12" t="s">
        <v>181</v>
      </c>
      <c r="G602" s="12" t="s">
        <v>0</v>
      </c>
      <c r="H602" s="12" t="s">
        <v>202</v>
      </c>
      <c r="I602" s="12" t="s">
        <v>193</v>
      </c>
      <c r="J602" s="12" t="s">
        <v>203</v>
      </c>
      <c r="K602" s="12" t="s">
        <v>204</v>
      </c>
      <c r="L602" s="12" t="s">
        <v>205</v>
      </c>
      <c r="M602" s="12" t="s">
        <v>206</v>
      </c>
      <c r="N602" s="12" t="s">
        <v>1</v>
      </c>
      <c r="O602" s="12" t="s">
        <v>207</v>
      </c>
      <c r="P602" s="12" t="s">
        <v>208</v>
      </c>
      <c r="Q602" s="12" t="s">
        <v>165</v>
      </c>
    </row>
    <row r="603" spans="1:17" x14ac:dyDescent="0.3">
      <c r="A603" s="12" t="s">
        <v>90</v>
      </c>
      <c r="B603" s="12" t="s">
        <v>201</v>
      </c>
      <c r="C603" s="12" t="s">
        <v>123</v>
      </c>
      <c r="D603" s="12" t="s">
        <v>209</v>
      </c>
      <c r="E603" s="12" t="s">
        <v>110</v>
      </c>
      <c r="F603" s="12" t="s">
        <v>114</v>
      </c>
      <c r="G603" s="12" t="s">
        <v>4</v>
      </c>
      <c r="H603" s="12" t="s">
        <v>556</v>
      </c>
      <c r="I603" s="12">
        <v>-12</v>
      </c>
      <c r="J603" s="12">
        <v>186.38</v>
      </c>
      <c r="K603" s="12">
        <v>188.42</v>
      </c>
      <c r="L603" s="12">
        <v>2236.56</v>
      </c>
      <c r="M603" s="12">
        <v>-1.3</v>
      </c>
      <c r="N603" s="12">
        <v>-2566.7800000000002</v>
      </c>
      <c r="O603" s="12">
        <v>-331.52</v>
      </c>
      <c r="P603" s="12">
        <v>-24.48</v>
      </c>
      <c r="Q603" s="12" t="s">
        <v>3</v>
      </c>
    </row>
    <row r="604" spans="1:17" x14ac:dyDescent="0.3">
      <c r="A604" s="12" t="s">
        <v>90</v>
      </c>
      <c r="B604" s="12" t="s">
        <v>201</v>
      </c>
      <c r="C604" s="12" t="s">
        <v>213</v>
      </c>
      <c r="E604" s="12" t="s">
        <v>110</v>
      </c>
      <c r="F604" s="12" t="s">
        <v>114</v>
      </c>
      <c r="G604" s="12" t="s">
        <v>4</v>
      </c>
      <c r="I604" s="12">
        <v>-12</v>
      </c>
      <c r="L604" s="12">
        <v>2236.56</v>
      </c>
      <c r="M604" s="12">
        <v>-1.3</v>
      </c>
      <c r="N604" s="12">
        <v>-2566.7800000000002</v>
      </c>
      <c r="O604" s="12">
        <v>-331.52</v>
      </c>
      <c r="P604" s="12">
        <v>-24.48</v>
      </c>
    </row>
    <row r="605" spans="1:17" x14ac:dyDescent="0.3">
      <c r="A605" s="12" t="s">
        <v>90</v>
      </c>
      <c r="B605" s="12" t="s">
        <v>201</v>
      </c>
      <c r="C605" s="12" t="s">
        <v>123</v>
      </c>
      <c r="D605" s="12" t="s">
        <v>209</v>
      </c>
      <c r="E605" s="12" t="s">
        <v>110</v>
      </c>
      <c r="F605" s="12" t="s">
        <v>114</v>
      </c>
      <c r="G605" s="12" t="s">
        <v>5</v>
      </c>
      <c r="H605" s="12" t="s">
        <v>557</v>
      </c>
      <c r="I605" s="12">
        <v>-50</v>
      </c>
      <c r="J605" s="12">
        <v>171</v>
      </c>
      <c r="K605" s="12">
        <v>171.81</v>
      </c>
      <c r="L605" s="12">
        <v>8550</v>
      </c>
      <c r="M605" s="12">
        <v>-1.3</v>
      </c>
      <c r="N605" s="12">
        <v>-7263.125</v>
      </c>
      <c r="O605" s="12">
        <v>1285.575</v>
      </c>
      <c r="P605" s="12">
        <v>-40.5</v>
      </c>
      <c r="Q605" s="12" t="s">
        <v>3</v>
      </c>
    </row>
    <row r="606" spans="1:17" x14ac:dyDescent="0.3">
      <c r="A606" s="12" t="s">
        <v>90</v>
      </c>
      <c r="B606" s="12" t="s">
        <v>201</v>
      </c>
      <c r="C606" s="12" t="s">
        <v>213</v>
      </c>
      <c r="E606" s="12" t="s">
        <v>110</v>
      </c>
      <c r="F606" s="12" t="s">
        <v>114</v>
      </c>
      <c r="G606" s="12" t="s">
        <v>5</v>
      </c>
      <c r="I606" s="12">
        <v>-50</v>
      </c>
      <c r="L606" s="12">
        <v>8550</v>
      </c>
      <c r="M606" s="12">
        <v>-1.3</v>
      </c>
      <c r="N606" s="12">
        <v>-7263.125</v>
      </c>
      <c r="O606" s="12">
        <v>1285.575</v>
      </c>
      <c r="P606" s="12">
        <v>-40.5</v>
      </c>
    </row>
    <row r="607" spans="1:17" x14ac:dyDescent="0.3">
      <c r="A607" s="12" t="s">
        <v>90</v>
      </c>
      <c r="B607" s="12" t="s">
        <v>201</v>
      </c>
      <c r="C607" s="12" t="s">
        <v>123</v>
      </c>
      <c r="D607" s="12" t="s">
        <v>209</v>
      </c>
      <c r="E607" s="12" t="s">
        <v>110</v>
      </c>
      <c r="F607" s="12" t="s">
        <v>114</v>
      </c>
      <c r="G607" s="12" t="s">
        <v>6</v>
      </c>
      <c r="H607" s="12" t="s">
        <v>558</v>
      </c>
      <c r="I607" s="12">
        <v>-15</v>
      </c>
      <c r="J607" s="12">
        <v>283</v>
      </c>
      <c r="K607" s="12">
        <v>282.45</v>
      </c>
      <c r="L607" s="12">
        <v>4245</v>
      </c>
      <c r="M607" s="12">
        <v>-1.3</v>
      </c>
      <c r="N607" s="12">
        <v>-3435.929032</v>
      </c>
      <c r="O607" s="12">
        <v>807.77096800000004</v>
      </c>
      <c r="P607" s="12">
        <v>8.25</v>
      </c>
      <c r="Q607" s="12" t="s">
        <v>3</v>
      </c>
    </row>
    <row r="608" spans="1:17" x14ac:dyDescent="0.3">
      <c r="A608" s="12" t="s">
        <v>90</v>
      </c>
      <c r="B608" s="12" t="s">
        <v>201</v>
      </c>
      <c r="C608" s="12" t="s">
        <v>123</v>
      </c>
      <c r="D608" s="12" t="s">
        <v>209</v>
      </c>
      <c r="E608" s="12" t="s">
        <v>110</v>
      </c>
      <c r="F608" s="12" t="s">
        <v>114</v>
      </c>
      <c r="G608" s="12" t="s">
        <v>6</v>
      </c>
      <c r="H608" s="12" t="s">
        <v>559</v>
      </c>
      <c r="I608" s="12">
        <v>5</v>
      </c>
      <c r="J608" s="12">
        <v>255.28</v>
      </c>
      <c r="K608" s="12">
        <v>259.61</v>
      </c>
      <c r="L608" s="12">
        <v>-1276.4000000000001</v>
      </c>
      <c r="M608" s="12">
        <v>-1.3</v>
      </c>
      <c r="N608" s="12">
        <v>1277.7</v>
      </c>
      <c r="O608" s="12">
        <v>0</v>
      </c>
      <c r="P608" s="12">
        <v>21.65</v>
      </c>
      <c r="Q608" s="12" t="s">
        <v>215</v>
      </c>
    </row>
    <row r="609" spans="1:17" x14ac:dyDescent="0.3">
      <c r="A609" s="12" t="s">
        <v>90</v>
      </c>
      <c r="B609" s="12" t="s">
        <v>201</v>
      </c>
      <c r="C609" s="12" t="s">
        <v>213</v>
      </c>
      <c r="E609" s="12" t="s">
        <v>110</v>
      </c>
      <c r="F609" s="12" t="s">
        <v>114</v>
      </c>
      <c r="G609" s="12" t="s">
        <v>6</v>
      </c>
      <c r="I609" s="12">
        <v>-10</v>
      </c>
      <c r="L609" s="12">
        <v>2968.6</v>
      </c>
      <c r="M609" s="12">
        <v>-2.6</v>
      </c>
      <c r="N609" s="12">
        <v>-2158.2290320000002</v>
      </c>
      <c r="O609" s="12">
        <v>807.77096800000004</v>
      </c>
      <c r="P609" s="12">
        <v>29.9</v>
      </c>
    </row>
    <row r="610" spans="1:17" x14ac:dyDescent="0.3">
      <c r="A610" s="12" t="s">
        <v>90</v>
      </c>
      <c r="B610" s="12" t="s">
        <v>201</v>
      </c>
      <c r="C610" s="12" t="s">
        <v>123</v>
      </c>
      <c r="D610" s="12" t="s">
        <v>209</v>
      </c>
      <c r="E610" s="12" t="s">
        <v>110</v>
      </c>
      <c r="F610" s="12" t="s">
        <v>114</v>
      </c>
      <c r="G610" s="12" t="s">
        <v>7</v>
      </c>
      <c r="H610" s="12" t="s">
        <v>560</v>
      </c>
      <c r="I610" s="12">
        <v>-3</v>
      </c>
      <c r="J610" s="12">
        <v>1277.44</v>
      </c>
      <c r="K610" s="12">
        <v>1283.44</v>
      </c>
      <c r="L610" s="12">
        <v>3832.32</v>
      </c>
      <c r="M610" s="12">
        <v>-1.3</v>
      </c>
      <c r="N610" s="12">
        <v>-3176.62</v>
      </c>
      <c r="O610" s="12">
        <v>654.4</v>
      </c>
      <c r="P610" s="12">
        <v>-18</v>
      </c>
      <c r="Q610" s="12" t="s">
        <v>3</v>
      </c>
    </row>
    <row r="611" spans="1:17" x14ac:dyDescent="0.3">
      <c r="A611" s="12" t="s">
        <v>90</v>
      </c>
      <c r="B611" s="12" t="s">
        <v>201</v>
      </c>
      <c r="C611" s="12" t="s">
        <v>213</v>
      </c>
      <c r="E611" s="12" t="s">
        <v>110</v>
      </c>
      <c r="F611" s="12" t="s">
        <v>114</v>
      </c>
      <c r="G611" s="12" t="s">
        <v>7</v>
      </c>
      <c r="I611" s="12">
        <v>-3</v>
      </c>
      <c r="L611" s="12">
        <v>3832.32</v>
      </c>
      <c r="M611" s="12">
        <v>-1.3</v>
      </c>
      <c r="N611" s="12">
        <v>-3176.62</v>
      </c>
      <c r="O611" s="12">
        <v>654.4</v>
      </c>
      <c r="P611" s="12">
        <v>-18</v>
      </c>
    </row>
    <row r="612" spans="1:17" x14ac:dyDescent="0.3">
      <c r="A612" s="12" t="s">
        <v>90</v>
      </c>
      <c r="B612" s="12" t="s">
        <v>201</v>
      </c>
      <c r="C612" s="12" t="s">
        <v>123</v>
      </c>
      <c r="D612" s="12" t="s">
        <v>209</v>
      </c>
      <c r="E612" s="12" t="s">
        <v>110</v>
      </c>
      <c r="F612" s="12" t="s">
        <v>114</v>
      </c>
      <c r="G612" s="12" t="s">
        <v>9</v>
      </c>
      <c r="H612" s="12" t="s">
        <v>561</v>
      </c>
      <c r="I612" s="12">
        <v>-1</v>
      </c>
      <c r="J612" s="12">
        <v>3726.89</v>
      </c>
      <c r="K612" s="12">
        <v>3741.13</v>
      </c>
      <c r="L612" s="12">
        <v>3726.89</v>
      </c>
      <c r="M612" s="12">
        <v>-1.3</v>
      </c>
      <c r="N612" s="12">
        <v>-3387.22</v>
      </c>
      <c r="O612" s="12">
        <v>338.37</v>
      </c>
      <c r="P612" s="12">
        <v>-14.24</v>
      </c>
      <c r="Q612" s="12" t="s">
        <v>3</v>
      </c>
    </row>
    <row r="613" spans="1:17" x14ac:dyDescent="0.3">
      <c r="A613" s="12" t="s">
        <v>90</v>
      </c>
      <c r="B613" s="12" t="s">
        <v>201</v>
      </c>
      <c r="C613" s="12" t="s">
        <v>213</v>
      </c>
      <c r="E613" s="12" t="s">
        <v>110</v>
      </c>
      <c r="F613" s="12" t="s">
        <v>114</v>
      </c>
      <c r="G613" s="12" t="s">
        <v>9</v>
      </c>
      <c r="I613" s="12">
        <v>-1</v>
      </c>
      <c r="L613" s="12">
        <v>3726.89</v>
      </c>
      <c r="M613" s="12">
        <v>-1.3</v>
      </c>
      <c r="N613" s="12">
        <v>-3387.22</v>
      </c>
      <c r="O613" s="12">
        <v>338.37</v>
      </c>
      <c r="P613" s="12">
        <v>-14.24</v>
      </c>
    </row>
    <row r="614" spans="1:17" x14ac:dyDescent="0.3">
      <c r="A614" s="12" t="s">
        <v>90</v>
      </c>
      <c r="B614" s="12" t="s">
        <v>201</v>
      </c>
      <c r="C614" s="12" t="s">
        <v>123</v>
      </c>
      <c r="D614" s="12" t="s">
        <v>209</v>
      </c>
      <c r="E614" s="12" t="s">
        <v>110</v>
      </c>
      <c r="F614" s="12" t="s">
        <v>114</v>
      </c>
      <c r="G614" s="12" t="s">
        <v>13</v>
      </c>
      <c r="H614" s="12" t="s">
        <v>562</v>
      </c>
      <c r="I614" s="12">
        <v>-18</v>
      </c>
      <c r="J614" s="12">
        <v>388</v>
      </c>
      <c r="K614" s="12">
        <v>385.95</v>
      </c>
      <c r="L614" s="12">
        <v>6984</v>
      </c>
      <c r="M614" s="12">
        <v>-1.3</v>
      </c>
      <c r="N614" s="12">
        <v>-7201.48</v>
      </c>
      <c r="O614" s="12">
        <v>-218.78</v>
      </c>
      <c r="P614" s="12">
        <v>36.9</v>
      </c>
      <c r="Q614" s="12" t="s">
        <v>3</v>
      </c>
    </row>
    <row r="615" spans="1:17" x14ac:dyDescent="0.3">
      <c r="A615" s="12" t="s">
        <v>90</v>
      </c>
      <c r="B615" s="12" t="s">
        <v>201</v>
      </c>
      <c r="C615" s="12" t="s">
        <v>123</v>
      </c>
      <c r="D615" s="12" t="s">
        <v>209</v>
      </c>
      <c r="E615" s="12" t="s">
        <v>110</v>
      </c>
      <c r="F615" s="12" t="s">
        <v>114</v>
      </c>
      <c r="G615" s="12" t="s">
        <v>13</v>
      </c>
      <c r="H615" s="12" t="s">
        <v>563</v>
      </c>
      <c r="I615" s="12">
        <v>10</v>
      </c>
      <c r="J615" s="12">
        <v>363.24</v>
      </c>
      <c r="K615" s="12">
        <v>364.66</v>
      </c>
      <c r="L615" s="12">
        <v>-3632.4</v>
      </c>
      <c r="M615" s="12">
        <v>-1.3</v>
      </c>
      <c r="N615" s="12">
        <v>3633.7</v>
      </c>
      <c r="O615" s="12">
        <v>0</v>
      </c>
      <c r="P615" s="12">
        <v>14.2</v>
      </c>
      <c r="Q615" s="12" t="s">
        <v>215</v>
      </c>
    </row>
    <row r="616" spans="1:17" x14ac:dyDescent="0.3">
      <c r="A616" s="12" t="s">
        <v>90</v>
      </c>
      <c r="B616" s="12" t="s">
        <v>201</v>
      </c>
      <c r="C616" s="12" t="s">
        <v>213</v>
      </c>
      <c r="E616" s="12" t="s">
        <v>110</v>
      </c>
      <c r="F616" s="12" t="s">
        <v>114</v>
      </c>
      <c r="G616" s="12" t="s">
        <v>13</v>
      </c>
      <c r="I616" s="12">
        <v>-8</v>
      </c>
      <c r="L616" s="12">
        <v>3351.6</v>
      </c>
      <c r="M616" s="12">
        <v>-2.6</v>
      </c>
      <c r="N616" s="12">
        <v>-3567.78</v>
      </c>
      <c r="O616" s="12">
        <v>-218.78</v>
      </c>
      <c r="P616" s="12">
        <v>51.1</v>
      </c>
    </row>
    <row r="617" spans="1:17" x14ac:dyDescent="0.3">
      <c r="A617" s="12" t="s">
        <v>90</v>
      </c>
      <c r="B617" s="12" t="s">
        <v>201</v>
      </c>
      <c r="C617" s="12" t="s">
        <v>123</v>
      </c>
      <c r="D617" s="12" t="s">
        <v>209</v>
      </c>
      <c r="E617" s="12" t="s">
        <v>110</v>
      </c>
      <c r="F617" s="12" t="s">
        <v>114</v>
      </c>
      <c r="G617" s="12" t="s">
        <v>16</v>
      </c>
      <c r="H617" s="12" t="s">
        <v>564</v>
      </c>
      <c r="I617" s="12">
        <v>-20</v>
      </c>
      <c r="J617" s="12">
        <v>110.14</v>
      </c>
      <c r="K617" s="12">
        <v>109.65</v>
      </c>
      <c r="L617" s="12">
        <v>2202.8000000000002</v>
      </c>
      <c r="M617" s="12">
        <v>-1.3</v>
      </c>
      <c r="N617" s="12">
        <v>-2502.3000000000002</v>
      </c>
      <c r="O617" s="12">
        <v>-300.8</v>
      </c>
      <c r="P617" s="12">
        <v>9.8000000000000007</v>
      </c>
      <c r="Q617" s="12" t="s">
        <v>3</v>
      </c>
    </row>
    <row r="618" spans="1:17" x14ac:dyDescent="0.3">
      <c r="A618" s="12" t="s">
        <v>90</v>
      </c>
      <c r="B618" s="12" t="s">
        <v>201</v>
      </c>
      <c r="C618" s="12" t="s">
        <v>213</v>
      </c>
      <c r="E618" s="12" t="s">
        <v>110</v>
      </c>
      <c r="F618" s="12" t="s">
        <v>114</v>
      </c>
      <c r="G618" s="12" t="s">
        <v>16</v>
      </c>
      <c r="I618" s="12">
        <v>-20</v>
      </c>
      <c r="L618" s="12">
        <v>2202.8000000000002</v>
      </c>
      <c r="M618" s="12">
        <v>-1.3</v>
      </c>
      <c r="N618" s="12">
        <v>-2502.3000000000002</v>
      </c>
      <c r="O618" s="12">
        <v>-300.8</v>
      </c>
      <c r="P618" s="12">
        <v>9.8000000000000007</v>
      </c>
    </row>
    <row r="619" spans="1:17" x14ac:dyDescent="0.3">
      <c r="A619" s="12" t="s">
        <v>90</v>
      </c>
      <c r="B619" s="12" t="s">
        <v>201</v>
      </c>
      <c r="C619" s="12" t="s">
        <v>123</v>
      </c>
      <c r="D619" s="12" t="s">
        <v>209</v>
      </c>
      <c r="E619" s="12" t="s">
        <v>110</v>
      </c>
      <c r="F619" s="12" t="s">
        <v>114</v>
      </c>
      <c r="G619" s="12" t="s">
        <v>17</v>
      </c>
      <c r="H619" s="12" t="s">
        <v>565</v>
      </c>
      <c r="I619" s="12">
        <v>-106</v>
      </c>
      <c r="J619" s="12">
        <v>32.729999999999997</v>
      </c>
      <c r="K619" s="12">
        <v>32.659999999999997</v>
      </c>
      <c r="L619" s="12">
        <v>3469.38</v>
      </c>
      <c r="M619" s="12">
        <v>-1.3</v>
      </c>
      <c r="N619" s="12">
        <v>-3455.84</v>
      </c>
      <c r="O619" s="12">
        <v>12.24</v>
      </c>
      <c r="P619" s="12">
        <v>7.42</v>
      </c>
      <c r="Q619" s="12" t="s">
        <v>3</v>
      </c>
    </row>
    <row r="620" spans="1:17" x14ac:dyDescent="0.3">
      <c r="A620" s="12" t="s">
        <v>90</v>
      </c>
      <c r="B620" s="12" t="s">
        <v>201</v>
      </c>
      <c r="C620" s="12" t="s">
        <v>213</v>
      </c>
      <c r="E620" s="12" t="s">
        <v>110</v>
      </c>
      <c r="F620" s="12" t="s">
        <v>114</v>
      </c>
      <c r="G620" s="12" t="s">
        <v>17</v>
      </c>
      <c r="I620" s="12">
        <v>-106</v>
      </c>
      <c r="L620" s="12">
        <v>3469.38</v>
      </c>
      <c r="M620" s="12">
        <v>-1.3</v>
      </c>
      <c r="N620" s="12">
        <v>-3455.84</v>
      </c>
      <c r="O620" s="12">
        <v>12.24</v>
      </c>
      <c r="P620" s="12">
        <v>7.42</v>
      </c>
    </row>
    <row r="621" spans="1:17" x14ac:dyDescent="0.3">
      <c r="A621" s="12" t="s">
        <v>90</v>
      </c>
      <c r="B621" s="12" t="s">
        <v>201</v>
      </c>
      <c r="C621" s="12" t="s">
        <v>123</v>
      </c>
      <c r="D621" s="12" t="s">
        <v>209</v>
      </c>
      <c r="E621" s="12" t="s">
        <v>110</v>
      </c>
      <c r="F621" s="12" t="s">
        <v>114</v>
      </c>
      <c r="G621" s="12" t="s">
        <v>21</v>
      </c>
      <c r="H621" s="12" t="s">
        <v>566</v>
      </c>
      <c r="I621" s="12">
        <v>-6</v>
      </c>
      <c r="J621" s="12">
        <v>616.99</v>
      </c>
      <c r="K621" s="12">
        <v>629.64</v>
      </c>
      <c r="L621" s="12">
        <v>3701.94</v>
      </c>
      <c r="M621" s="12">
        <v>-1.3</v>
      </c>
      <c r="N621" s="12">
        <v>-3349.9</v>
      </c>
      <c r="O621" s="12">
        <v>350.74</v>
      </c>
      <c r="P621" s="12">
        <v>-75.900000000000006</v>
      </c>
      <c r="Q621" s="12" t="s">
        <v>3</v>
      </c>
    </row>
    <row r="622" spans="1:17" x14ac:dyDescent="0.3">
      <c r="A622" s="12" t="s">
        <v>90</v>
      </c>
      <c r="B622" s="12" t="s">
        <v>201</v>
      </c>
      <c r="C622" s="12" t="s">
        <v>213</v>
      </c>
      <c r="E622" s="12" t="s">
        <v>110</v>
      </c>
      <c r="F622" s="12" t="s">
        <v>114</v>
      </c>
      <c r="G622" s="12" t="s">
        <v>21</v>
      </c>
      <c r="I622" s="12">
        <v>-6</v>
      </c>
      <c r="L622" s="12">
        <v>3701.94</v>
      </c>
      <c r="M622" s="12">
        <v>-1.3</v>
      </c>
      <c r="N622" s="12">
        <v>-3349.9</v>
      </c>
      <c r="O622" s="12">
        <v>350.74</v>
      </c>
      <c r="P622" s="12">
        <v>-75.900000000000006</v>
      </c>
    </row>
    <row r="623" spans="1:17" x14ac:dyDescent="0.3">
      <c r="A623" s="12" t="s">
        <v>90</v>
      </c>
      <c r="B623" s="12" t="s">
        <v>201</v>
      </c>
      <c r="C623" s="12" t="s">
        <v>123</v>
      </c>
      <c r="D623" s="12" t="s">
        <v>209</v>
      </c>
      <c r="E623" s="12" t="s">
        <v>110</v>
      </c>
      <c r="F623" s="12" t="s">
        <v>114</v>
      </c>
      <c r="G623" s="12" t="s">
        <v>22</v>
      </c>
      <c r="H623" s="12" t="s">
        <v>567</v>
      </c>
      <c r="I623" s="12">
        <v>-33</v>
      </c>
      <c r="J623" s="12">
        <v>58.61</v>
      </c>
      <c r="K623" s="12">
        <v>58.83</v>
      </c>
      <c r="L623" s="12">
        <v>1934.13</v>
      </c>
      <c r="M623" s="12">
        <v>-1.3</v>
      </c>
      <c r="N623" s="12">
        <v>-1748.66</v>
      </c>
      <c r="O623" s="12">
        <v>184.17</v>
      </c>
      <c r="P623" s="12">
        <v>-7.26</v>
      </c>
      <c r="Q623" s="12" t="s">
        <v>3</v>
      </c>
    </row>
    <row r="624" spans="1:17" x14ac:dyDescent="0.3">
      <c r="A624" s="12" t="s">
        <v>90</v>
      </c>
      <c r="B624" s="12" t="s">
        <v>201</v>
      </c>
      <c r="C624" s="12" t="s">
        <v>123</v>
      </c>
      <c r="D624" s="12" t="s">
        <v>209</v>
      </c>
      <c r="E624" s="12" t="s">
        <v>110</v>
      </c>
      <c r="F624" s="12" t="s">
        <v>114</v>
      </c>
      <c r="G624" s="12" t="s">
        <v>22</v>
      </c>
      <c r="H624" s="12" t="s">
        <v>568</v>
      </c>
      <c r="I624" s="12">
        <v>100</v>
      </c>
      <c r="J624" s="12">
        <v>60.65</v>
      </c>
      <c r="K624" s="12">
        <v>61.98</v>
      </c>
      <c r="L624" s="12">
        <v>-6065</v>
      </c>
      <c r="M624" s="12">
        <v>-1.3</v>
      </c>
      <c r="N624" s="12">
        <v>6066.3</v>
      </c>
      <c r="O624" s="12">
        <v>0</v>
      </c>
      <c r="P624" s="12">
        <v>133</v>
      </c>
      <c r="Q624" s="12" t="s">
        <v>215</v>
      </c>
    </row>
    <row r="625" spans="1:17" x14ac:dyDescent="0.3">
      <c r="A625" s="12" t="s">
        <v>90</v>
      </c>
      <c r="B625" s="12" t="s">
        <v>201</v>
      </c>
      <c r="C625" s="12" t="s">
        <v>123</v>
      </c>
      <c r="D625" s="12" t="s">
        <v>209</v>
      </c>
      <c r="E625" s="12" t="s">
        <v>110</v>
      </c>
      <c r="F625" s="12" t="s">
        <v>114</v>
      </c>
      <c r="G625" s="12" t="s">
        <v>22</v>
      </c>
      <c r="H625" s="12" t="s">
        <v>569</v>
      </c>
      <c r="I625" s="12">
        <v>-50</v>
      </c>
      <c r="J625" s="12">
        <v>60.79</v>
      </c>
      <c r="K625" s="12">
        <v>61.98</v>
      </c>
      <c r="L625" s="12">
        <v>3039.5</v>
      </c>
      <c r="M625" s="12">
        <v>-1.3</v>
      </c>
      <c r="N625" s="12">
        <v>-2779.931</v>
      </c>
      <c r="O625" s="12">
        <v>258.26900000000001</v>
      </c>
      <c r="P625" s="12">
        <v>-59.5</v>
      </c>
      <c r="Q625" s="12" t="s">
        <v>3</v>
      </c>
    </row>
    <row r="626" spans="1:17" x14ac:dyDescent="0.3">
      <c r="A626" s="12" t="s">
        <v>90</v>
      </c>
      <c r="B626" s="12" t="s">
        <v>201</v>
      </c>
      <c r="C626" s="12" t="s">
        <v>213</v>
      </c>
      <c r="E626" s="12" t="s">
        <v>110</v>
      </c>
      <c r="F626" s="12" t="s">
        <v>114</v>
      </c>
      <c r="G626" s="12" t="s">
        <v>22</v>
      </c>
      <c r="I626" s="12">
        <v>17</v>
      </c>
      <c r="L626" s="12">
        <v>-1091.3699999999999</v>
      </c>
      <c r="M626" s="12">
        <v>-3.9</v>
      </c>
      <c r="N626" s="12">
        <v>1537.7090000000001</v>
      </c>
      <c r="O626" s="12">
        <v>442.43900000000002</v>
      </c>
      <c r="P626" s="12">
        <v>66.239999999999995</v>
      </c>
    </row>
    <row r="627" spans="1:17" x14ac:dyDescent="0.3">
      <c r="A627" s="12" t="s">
        <v>90</v>
      </c>
      <c r="B627" s="12" t="s">
        <v>201</v>
      </c>
      <c r="C627" s="12" t="s">
        <v>123</v>
      </c>
      <c r="D627" s="12" t="s">
        <v>209</v>
      </c>
      <c r="E627" s="12" t="s">
        <v>110</v>
      </c>
      <c r="F627" s="12" t="s">
        <v>114</v>
      </c>
      <c r="G627" s="12" t="s">
        <v>37</v>
      </c>
      <c r="H627" s="12" t="s">
        <v>570</v>
      </c>
      <c r="I627" s="12">
        <v>20</v>
      </c>
      <c r="J627" s="12">
        <v>184.78</v>
      </c>
      <c r="K627" s="12">
        <v>186.16</v>
      </c>
      <c r="L627" s="12">
        <v>-3695.6</v>
      </c>
      <c r="M627" s="12">
        <v>-1.3</v>
      </c>
      <c r="N627" s="12">
        <v>3696.9</v>
      </c>
      <c r="O627" s="12">
        <v>0</v>
      </c>
      <c r="P627" s="12">
        <v>27.6</v>
      </c>
      <c r="Q627" s="12" t="s">
        <v>215</v>
      </c>
    </row>
    <row r="628" spans="1:17" x14ac:dyDescent="0.3">
      <c r="A628" s="12" t="s">
        <v>90</v>
      </c>
      <c r="B628" s="12" t="s">
        <v>201</v>
      </c>
      <c r="C628" s="12" t="s">
        <v>213</v>
      </c>
      <c r="E628" s="12" t="s">
        <v>110</v>
      </c>
      <c r="F628" s="12" t="s">
        <v>114</v>
      </c>
      <c r="G628" s="12" t="s">
        <v>37</v>
      </c>
      <c r="I628" s="12">
        <v>20</v>
      </c>
      <c r="L628" s="12">
        <v>-3695.6</v>
      </c>
      <c r="M628" s="12">
        <v>-1.3</v>
      </c>
      <c r="N628" s="12">
        <v>3696.9</v>
      </c>
      <c r="O628" s="12">
        <v>0</v>
      </c>
      <c r="P628" s="12">
        <v>27.6</v>
      </c>
    </row>
    <row r="629" spans="1:17" x14ac:dyDescent="0.3">
      <c r="A629" s="12" t="s">
        <v>90</v>
      </c>
      <c r="B629" s="12" t="s">
        <v>201</v>
      </c>
      <c r="C629" s="12" t="s">
        <v>123</v>
      </c>
      <c r="D629" s="12" t="s">
        <v>209</v>
      </c>
      <c r="E629" s="12" t="s">
        <v>110</v>
      </c>
      <c r="F629" s="12" t="s">
        <v>114</v>
      </c>
      <c r="G629" s="12" t="s">
        <v>23</v>
      </c>
      <c r="H629" s="12" t="s">
        <v>571</v>
      </c>
      <c r="I629" s="12">
        <v>-13</v>
      </c>
      <c r="J629" s="12">
        <v>631.71</v>
      </c>
      <c r="K629" s="12">
        <v>638.27</v>
      </c>
      <c r="L629" s="12">
        <v>8212.23</v>
      </c>
      <c r="M629" s="12">
        <v>-1.3</v>
      </c>
      <c r="N629" s="12">
        <v>-7669.61</v>
      </c>
      <c r="O629" s="12">
        <v>541.32000000000005</v>
      </c>
      <c r="P629" s="12">
        <v>-85.28</v>
      </c>
      <c r="Q629" s="12" t="s">
        <v>3</v>
      </c>
    </row>
    <row r="630" spans="1:17" x14ac:dyDescent="0.3">
      <c r="A630" s="12" t="s">
        <v>90</v>
      </c>
      <c r="B630" s="12" t="s">
        <v>201</v>
      </c>
      <c r="C630" s="12" t="s">
        <v>213</v>
      </c>
      <c r="E630" s="12" t="s">
        <v>110</v>
      </c>
      <c r="F630" s="12" t="s">
        <v>114</v>
      </c>
      <c r="G630" s="12" t="s">
        <v>23</v>
      </c>
      <c r="I630" s="12">
        <v>-13</v>
      </c>
      <c r="L630" s="12">
        <v>8212.23</v>
      </c>
      <c r="M630" s="12">
        <v>-1.3</v>
      </c>
      <c r="N630" s="12">
        <v>-7669.61</v>
      </c>
      <c r="O630" s="12">
        <v>541.32000000000005</v>
      </c>
      <c r="P630" s="12">
        <v>-85.28</v>
      </c>
    </row>
    <row r="631" spans="1:17" x14ac:dyDescent="0.3">
      <c r="A631" s="12" t="s">
        <v>90</v>
      </c>
      <c r="B631" s="12" t="s">
        <v>201</v>
      </c>
      <c r="C631" s="12" t="s">
        <v>123</v>
      </c>
      <c r="D631" s="12" t="s">
        <v>209</v>
      </c>
      <c r="E631" s="12" t="s">
        <v>110</v>
      </c>
      <c r="F631" s="12" t="s">
        <v>114</v>
      </c>
      <c r="G631" s="12" t="s">
        <v>24</v>
      </c>
      <c r="H631" s="12" t="s">
        <v>572</v>
      </c>
      <c r="I631" s="12">
        <v>-20</v>
      </c>
      <c r="J631" s="12">
        <v>86.69</v>
      </c>
      <c r="K631" s="12">
        <v>86.49</v>
      </c>
      <c r="L631" s="12">
        <v>1733.8</v>
      </c>
      <c r="M631" s="12">
        <v>-1.3</v>
      </c>
      <c r="N631" s="12">
        <v>-1490.2125000000001</v>
      </c>
      <c r="O631" s="12">
        <v>242.28749999999999</v>
      </c>
      <c r="P631" s="12">
        <v>4</v>
      </c>
      <c r="Q631" s="12" t="s">
        <v>3</v>
      </c>
    </row>
    <row r="632" spans="1:17" x14ac:dyDescent="0.3">
      <c r="A632" s="12" t="s">
        <v>90</v>
      </c>
      <c r="B632" s="12" t="s">
        <v>201</v>
      </c>
      <c r="C632" s="12" t="s">
        <v>123</v>
      </c>
      <c r="D632" s="12" t="s">
        <v>209</v>
      </c>
      <c r="E632" s="12" t="s">
        <v>110</v>
      </c>
      <c r="F632" s="12" t="s">
        <v>114</v>
      </c>
      <c r="G632" s="12" t="s">
        <v>24</v>
      </c>
      <c r="H632" s="12" t="s">
        <v>573</v>
      </c>
      <c r="I632" s="12">
        <v>25</v>
      </c>
      <c r="J632" s="12">
        <v>86.79</v>
      </c>
      <c r="K632" s="12">
        <v>86.74</v>
      </c>
      <c r="L632" s="12">
        <v>-2169.75</v>
      </c>
      <c r="M632" s="12">
        <v>-1.3</v>
      </c>
      <c r="N632" s="12">
        <v>2171.0500000000002</v>
      </c>
      <c r="O632" s="12">
        <v>0</v>
      </c>
      <c r="P632" s="12">
        <v>-1.25</v>
      </c>
      <c r="Q632" s="12" t="s">
        <v>215</v>
      </c>
    </row>
    <row r="633" spans="1:17" x14ac:dyDescent="0.3">
      <c r="A633" s="12" t="s">
        <v>90</v>
      </c>
      <c r="B633" s="12" t="s">
        <v>201</v>
      </c>
      <c r="C633" s="12" t="s">
        <v>213</v>
      </c>
      <c r="E633" s="12" t="s">
        <v>110</v>
      </c>
      <c r="F633" s="12" t="s">
        <v>114</v>
      </c>
      <c r="G633" s="12" t="s">
        <v>24</v>
      </c>
      <c r="I633" s="12">
        <v>5</v>
      </c>
      <c r="L633" s="12">
        <v>-435.95</v>
      </c>
      <c r="M633" s="12">
        <v>-2.6</v>
      </c>
      <c r="N633" s="12">
        <v>680.83749999999998</v>
      </c>
      <c r="O633" s="12">
        <v>242.28749999999999</v>
      </c>
      <c r="P633" s="12">
        <v>2.75</v>
      </c>
    </row>
    <row r="634" spans="1:17" x14ac:dyDescent="0.3">
      <c r="A634" s="12" t="s">
        <v>90</v>
      </c>
      <c r="B634" s="12" t="s">
        <v>201</v>
      </c>
      <c r="C634" s="12" t="s">
        <v>123</v>
      </c>
      <c r="D634" s="12" t="s">
        <v>209</v>
      </c>
      <c r="E634" s="12" t="s">
        <v>110</v>
      </c>
      <c r="F634" s="12" t="s">
        <v>114</v>
      </c>
      <c r="G634" s="12" t="s">
        <v>26</v>
      </c>
      <c r="H634" s="12" t="s">
        <v>574</v>
      </c>
      <c r="I634" s="12">
        <v>-4</v>
      </c>
      <c r="J634" s="12">
        <v>403.32</v>
      </c>
      <c r="K634" s="12">
        <v>401.09</v>
      </c>
      <c r="L634" s="12">
        <v>1613.28</v>
      </c>
      <c r="M634" s="12">
        <v>-1.3</v>
      </c>
      <c r="N634" s="12">
        <v>-1503.137778</v>
      </c>
      <c r="O634" s="12">
        <v>108.84222200000001</v>
      </c>
      <c r="P634" s="12">
        <v>8.92</v>
      </c>
      <c r="Q634" s="12" t="s">
        <v>3</v>
      </c>
    </row>
    <row r="635" spans="1:17" x14ac:dyDescent="0.3">
      <c r="A635" s="12" t="s">
        <v>90</v>
      </c>
      <c r="B635" s="12" t="s">
        <v>201</v>
      </c>
      <c r="C635" s="12" t="s">
        <v>123</v>
      </c>
      <c r="D635" s="12" t="s">
        <v>209</v>
      </c>
      <c r="E635" s="12" t="s">
        <v>110</v>
      </c>
      <c r="F635" s="12" t="s">
        <v>114</v>
      </c>
      <c r="G635" s="12" t="s">
        <v>26</v>
      </c>
      <c r="H635" s="12" t="s">
        <v>575</v>
      </c>
      <c r="I635" s="12">
        <v>5</v>
      </c>
      <c r="J635" s="12">
        <v>373.34</v>
      </c>
      <c r="K635" s="12">
        <v>373.24</v>
      </c>
      <c r="L635" s="12">
        <v>-1866.7</v>
      </c>
      <c r="M635" s="12">
        <v>-1.3</v>
      </c>
      <c r="N635" s="12">
        <v>1868</v>
      </c>
      <c r="O635" s="12">
        <v>0</v>
      </c>
      <c r="P635" s="12">
        <v>-0.5</v>
      </c>
      <c r="Q635" s="12" t="s">
        <v>215</v>
      </c>
    </row>
    <row r="636" spans="1:17" x14ac:dyDescent="0.3">
      <c r="A636" s="12" t="s">
        <v>90</v>
      </c>
      <c r="B636" s="12" t="s">
        <v>201</v>
      </c>
      <c r="C636" s="12" t="s">
        <v>213</v>
      </c>
      <c r="E636" s="12" t="s">
        <v>110</v>
      </c>
      <c r="F636" s="12" t="s">
        <v>114</v>
      </c>
      <c r="G636" s="12" t="s">
        <v>26</v>
      </c>
      <c r="I636" s="12">
        <v>1</v>
      </c>
      <c r="L636" s="12">
        <v>-253.42</v>
      </c>
      <c r="M636" s="12">
        <v>-2.6</v>
      </c>
      <c r="N636" s="12">
        <v>364.86222199999997</v>
      </c>
      <c r="O636" s="12">
        <v>108.84222200000001</v>
      </c>
      <c r="P636" s="12">
        <v>8.42</v>
      </c>
    </row>
    <row r="637" spans="1:17" x14ac:dyDescent="0.3">
      <c r="A637" s="12" t="s">
        <v>90</v>
      </c>
      <c r="B637" s="12" t="s">
        <v>201</v>
      </c>
      <c r="C637" s="12" t="s">
        <v>123</v>
      </c>
      <c r="D637" s="12" t="s">
        <v>209</v>
      </c>
      <c r="E637" s="12" t="s">
        <v>110</v>
      </c>
      <c r="F637" s="12" t="s">
        <v>114</v>
      </c>
      <c r="G637" s="12" t="s">
        <v>38</v>
      </c>
      <c r="H637" s="12" t="s">
        <v>576</v>
      </c>
      <c r="I637" s="12">
        <v>8</v>
      </c>
      <c r="J637" s="12">
        <v>443.53</v>
      </c>
      <c r="K637" s="12">
        <v>444.81</v>
      </c>
      <c r="L637" s="12">
        <v>-3548.24</v>
      </c>
      <c r="M637" s="12">
        <v>-1.3</v>
      </c>
      <c r="N637" s="12">
        <v>3549.54</v>
      </c>
      <c r="O637" s="12">
        <v>0</v>
      </c>
      <c r="P637" s="12">
        <v>10.24</v>
      </c>
      <c r="Q637" s="12" t="s">
        <v>215</v>
      </c>
    </row>
    <row r="638" spans="1:17" x14ac:dyDescent="0.3">
      <c r="A638" s="12" t="s">
        <v>90</v>
      </c>
      <c r="B638" s="12" t="s">
        <v>201</v>
      </c>
      <c r="C638" s="12" t="s">
        <v>123</v>
      </c>
      <c r="D638" s="12" t="s">
        <v>209</v>
      </c>
      <c r="E638" s="12" t="s">
        <v>110</v>
      </c>
      <c r="F638" s="12" t="s">
        <v>114</v>
      </c>
      <c r="G638" s="12" t="s">
        <v>38</v>
      </c>
      <c r="H638" s="12" t="s">
        <v>577</v>
      </c>
      <c r="I638" s="12">
        <v>-8</v>
      </c>
      <c r="J638" s="12">
        <v>440</v>
      </c>
      <c r="K638" s="12">
        <v>447.58</v>
      </c>
      <c r="L638" s="12">
        <v>3520</v>
      </c>
      <c r="M638" s="12">
        <v>-1.3</v>
      </c>
      <c r="N638" s="12">
        <v>-3549.54</v>
      </c>
      <c r="O638" s="12">
        <v>-30.84</v>
      </c>
      <c r="P638" s="12">
        <v>-60.64</v>
      </c>
      <c r="Q638" s="12" t="s">
        <v>3</v>
      </c>
    </row>
    <row r="639" spans="1:17" x14ac:dyDescent="0.3">
      <c r="A639" s="12" t="s">
        <v>90</v>
      </c>
      <c r="B639" s="12" t="s">
        <v>201</v>
      </c>
      <c r="C639" s="12" t="s">
        <v>213</v>
      </c>
      <c r="E639" s="12" t="s">
        <v>110</v>
      </c>
      <c r="F639" s="12" t="s">
        <v>114</v>
      </c>
      <c r="G639" s="12" t="s">
        <v>38</v>
      </c>
      <c r="I639" s="12">
        <v>0</v>
      </c>
      <c r="L639" s="12">
        <v>-28.24</v>
      </c>
      <c r="M639" s="12">
        <v>-2.6</v>
      </c>
      <c r="N639" s="12">
        <v>0</v>
      </c>
      <c r="O639" s="12">
        <v>-30.84</v>
      </c>
      <c r="P639" s="12">
        <v>-50.4</v>
      </c>
    </row>
    <row r="640" spans="1:17" x14ac:dyDescent="0.3">
      <c r="A640" s="12" t="s">
        <v>90</v>
      </c>
      <c r="B640" s="12" t="s">
        <v>201</v>
      </c>
      <c r="C640" s="12" t="s">
        <v>123</v>
      </c>
      <c r="D640" s="12" t="s">
        <v>209</v>
      </c>
      <c r="E640" s="12" t="s">
        <v>110</v>
      </c>
      <c r="F640" s="12" t="s">
        <v>114</v>
      </c>
      <c r="G640" s="12" t="s">
        <v>27</v>
      </c>
      <c r="H640" s="12" t="s">
        <v>578</v>
      </c>
      <c r="I640" s="12">
        <v>-10</v>
      </c>
      <c r="J640" s="12">
        <v>471.65</v>
      </c>
      <c r="K640" s="12">
        <v>474.99</v>
      </c>
      <c r="L640" s="12">
        <v>4716.5</v>
      </c>
      <c r="M640" s="12">
        <v>-1.3</v>
      </c>
      <c r="N640" s="12">
        <v>-3424.0190480000001</v>
      </c>
      <c r="O640" s="12">
        <v>1291.1809519999999</v>
      </c>
      <c r="P640" s="12">
        <v>-33.4</v>
      </c>
      <c r="Q640" s="12" t="s">
        <v>3</v>
      </c>
    </row>
    <row r="641" spans="1:17" x14ac:dyDescent="0.3">
      <c r="A641" s="12" t="s">
        <v>90</v>
      </c>
      <c r="B641" s="12" t="s">
        <v>201</v>
      </c>
      <c r="C641" s="12" t="s">
        <v>213</v>
      </c>
      <c r="E641" s="12" t="s">
        <v>110</v>
      </c>
      <c r="F641" s="12" t="s">
        <v>114</v>
      </c>
      <c r="G641" s="12" t="s">
        <v>27</v>
      </c>
      <c r="I641" s="12">
        <v>-10</v>
      </c>
      <c r="L641" s="12">
        <v>4716.5</v>
      </c>
      <c r="M641" s="12">
        <v>-1.3</v>
      </c>
      <c r="N641" s="12">
        <v>-3424.0190480000001</v>
      </c>
      <c r="O641" s="12">
        <v>1291.1809519999999</v>
      </c>
      <c r="P641" s="12">
        <v>-33.4</v>
      </c>
    </row>
    <row r="642" spans="1:17" x14ac:dyDescent="0.3">
      <c r="A642" s="12" t="s">
        <v>90</v>
      </c>
      <c r="B642" s="12" t="s">
        <v>201</v>
      </c>
      <c r="C642" s="12" t="s">
        <v>123</v>
      </c>
      <c r="D642" s="12" t="s">
        <v>209</v>
      </c>
      <c r="E642" s="12" t="s">
        <v>110</v>
      </c>
      <c r="F642" s="12" t="s">
        <v>114</v>
      </c>
      <c r="G642" s="12" t="s">
        <v>29</v>
      </c>
      <c r="H642" s="12" t="s">
        <v>579</v>
      </c>
      <c r="I642" s="12">
        <v>6</v>
      </c>
      <c r="J642" s="12">
        <v>265.07</v>
      </c>
      <c r="K642" s="12">
        <v>267.82</v>
      </c>
      <c r="L642" s="12">
        <v>-1590.42</v>
      </c>
      <c r="M642" s="12">
        <v>-1.3</v>
      </c>
      <c r="N642" s="12">
        <v>1591.72</v>
      </c>
      <c r="O642" s="12">
        <v>0</v>
      </c>
      <c r="P642" s="12">
        <v>16.5</v>
      </c>
      <c r="Q642" s="12" t="s">
        <v>211</v>
      </c>
    </row>
    <row r="643" spans="1:17" x14ac:dyDescent="0.3">
      <c r="A643" s="12" t="s">
        <v>90</v>
      </c>
      <c r="B643" s="12" t="s">
        <v>201</v>
      </c>
      <c r="C643" s="12" t="s">
        <v>213</v>
      </c>
      <c r="E643" s="12" t="s">
        <v>110</v>
      </c>
      <c r="F643" s="12" t="s">
        <v>114</v>
      </c>
      <c r="G643" s="12" t="s">
        <v>29</v>
      </c>
      <c r="I643" s="12">
        <v>6</v>
      </c>
      <c r="L643" s="12">
        <v>-1590.42</v>
      </c>
      <c r="M643" s="12">
        <v>-1.3</v>
      </c>
      <c r="N643" s="12">
        <v>1591.72</v>
      </c>
      <c r="O643" s="12">
        <v>0</v>
      </c>
      <c r="P643" s="12">
        <v>16.5</v>
      </c>
    </row>
    <row r="644" spans="1:17" x14ac:dyDescent="0.3">
      <c r="A644" s="12" t="s">
        <v>90</v>
      </c>
      <c r="B644" s="12" t="s">
        <v>201</v>
      </c>
      <c r="C644" s="12" t="s">
        <v>123</v>
      </c>
      <c r="D644" s="12" t="s">
        <v>209</v>
      </c>
      <c r="E644" s="12" t="s">
        <v>110</v>
      </c>
      <c r="F644" s="12" t="s">
        <v>114</v>
      </c>
      <c r="G644" s="12" t="s">
        <v>39</v>
      </c>
      <c r="H644" s="12" t="s">
        <v>580</v>
      </c>
      <c r="I644" s="12">
        <v>20</v>
      </c>
      <c r="J644" s="12">
        <v>141.51</v>
      </c>
      <c r="K644" s="12">
        <v>141.69</v>
      </c>
      <c r="L644" s="12">
        <v>-2830.2</v>
      </c>
      <c r="M644" s="12">
        <v>-1.3</v>
      </c>
      <c r="N644" s="12">
        <v>2831.5</v>
      </c>
      <c r="O644" s="12">
        <v>0</v>
      </c>
      <c r="P644" s="12">
        <v>3.6</v>
      </c>
      <c r="Q644" s="12" t="s">
        <v>215</v>
      </c>
    </row>
    <row r="645" spans="1:17" x14ac:dyDescent="0.3">
      <c r="A645" s="12" t="s">
        <v>90</v>
      </c>
      <c r="B645" s="12" t="s">
        <v>201</v>
      </c>
      <c r="C645" s="12" t="s">
        <v>213</v>
      </c>
      <c r="E645" s="12" t="s">
        <v>110</v>
      </c>
      <c r="F645" s="12" t="s">
        <v>114</v>
      </c>
      <c r="G645" s="12" t="s">
        <v>39</v>
      </c>
      <c r="I645" s="12">
        <v>20</v>
      </c>
      <c r="L645" s="12">
        <v>-2830.2</v>
      </c>
      <c r="M645" s="12">
        <v>-1.3</v>
      </c>
      <c r="N645" s="12">
        <v>2831.5</v>
      </c>
      <c r="O645" s="12">
        <v>0</v>
      </c>
      <c r="P645" s="12">
        <v>3.6</v>
      </c>
    </row>
    <row r="646" spans="1:17" x14ac:dyDescent="0.3">
      <c r="A646" s="12" t="s">
        <v>90</v>
      </c>
      <c r="B646" s="12" t="s">
        <v>201</v>
      </c>
      <c r="C646" s="12" t="s">
        <v>123</v>
      </c>
      <c r="D646" s="12" t="s">
        <v>209</v>
      </c>
      <c r="E646" s="12" t="s">
        <v>110</v>
      </c>
      <c r="F646" s="12" t="s">
        <v>114</v>
      </c>
      <c r="G646" s="12" t="s">
        <v>31</v>
      </c>
      <c r="H646" s="12" t="s">
        <v>581</v>
      </c>
      <c r="I646" s="12">
        <v>-9</v>
      </c>
      <c r="J646" s="12">
        <v>235.39</v>
      </c>
      <c r="K646" s="12">
        <v>234.03</v>
      </c>
      <c r="L646" s="12">
        <v>2118.5100000000002</v>
      </c>
      <c r="M646" s="12">
        <v>-1.3</v>
      </c>
      <c r="N646" s="12">
        <v>-1648.71</v>
      </c>
      <c r="O646" s="12">
        <v>468.5</v>
      </c>
      <c r="P646" s="12">
        <v>12.24</v>
      </c>
      <c r="Q646" s="12" t="s">
        <v>3</v>
      </c>
    </row>
    <row r="647" spans="1:17" x14ac:dyDescent="0.3">
      <c r="A647" s="12" t="s">
        <v>90</v>
      </c>
      <c r="B647" s="12" t="s">
        <v>201</v>
      </c>
      <c r="C647" s="12" t="s">
        <v>123</v>
      </c>
      <c r="D647" s="12" t="s">
        <v>209</v>
      </c>
      <c r="E647" s="12" t="s">
        <v>110</v>
      </c>
      <c r="F647" s="12" t="s">
        <v>114</v>
      </c>
      <c r="G647" s="12" t="s">
        <v>31</v>
      </c>
      <c r="H647" s="12" t="s">
        <v>582</v>
      </c>
      <c r="I647" s="12">
        <v>9</v>
      </c>
      <c r="J647" s="12">
        <v>182</v>
      </c>
      <c r="K647" s="12">
        <v>230</v>
      </c>
      <c r="L647" s="12">
        <v>-1638</v>
      </c>
      <c r="M647" s="12">
        <v>-1.3</v>
      </c>
      <c r="N647" s="12">
        <v>1639.3</v>
      </c>
      <c r="O647" s="12">
        <v>0</v>
      </c>
      <c r="P647" s="12">
        <v>432</v>
      </c>
      <c r="Q647" s="12" t="s">
        <v>215</v>
      </c>
    </row>
    <row r="648" spans="1:17" x14ac:dyDescent="0.3">
      <c r="A648" s="12" t="s">
        <v>90</v>
      </c>
      <c r="B648" s="12" t="s">
        <v>201</v>
      </c>
      <c r="C648" s="12" t="s">
        <v>213</v>
      </c>
      <c r="E648" s="12" t="s">
        <v>110</v>
      </c>
      <c r="F648" s="12" t="s">
        <v>114</v>
      </c>
      <c r="G648" s="12" t="s">
        <v>31</v>
      </c>
      <c r="I648" s="12">
        <v>0</v>
      </c>
      <c r="L648" s="12">
        <v>480.51</v>
      </c>
      <c r="M648" s="12">
        <v>-2.6</v>
      </c>
      <c r="N648" s="12">
        <v>-9.41</v>
      </c>
      <c r="O648" s="12">
        <v>468.5</v>
      </c>
      <c r="P648" s="12">
        <v>444.24</v>
      </c>
    </row>
    <row r="649" spans="1:17" x14ac:dyDescent="0.3">
      <c r="A649" s="12" t="s">
        <v>90</v>
      </c>
      <c r="B649" s="12" t="s">
        <v>201</v>
      </c>
      <c r="C649" s="12" t="s">
        <v>123</v>
      </c>
      <c r="D649" s="12" t="s">
        <v>209</v>
      </c>
      <c r="E649" s="12" t="s">
        <v>110</v>
      </c>
      <c r="F649" s="12" t="s">
        <v>114</v>
      </c>
      <c r="G649" s="12" t="s">
        <v>32</v>
      </c>
      <c r="H649" s="12" t="s">
        <v>583</v>
      </c>
      <c r="I649" s="12">
        <v>-53</v>
      </c>
      <c r="J649" s="12">
        <v>70.27</v>
      </c>
      <c r="K649" s="12">
        <v>70.47</v>
      </c>
      <c r="L649" s="12">
        <v>3724.31</v>
      </c>
      <c r="M649" s="12">
        <v>-1.3</v>
      </c>
      <c r="N649" s="12">
        <v>-3076.77</v>
      </c>
      <c r="O649" s="12">
        <v>646.24</v>
      </c>
      <c r="P649" s="12">
        <v>-10.6</v>
      </c>
      <c r="Q649" s="12" t="s">
        <v>3</v>
      </c>
    </row>
    <row r="650" spans="1:17" x14ac:dyDescent="0.3">
      <c r="A650" s="12" t="s">
        <v>90</v>
      </c>
      <c r="B650" s="12" t="s">
        <v>201</v>
      </c>
      <c r="C650" s="12" t="s">
        <v>123</v>
      </c>
      <c r="D650" s="12" t="s">
        <v>209</v>
      </c>
      <c r="E650" s="12" t="s">
        <v>110</v>
      </c>
      <c r="F650" s="12" t="s">
        <v>114</v>
      </c>
      <c r="G650" s="12" t="s">
        <v>32</v>
      </c>
      <c r="H650" s="12" t="s">
        <v>584</v>
      </c>
      <c r="I650" s="12">
        <v>53</v>
      </c>
      <c r="J650" s="12">
        <v>67.14</v>
      </c>
      <c r="K650" s="12">
        <v>68.989999999999995</v>
      </c>
      <c r="L650" s="12">
        <v>-3558.42</v>
      </c>
      <c r="M650" s="12">
        <v>-1.3</v>
      </c>
      <c r="N650" s="12">
        <v>3559.72</v>
      </c>
      <c r="O650" s="12">
        <v>0</v>
      </c>
      <c r="P650" s="12">
        <v>98.05</v>
      </c>
      <c r="Q650" s="12" t="s">
        <v>211</v>
      </c>
    </row>
    <row r="651" spans="1:17" x14ac:dyDescent="0.3">
      <c r="A651" s="12" t="s">
        <v>90</v>
      </c>
      <c r="B651" s="12" t="s">
        <v>201</v>
      </c>
      <c r="C651" s="12" t="s">
        <v>123</v>
      </c>
      <c r="D651" s="12" t="s">
        <v>209</v>
      </c>
      <c r="E651" s="12" t="s">
        <v>110</v>
      </c>
      <c r="F651" s="12" t="s">
        <v>114</v>
      </c>
      <c r="G651" s="12" t="s">
        <v>32</v>
      </c>
      <c r="H651" s="12" t="s">
        <v>585</v>
      </c>
      <c r="I651" s="12">
        <v>-36</v>
      </c>
      <c r="J651" s="12">
        <v>77.5</v>
      </c>
      <c r="K651" s="12">
        <v>79.150000000000006</v>
      </c>
      <c r="L651" s="12">
        <v>2790</v>
      </c>
      <c r="M651" s="12">
        <v>-1.3</v>
      </c>
      <c r="N651" s="12">
        <v>-2089.8815089999998</v>
      </c>
      <c r="O651" s="12">
        <v>698.81849099999999</v>
      </c>
      <c r="P651" s="12">
        <v>-59.4</v>
      </c>
      <c r="Q651" s="12" t="s">
        <v>3</v>
      </c>
    </row>
    <row r="652" spans="1:17" x14ac:dyDescent="0.3">
      <c r="A652" s="12" t="s">
        <v>90</v>
      </c>
      <c r="B652" s="12" t="s">
        <v>201</v>
      </c>
      <c r="C652" s="12" t="s">
        <v>213</v>
      </c>
      <c r="E652" s="12" t="s">
        <v>110</v>
      </c>
      <c r="F652" s="12" t="s">
        <v>114</v>
      </c>
      <c r="G652" s="12" t="s">
        <v>32</v>
      </c>
      <c r="I652" s="12">
        <v>-36</v>
      </c>
      <c r="L652" s="12">
        <v>2955.89</v>
      </c>
      <c r="M652" s="12">
        <v>-3.9</v>
      </c>
      <c r="N652" s="12">
        <v>-1606.931509</v>
      </c>
      <c r="O652" s="12">
        <v>1345.058491</v>
      </c>
      <c r="P652" s="12">
        <v>28.05</v>
      </c>
    </row>
    <row r="653" spans="1:17" x14ac:dyDescent="0.3">
      <c r="A653" s="12" t="s">
        <v>90</v>
      </c>
      <c r="B653" s="12" t="s">
        <v>201</v>
      </c>
      <c r="C653" s="12" t="s">
        <v>123</v>
      </c>
      <c r="D653" s="12" t="s">
        <v>209</v>
      </c>
      <c r="E653" s="12" t="s">
        <v>110</v>
      </c>
      <c r="F653" s="12" t="s">
        <v>114</v>
      </c>
      <c r="G653" s="12" t="s">
        <v>33</v>
      </c>
      <c r="H653" s="12" t="s">
        <v>586</v>
      </c>
      <c r="I653" s="12">
        <v>-7</v>
      </c>
      <c r="J653" s="12">
        <v>523.47</v>
      </c>
      <c r="K653" s="12">
        <v>531.05999999999995</v>
      </c>
      <c r="L653" s="12">
        <v>3664.29</v>
      </c>
      <c r="M653" s="12">
        <v>-1.3</v>
      </c>
      <c r="N653" s="12">
        <v>-3318.04</v>
      </c>
      <c r="O653" s="12">
        <v>344.95</v>
      </c>
      <c r="P653" s="12">
        <v>-53.13</v>
      </c>
      <c r="Q653" s="12" t="s">
        <v>230</v>
      </c>
    </row>
    <row r="654" spans="1:17" x14ac:dyDescent="0.3">
      <c r="A654" s="12" t="s">
        <v>90</v>
      </c>
      <c r="B654" s="12" t="s">
        <v>201</v>
      </c>
      <c r="C654" s="12" t="s">
        <v>213</v>
      </c>
      <c r="E654" s="12" t="s">
        <v>110</v>
      </c>
      <c r="F654" s="12" t="s">
        <v>114</v>
      </c>
      <c r="G654" s="12" t="s">
        <v>33</v>
      </c>
      <c r="I654" s="12">
        <v>-7</v>
      </c>
      <c r="L654" s="12">
        <v>3664.29</v>
      </c>
      <c r="M654" s="12">
        <v>-1.3</v>
      </c>
      <c r="N654" s="12">
        <v>-3318.04</v>
      </c>
      <c r="O654" s="12">
        <v>344.95</v>
      </c>
      <c r="P654" s="12">
        <v>-53.13</v>
      </c>
    </row>
    <row r="655" spans="1:17" x14ac:dyDescent="0.3">
      <c r="A655" s="12" t="s">
        <v>90</v>
      </c>
      <c r="B655" s="12" t="s">
        <v>201</v>
      </c>
      <c r="C655" s="12" t="s">
        <v>123</v>
      </c>
      <c r="D655" s="12" t="s">
        <v>209</v>
      </c>
      <c r="E655" s="12" t="s">
        <v>110</v>
      </c>
      <c r="F655" s="12" t="s">
        <v>114</v>
      </c>
      <c r="G655" s="12" t="s">
        <v>40</v>
      </c>
      <c r="H655" s="12" t="s">
        <v>587</v>
      </c>
      <c r="I655" s="12">
        <v>15</v>
      </c>
      <c r="J655" s="12">
        <v>247</v>
      </c>
      <c r="K655" s="12">
        <v>248.33</v>
      </c>
      <c r="L655" s="12">
        <v>-3705</v>
      </c>
      <c r="M655" s="12">
        <v>-1.3</v>
      </c>
      <c r="N655" s="12">
        <v>3706.3</v>
      </c>
      <c r="O655" s="12">
        <v>0</v>
      </c>
      <c r="P655" s="12">
        <v>19.95</v>
      </c>
      <c r="Q655" s="12" t="s">
        <v>215</v>
      </c>
    </row>
    <row r="656" spans="1:17" x14ac:dyDescent="0.3">
      <c r="A656" s="12" t="s">
        <v>90</v>
      </c>
      <c r="B656" s="12" t="s">
        <v>201</v>
      </c>
      <c r="C656" s="12" t="s">
        <v>213</v>
      </c>
      <c r="E656" s="12" t="s">
        <v>110</v>
      </c>
      <c r="F656" s="12" t="s">
        <v>114</v>
      </c>
      <c r="G656" s="12" t="s">
        <v>40</v>
      </c>
      <c r="I656" s="12">
        <v>15</v>
      </c>
      <c r="L656" s="12">
        <v>-3705</v>
      </c>
      <c r="M656" s="12">
        <v>-1.3</v>
      </c>
      <c r="N656" s="12">
        <v>3706.3</v>
      </c>
      <c r="O656" s="12">
        <v>0</v>
      </c>
      <c r="P656" s="12">
        <v>19.95</v>
      </c>
    </row>
    <row r="657" spans="1:17" x14ac:dyDescent="0.3">
      <c r="A657" s="12" t="s">
        <v>90</v>
      </c>
      <c r="B657" s="12" t="s">
        <v>201</v>
      </c>
      <c r="C657" s="12" t="s">
        <v>123</v>
      </c>
      <c r="D657" s="12" t="s">
        <v>209</v>
      </c>
      <c r="E657" s="12" t="s">
        <v>110</v>
      </c>
      <c r="F657" s="12" t="s">
        <v>114</v>
      </c>
      <c r="G657" s="12" t="s">
        <v>41</v>
      </c>
      <c r="H657" s="12" t="s">
        <v>588</v>
      </c>
      <c r="I657" s="12">
        <v>300</v>
      </c>
      <c r="J657" s="12">
        <v>40.18</v>
      </c>
      <c r="K657" s="12">
        <v>40.21</v>
      </c>
      <c r="L657" s="12">
        <v>-12054</v>
      </c>
      <c r="M657" s="12">
        <v>-2.1</v>
      </c>
      <c r="N657" s="12">
        <v>12056.1</v>
      </c>
      <c r="O657" s="12">
        <v>0</v>
      </c>
      <c r="P657" s="12">
        <v>9</v>
      </c>
      <c r="Q657" s="12" t="s">
        <v>215</v>
      </c>
    </row>
    <row r="658" spans="1:17" x14ac:dyDescent="0.3">
      <c r="A658" s="12" t="s">
        <v>90</v>
      </c>
      <c r="B658" s="12" t="s">
        <v>201</v>
      </c>
      <c r="C658" s="12" t="s">
        <v>123</v>
      </c>
      <c r="D658" s="12" t="s">
        <v>209</v>
      </c>
      <c r="E658" s="12" t="s">
        <v>110</v>
      </c>
      <c r="F658" s="12" t="s">
        <v>114</v>
      </c>
      <c r="G658" s="12" t="s">
        <v>41</v>
      </c>
      <c r="H658" s="12" t="s">
        <v>589</v>
      </c>
      <c r="I658" s="12">
        <v>300</v>
      </c>
      <c r="J658" s="12">
        <v>41.31</v>
      </c>
      <c r="K658" s="12">
        <v>41.31</v>
      </c>
      <c r="L658" s="12">
        <v>-12393</v>
      </c>
      <c r="M658" s="12">
        <v>-2.1</v>
      </c>
      <c r="N658" s="12">
        <v>12395.1</v>
      </c>
      <c r="O658" s="12">
        <v>0</v>
      </c>
      <c r="P658" s="12">
        <v>0</v>
      </c>
      <c r="Q658" s="12" t="s">
        <v>215</v>
      </c>
    </row>
    <row r="659" spans="1:17" x14ac:dyDescent="0.3">
      <c r="A659" s="12" t="s">
        <v>90</v>
      </c>
      <c r="B659" s="12" t="s">
        <v>201</v>
      </c>
      <c r="C659" s="12" t="s">
        <v>213</v>
      </c>
      <c r="E659" s="12" t="s">
        <v>110</v>
      </c>
      <c r="F659" s="12" t="s">
        <v>114</v>
      </c>
      <c r="G659" s="12" t="s">
        <v>41</v>
      </c>
      <c r="I659" s="12">
        <v>600</v>
      </c>
      <c r="L659" s="12">
        <v>-24447</v>
      </c>
      <c r="M659" s="12">
        <v>-4.2</v>
      </c>
      <c r="N659" s="12">
        <v>24451.200000000001</v>
      </c>
      <c r="O659" s="12">
        <v>0</v>
      </c>
      <c r="P659" s="12">
        <v>9</v>
      </c>
    </row>
    <row r="660" spans="1:17" x14ac:dyDescent="0.3">
      <c r="A660" s="12" t="s">
        <v>90</v>
      </c>
      <c r="B660" s="12" t="s">
        <v>201</v>
      </c>
      <c r="C660" s="12" t="s">
        <v>123</v>
      </c>
      <c r="D660" s="12" t="s">
        <v>209</v>
      </c>
      <c r="E660" s="12" t="s">
        <v>110</v>
      </c>
      <c r="F660" s="12" t="s">
        <v>114</v>
      </c>
      <c r="G660" s="12" t="s">
        <v>42</v>
      </c>
      <c r="H660" s="12" t="s">
        <v>590</v>
      </c>
      <c r="I660" s="12">
        <v>50</v>
      </c>
      <c r="J660" s="12">
        <v>200.56</v>
      </c>
      <c r="K660" s="12">
        <v>200.17</v>
      </c>
      <c r="L660" s="12">
        <v>-10028</v>
      </c>
      <c r="M660" s="12">
        <v>-1.3</v>
      </c>
      <c r="N660" s="12">
        <v>10029.299999999999</v>
      </c>
      <c r="O660" s="12">
        <v>0</v>
      </c>
      <c r="P660" s="12">
        <v>-19.5</v>
      </c>
      <c r="Q660" s="12" t="s">
        <v>215</v>
      </c>
    </row>
    <row r="661" spans="1:17" x14ac:dyDescent="0.3">
      <c r="A661" s="12" t="s">
        <v>90</v>
      </c>
      <c r="B661" s="12" t="s">
        <v>201</v>
      </c>
      <c r="C661" s="12" t="s">
        <v>213</v>
      </c>
      <c r="E661" s="12" t="s">
        <v>110</v>
      </c>
      <c r="F661" s="12" t="s">
        <v>114</v>
      </c>
      <c r="G661" s="12" t="s">
        <v>42</v>
      </c>
      <c r="I661" s="12">
        <v>50</v>
      </c>
      <c r="L661" s="12">
        <v>-10028</v>
      </c>
      <c r="M661" s="12">
        <v>-1.3</v>
      </c>
      <c r="N661" s="12">
        <v>10029.299999999999</v>
      </c>
      <c r="O661" s="12">
        <v>0</v>
      </c>
      <c r="P661" s="12">
        <v>-19.5</v>
      </c>
    </row>
    <row r="662" spans="1:17" x14ac:dyDescent="0.3">
      <c r="A662" s="12" t="s">
        <v>90</v>
      </c>
      <c r="B662" s="12" t="s">
        <v>201</v>
      </c>
      <c r="C662" s="12" t="s">
        <v>123</v>
      </c>
      <c r="D662" s="12" t="s">
        <v>209</v>
      </c>
      <c r="E662" s="12" t="s">
        <v>110</v>
      </c>
      <c r="F662" s="12" t="s">
        <v>114</v>
      </c>
      <c r="G662" s="12" t="s">
        <v>43</v>
      </c>
      <c r="H662" s="12" t="s">
        <v>591</v>
      </c>
      <c r="I662" s="12">
        <v>80</v>
      </c>
      <c r="J662" s="12">
        <v>61.1</v>
      </c>
      <c r="K662" s="12">
        <v>59.96</v>
      </c>
      <c r="L662" s="12">
        <v>-4888</v>
      </c>
      <c r="M662" s="12">
        <v>-1.3</v>
      </c>
      <c r="N662" s="12">
        <v>4889.3</v>
      </c>
      <c r="O662" s="12">
        <v>0</v>
      </c>
      <c r="P662" s="12">
        <v>-91.2</v>
      </c>
      <c r="Q662" s="12" t="s">
        <v>215</v>
      </c>
    </row>
    <row r="663" spans="1:17" x14ac:dyDescent="0.3">
      <c r="A663" s="12" t="s">
        <v>90</v>
      </c>
      <c r="B663" s="12" t="s">
        <v>201</v>
      </c>
      <c r="C663" s="12" t="s">
        <v>213</v>
      </c>
      <c r="E663" s="12" t="s">
        <v>110</v>
      </c>
      <c r="F663" s="12" t="s">
        <v>114</v>
      </c>
      <c r="G663" s="12" t="s">
        <v>43</v>
      </c>
      <c r="I663" s="12">
        <v>80</v>
      </c>
      <c r="L663" s="12">
        <v>-4888</v>
      </c>
      <c r="M663" s="12">
        <v>-1.3</v>
      </c>
      <c r="N663" s="12">
        <v>4889.3</v>
      </c>
      <c r="O663" s="12">
        <v>0</v>
      </c>
      <c r="P663" s="12">
        <v>-91.2</v>
      </c>
    </row>
    <row r="664" spans="1:17" x14ac:dyDescent="0.3">
      <c r="A664" s="12" t="s">
        <v>90</v>
      </c>
      <c r="B664" s="12" t="s">
        <v>201</v>
      </c>
      <c r="C664" s="12" t="s">
        <v>123</v>
      </c>
      <c r="D664" s="12" t="s">
        <v>209</v>
      </c>
      <c r="E664" s="12" t="s">
        <v>110</v>
      </c>
      <c r="F664" s="12" t="s">
        <v>114</v>
      </c>
      <c r="G664" s="12" t="s">
        <v>44</v>
      </c>
      <c r="H664" s="12" t="s">
        <v>592</v>
      </c>
      <c r="I664" s="12">
        <v>30</v>
      </c>
      <c r="J664" s="12">
        <v>145.11000000000001</v>
      </c>
      <c r="K664" s="12">
        <v>145.15</v>
      </c>
      <c r="L664" s="12">
        <v>-4353.3</v>
      </c>
      <c r="M664" s="12">
        <v>-1.3</v>
      </c>
      <c r="N664" s="12">
        <v>4354.6000000000004</v>
      </c>
      <c r="O664" s="12">
        <v>0</v>
      </c>
      <c r="P664" s="12">
        <v>1.2</v>
      </c>
      <c r="Q664" s="12" t="s">
        <v>215</v>
      </c>
    </row>
    <row r="665" spans="1:17" x14ac:dyDescent="0.3">
      <c r="A665" s="12" t="s">
        <v>90</v>
      </c>
      <c r="B665" s="12" t="s">
        <v>201</v>
      </c>
      <c r="C665" s="12" t="s">
        <v>213</v>
      </c>
      <c r="E665" s="12" t="s">
        <v>110</v>
      </c>
      <c r="F665" s="12" t="s">
        <v>114</v>
      </c>
      <c r="G665" s="12" t="s">
        <v>44</v>
      </c>
      <c r="I665" s="12">
        <v>30</v>
      </c>
      <c r="L665" s="12">
        <v>-4353.3</v>
      </c>
      <c r="M665" s="12">
        <v>-1.3</v>
      </c>
      <c r="N665" s="12">
        <v>4354.6000000000004</v>
      </c>
      <c r="O665" s="12">
        <v>0</v>
      </c>
      <c r="P665" s="12">
        <v>1.2</v>
      </c>
    </row>
    <row r="666" spans="1:17" x14ac:dyDescent="0.3">
      <c r="A666" s="12" t="s">
        <v>90</v>
      </c>
      <c r="B666" s="12" t="s">
        <v>201</v>
      </c>
      <c r="C666" s="12" t="s">
        <v>123</v>
      </c>
      <c r="D666" s="12" t="s">
        <v>209</v>
      </c>
      <c r="E666" s="12" t="s">
        <v>110</v>
      </c>
      <c r="F666" s="12" t="s">
        <v>114</v>
      </c>
      <c r="G666" s="12" t="s">
        <v>35</v>
      </c>
      <c r="H666" s="12" t="s">
        <v>593</v>
      </c>
      <c r="I666" s="12">
        <v>-24</v>
      </c>
      <c r="J666" s="12">
        <v>101.97</v>
      </c>
      <c r="K666" s="12">
        <v>101.97</v>
      </c>
      <c r="L666" s="12">
        <v>2447.2800000000002</v>
      </c>
      <c r="M666" s="12">
        <v>-1.3</v>
      </c>
      <c r="N666" s="12">
        <v>-2485.54</v>
      </c>
      <c r="O666" s="12">
        <v>-39.56</v>
      </c>
      <c r="P666" s="12">
        <v>0</v>
      </c>
      <c r="Q666" s="12" t="s">
        <v>3</v>
      </c>
    </row>
    <row r="667" spans="1:17" x14ac:dyDescent="0.3">
      <c r="A667" s="12" t="s">
        <v>90</v>
      </c>
      <c r="B667" s="12" t="s">
        <v>201</v>
      </c>
      <c r="C667" s="12" t="s">
        <v>123</v>
      </c>
      <c r="D667" s="12" t="s">
        <v>209</v>
      </c>
      <c r="E667" s="12" t="s">
        <v>110</v>
      </c>
      <c r="F667" s="12" t="s">
        <v>114</v>
      </c>
      <c r="G667" s="12" t="s">
        <v>35</v>
      </c>
      <c r="H667" s="12" t="s">
        <v>594</v>
      </c>
      <c r="I667" s="12">
        <v>100</v>
      </c>
      <c r="J667" s="12">
        <v>102.51</v>
      </c>
      <c r="K667" s="12">
        <v>101.77</v>
      </c>
      <c r="L667" s="12">
        <v>-10251</v>
      </c>
      <c r="M667" s="12">
        <v>-1.3</v>
      </c>
      <c r="N667" s="12">
        <v>10252.299999999999</v>
      </c>
      <c r="O667" s="12">
        <v>0</v>
      </c>
      <c r="P667" s="12">
        <v>-74</v>
      </c>
      <c r="Q667" s="12" t="s">
        <v>215</v>
      </c>
    </row>
    <row r="668" spans="1:17" x14ac:dyDescent="0.3">
      <c r="A668" s="12" t="s">
        <v>90</v>
      </c>
      <c r="B668" s="12" t="s">
        <v>201</v>
      </c>
      <c r="C668" s="12" t="s">
        <v>213</v>
      </c>
      <c r="E668" s="12" t="s">
        <v>110</v>
      </c>
      <c r="F668" s="12" t="s">
        <v>114</v>
      </c>
      <c r="G668" s="12" t="s">
        <v>35</v>
      </c>
      <c r="I668" s="12">
        <v>76</v>
      </c>
      <c r="L668" s="12">
        <v>-7803.72</v>
      </c>
      <c r="M668" s="12">
        <v>-2.6</v>
      </c>
      <c r="N668" s="12">
        <v>7766.76</v>
      </c>
      <c r="O668" s="12">
        <v>-39.56</v>
      </c>
      <c r="P668" s="12">
        <v>-74</v>
      </c>
    </row>
    <row r="669" spans="1:17" x14ac:dyDescent="0.3">
      <c r="A669" s="12" t="s">
        <v>90</v>
      </c>
      <c r="B669" s="12" t="s">
        <v>201</v>
      </c>
      <c r="C669" s="12" t="s">
        <v>97</v>
      </c>
      <c r="E669" s="12" t="s">
        <v>110</v>
      </c>
      <c r="F669" s="12" t="s">
        <v>114</v>
      </c>
      <c r="L669" s="12">
        <v>-11080.71</v>
      </c>
      <c r="M669" s="12">
        <v>-52.3</v>
      </c>
      <c r="N669" s="12">
        <v>18445.184132999999</v>
      </c>
      <c r="O669" s="12">
        <v>7312.1741330000004</v>
      </c>
      <c r="P669" s="12">
        <v>145.74</v>
      </c>
      <c r="Q669" s="12" t="s">
        <v>257</v>
      </c>
    </row>
    <row r="670" spans="1:17" x14ac:dyDescent="0.3">
      <c r="A670" s="12" t="s">
        <v>90</v>
      </c>
      <c r="B670" s="12" t="s">
        <v>201</v>
      </c>
      <c r="C670" s="12" t="s">
        <v>120</v>
      </c>
      <c r="D670" s="12" t="s">
        <v>192</v>
      </c>
      <c r="E670" s="12" t="s">
        <v>100</v>
      </c>
      <c r="F670" s="12" t="s">
        <v>181</v>
      </c>
      <c r="G670" s="12" t="s">
        <v>0</v>
      </c>
      <c r="H670" s="12" t="s">
        <v>202</v>
      </c>
      <c r="I670" s="12" t="s">
        <v>193</v>
      </c>
      <c r="J670" s="12" t="s">
        <v>203</v>
      </c>
      <c r="K670" s="12" t="s">
        <v>204</v>
      </c>
      <c r="L670" s="12" t="s">
        <v>258</v>
      </c>
      <c r="M670" s="12" t="s">
        <v>206</v>
      </c>
      <c r="N670" s="12" t="s">
        <v>1</v>
      </c>
      <c r="O670" s="12" t="s">
        <v>207</v>
      </c>
      <c r="P670" s="12" t="s">
        <v>208</v>
      </c>
      <c r="Q670" s="12" t="s">
        <v>165</v>
      </c>
    </row>
    <row r="671" spans="1:17" x14ac:dyDescent="0.3">
      <c r="A671" s="12" t="s">
        <v>90</v>
      </c>
      <c r="B671" s="12" t="s">
        <v>201</v>
      </c>
      <c r="C671" s="12" t="s">
        <v>123</v>
      </c>
      <c r="D671" s="12" t="s">
        <v>209</v>
      </c>
      <c r="E671" s="12" t="s">
        <v>112</v>
      </c>
      <c r="F671" s="12" t="s">
        <v>114</v>
      </c>
      <c r="G671" s="12" t="s">
        <v>36</v>
      </c>
      <c r="H671" s="12" t="s">
        <v>595</v>
      </c>
      <c r="I671" s="12">
        <v>1</v>
      </c>
      <c r="J671" s="12">
        <v>5012.5</v>
      </c>
      <c r="K671" s="12">
        <v>4996.25</v>
      </c>
      <c r="L671" s="12">
        <v>-25062.5</v>
      </c>
      <c r="M671" s="12">
        <v>-3</v>
      </c>
      <c r="N671" s="12">
        <v>23780.75</v>
      </c>
      <c r="O671" s="12">
        <v>-1284.75</v>
      </c>
      <c r="P671" s="12">
        <v>-81.25</v>
      </c>
      <c r="Q671" s="12" t="s">
        <v>3</v>
      </c>
    </row>
    <row r="672" spans="1:17" x14ac:dyDescent="0.3">
      <c r="A672" s="12" t="s">
        <v>90</v>
      </c>
      <c r="B672" s="12" t="s">
        <v>201</v>
      </c>
      <c r="C672" s="12" t="s">
        <v>123</v>
      </c>
      <c r="D672" s="12" t="s">
        <v>209</v>
      </c>
      <c r="E672" s="12" t="s">
        <v>112</v>
      </c>
      <c r="F672" s="12" t="s">
        <v>114</v>
      </c>
      <c r="G672" s="12" t="s">
        <v>36</v>
      </c>
      <c r="H672" s="12" t="s">
        <v>596</v>
      </c>
      <c r="I672" s="12">
        <v>-1</v>
      </c>
      <c r="J672" s="12">
        <v>5103</v>
      </c>
      <c r="K672" s="12">
        <v>5101.5</v>
      </c>
      <c r="L672" s="12">
        <v>25515</v>
      </c>
      <c r="M672" s="12">
        <v>-3</v>
      </c>
      <c r="N672" s="12">
        <v>-25512</v>
      </c>
      <c r="O672" s="12">
        <v>0</v>
      </c>
      <c r="P672" s="12">
        <v>7.5</v>
      </c>
      <c r="Q672" s="12" t="s">
        <v>215</v>
      </c>
    </row>
    <row r="673" spans="1:17" x14ac:dyDescent="0.3">
      <c r="A673" s="12" t="s">
        <v>90</v>
      </c>
      <c r="B673" s="12" t="s">
        <v>201</v>
      </c>
      <c r="C673" s="12" t="s">
        <v>213</v>
      </c>
      <c r="E673" s="12" t="s">
        <v>112</v>
      </c>
      <c r="F673" s="12" t="s">
        <v>114</v>
      </c>
      <c r="G673" s="12" t="s">
        <v>36</v>
      </c>
      <c r="I673" s="12">
        <v>0</v>
      </c>
      <c r="L673" s="12">
        <v>452.5</v>
      </c>
      <c r="M673" s="12">
        <v>-6</v>
      </c>
      <c r="N673" s="12">
        <v>-1731.25</v>
      </c>
      <c r="O673" s="12">
        <v>-1284.75</v>
      </c>
      <c r="P673" s="12">
        <v>-73.75</v>
      </c>
    </row>
    <row r="674" spans="1:17" x14ac:dyDescent="0.3">
      <c r="A674" s="12" t="s">
        <v>90</v>
      </c>
      <c r="B674" s="12" t="s">
        <v>201</v>
      </c>
      <c r="C674" s="12" t="s">
        <v>97</v>
      </c>
      <c r="E674" s="12" t="s">
        <v>112</v>
      </c>
      <c r="F674" s="12" t="s">
        <v>114</v>
      </c>
      <c r="L674" s="12">
        <v>452.5</v>
      </c>
      <c r="M674" s="12">
        <v>-6</v>
      </c>
      <c r="N674" s="12">
        <v>-1731.25</v>
      </c>
      <c r="O674" s="12">
        <v>-1284.75</v>
      </c>
      <c r="P674" s="12">
        <v>-73.75</v>
      </c>
      <c r="Q674" s="12" t="s">
        <v>257</v>
      </c>
    </row>
    <row r="675" spans="1:17" x14ac:dyDescent="0.3">
      <c r="A675" s="12" t="s">
        <v>90</v>
      </c>
      <c r="B675" s="12" t="s">
        <v>157</v>
      </c>
      <c r="C675" s="12" t="s">
        <v>120</v>
      </c>
      <c r="D675" s="12" t="s">
        <v>181</v>
      </c>
      <c r="E675" s="12" t="s">
        <v>268</v>
      </c>
      <c r="F675" s="12" t="s">
        <v>269</v>
      </c>
      <c r="G675" s="12" t="s">
        <v>270</v>
      </c>
    </row>
    <row r="676" spans="1:17" x14ac:dyDescent="0.3">
      <c r="A676" s="12" t="s">
        <v>90</v>
      </c>
      <c r="B676" s="12" t="s">
        <v>157</v>
      </c>
      <c r="C676" s="12" t="s">
        <v>123</v>
      </c>
      <c r="D676" s="12" t="s">
        <v>114</v>
      </c>
      <c r="E676" s="20">
        <v>45323</v>
      </c>
      <c r="F676" s="12" t="s">
        <v>597</v>
      </c>
      <c r="G676" s="12">
        <v>63.18</v>
      </c>
    </row>
    <row r="677" spans="1:17" x14ac:dyDescent="0.3">
      <c r="A677" s="12" t="s">
        <v>90</v>
      </c>
      <c r="B677" s="12" t="s">
        <v>157</v>
      </c>
      <c r="C677" s="12" t="s">
        <v>123</v>
      </c>
      <c r="D677" s="12" t="s">
        <v>114</v>
      </c>
      <c r="E677" s="20">
        <v>45331</v>
      </c>
      <c r="F677" s="12" t="s">
        <v>598</v>
      </c>
      <c r="G677" s="12">
        <v>18.48</v>
      </c>
    </row>
    <row r="678" spans="1:17" x14ac:dyDescent="0.3">
      <c r="A678" s="12" t="s">
        <v>90</v>
      </c>
      <c r="B678" s="12" t="s">
        <v>157</v>
      </c>
      <c r="C678" s="12" t="s">
        <v>123</v>
      </c>
      <c r="D678" s="12" t="s">
        <v>114</v>
      </c>
      <c r="E678" s="20">
        <v>45337</v>
      </c>
      <c r="F678" s="12" t="s">
        <v>599</v>
      </c>
      <c r="G678" s="12">
        <v>8.64</v>
      </c>
    </row>
    <row r="679" spans="1:17" x14ac:dyDescent="0.3">
      <c r="A679" s="12" t="s">
        <v>90</v>
      </c>
      <c r="B679" s="12" t="s">
        <v>157</v>
      </c>
      <c r="C679" s="12" t="s">
        <v>123</v>
      </c>
      <c r="D679" s="12" t="s">
        <v>114</v>
      </c>
      <c r="E679" s="20">
        <v>45338</v>
      </c>
      <c r="F679" s="12" t="s">
        <v>600</v>
      </c>
      <c r="G679" s="12">
        <v>11.22</v>
      </c>
    </row>
    <row r="680" spans="1:17" x14ac:dyDescent="0.3">
      <c r="A680" s="12" t="s">
        <v>90</v>
      </c>
      <c r="B680" s="12" t="s">
        <v>157</v>
      </c>
      <c r="C680" s="12" t="s">
        <v>123</v>
      </c>
      <c r="D680" s="12" t="s">
        <v>114</v>
      </c>
      <c r="E680" s="20">
        <v>45345</v>
      </c>
      <c r="F680" s="12" t="s">
        <v>601</v>
      </c>
      <c r="G680" s="12">
        <v>78.44</v>
      </c>
    </row>
    <row r="681" spans="1:17" x14ac:dyDescent="0.3">
      <c r="A681" s="12" t="s">
        <v>90</v>
      </c>
      <c r="B681" s="12" t="s">
        <v>157</v>
      </c>
      <c r="C681" s="12" t="s">
        <v>123</v>
      </c>
      <c r="D681" s="12" t="s">
        <v>114</v>
      </c>
      <c r="E681" s="20">
        <v>45348</v>
      </c>
      <c r="F681" s="12" t="s">
        <v>602</v>
      </c>
      <c r="G681" s="12">
        <v>3.3</v>
      </c>
    </row>
    <row r="682" spans="1:17" x14ac:dyDescent="0.3">
      <c r="A682" s="12" t="s">
        <v>90</v>
      </c>
      <c r="B682" s="12" t="s">
        <v>157</v>
      </c>
      <c r="C682" s="12" t="s">
        <v>123</v>
      </c>
      <c r="D682" s="12" t="s">
        <v>97</v>
      </c>
      <c r="G682" s="12">
        <v>183.26</v>
      </c>
    </row>
    <row r="683" spans="1:17" x14ac:dyDescent="0.3">
      <c r="A683" s="12" t="s">
        <v>90</v>
      </c>
      <c r="B683" s="12" t="s">
        <v>158</v>
      </c>
      <c r="C683" s="12" t="s">
        <v>120</v>
      </c>
      <c r="D683" s="12" t="s">
        <v>181</v>
      </c>
      <c r="E683" s="12" t="s">
        <v>268</v>
      </c>
      <c r="F683" s="12" t="s">
        <v>269</v>
      </c>
      <c r="G683" s="12" t="s">
        <v>270</v>
      </c>
      <c r="H683" s="12" t="s">
        <v>165</v>
      </c>
    </row>
    <row r="684" spans="1:17" x14ac:dyDescent="0.3">
      <c r="A684" s="12" t="s">
        <v>90</v>
      </c>
      <c r="B684" s="12" t="s">
        <v>158</v>
      </c>
      <c r="C684" s="12" t="s">
        <v>123</v>
      </c>
      <c r="D684" s="12" t="s">
        <v>114</v>
      </c>
      <c r="E684" s="20">
        <v>45309</v>
      </c>
      <c r="F684" s="12" t="s">
        <v>275</v>
      </c>
      <c r="G684" s="12">
        <v>3.51</v>
      </c>
    </row>
    <row r="685" spans="1:17" x14ac:dyDescent="0.3">
      <c r="A685" s="12" t="s">
        <v>90</v>
      </c>
      <c r="B685" s="12" t="s">
        <v>158</v>
      </c>
      <c r="C685" s="12" t="s">
        <v>123</v>
      </c>
      <c r="D685" s="12" t="s">
        <v>114</v>
      </c>
      <c r="E685" s="20">
        <v>45309</v>
      </c>
      <c r="F685" s="12" t="s">
        <v>275</v>
      </c>
      <c r="G685" s="12">
        <v>-2.93</v>
      </c>
    </row>
    <row r="686" spans="1:17" x14ac:dyDescent="0.3">
      <c r="A686" s="12" t="s">
        <v>90</v>
      </c>
      <c r="B686" s="12" t="s">
        <v>158</v>
      </c>
      <c r="C686" s="12" t="s">
        <v>123</v>
      </c>
      <c r="D686" s="12" t="s">
        <v>114</v>
      </c>
      <c r="E686" s="20">
        <v>45322</v>
      </c>
      <c r="F686" s="12" t="s">
        <v>276</v>
      </c>
      <c r="G686" s="12">
        <v>5.46</v>
      </c>
    </row>
    <row r="687" spans="1:17" x14ac:dyDescent="0.3">
      <c r="A687" s="12" t="s">
        <v>90</v>
      </c>
      <c r="B687" s="12" t="s">
        <v>158</v>
      </c>
      <c r="C687" s="12" t="s">
        <v>123</v>
      </c>
      <c r="D687" s="12" t="s">
        <v>114</v>
      </c>
      <c r="E687" s="20">
        <v>45322</v>
      </c>
      <c r="F687" s="12" t="s">
        <v>276</v>
      </c>
      <c r="G687" s="12">
        <v>-4.55</v>
      </c>
    </row>
    <row r="688" spans="1:17" x14ac:dyDescent="0.3">
      <c r="A688" s="12" t="s">
        <v>90</v>
      </c>
      <c r="B688" s="12" t="s">
        <v>158</v>
      </c>
      <c r="C688" s="12" t="s">
        <v>123</v>
      </c>
      <c r="D688" s="12" t="s">
        <v>114</v>
      </c>
      <c r="E688" s="20">
        <v>45323</v>
      </c>
      <c r="F688" s="12" t="s">
        <v>603</v>
      </c>
      <c r="G688" s="12">
        <v>-18.95</v>
      </c>
    </row>
    <row r="689" spans="1:7" x14ac:dyDescent="0.3">
      <c r="A689" s="12" t="s">
        <v>90</v>
      </c>
      <c r="B689" s="12" t="s">
        <v>158</v>
      </c>
      <c r="C689" s="12" t="s">
        <v>123</v>
      </c>
      <c r="D689" s="12" t="s">
        <v>114</v>
      </c>
      <c r="E689" s="20">
        <v>45323</v>
      </c>
      <c r="F689" s="12" t="s">
        <v>603</v>
      </c>
      <c r="G689" s="12">
        <v>18.95</v>
      </c>
    </row>
    <row r="690" spans="1:7" x14ac:dyDescent="0.3">
      <c r="A690" s="12" t="s">
        <v>90</v>
      </c>
      <c r="B690" s="12" t="s">
        <v>158</v>
      </c>
      <c r="C690" s="12" t="s">
        <v>123</v>
      </c>
      <c r="D690" s="12" t="s">
        <v>114</v>
      </c>
      <c r="E690" s="20">
        <v>45323</v>
      </c>
      <c r="F690" s="12" t="s">
        <v>603</v>
      </c>
      <c r="G690" s="12">
        <v>-15.8</v>
      </c>
    </row>
    <row r="691" spans="1:7" x14ac:dyDescent="0.3">
      <c r="A691" s="12" t="s">
        <v>90</v>
      </c>
      <c r="B691" s="12" t="s">
        <v>158</v>
      </c>
      <c r="C691" s="12" t="s">
        <v>123</v>
      </c>
      <c r="D691" s="12" t="s">
        <v>114</v>
      </c>
      <c r="E691" s="20">
        <v>45327</v>
      </c>
      <c r="F691" s="12" t="s">
        <v>604</v>
      </c>
      <c r="G691" s="12">
        <v>-87.43</v>
      </c>
    </row>
    <row r="692" spans="1:7" x14ac:dyDescent="0.3">
      <c r="A692" s="12" t="s">
        <v>90</v>
      </c>
      <c r="B692" s="12" t="s">
        <v>158</v>
      </c>
      <c r="C692" s="12" t="s">
        <v>123</v>
      </c>
      <c r="D692" s="12" t="s">
        <v>114</v>
      </c>
      <c r="E692" s="20">
        <v>45331</v>
      </c>
      <c r="F692" s="12" t="s">
        <v>605</v>
      </c>
      <c r="G692" s="12">
        <v>-5.54</v>
      </c>
    </row>
    <row r="693" spans="1:7" x14ac:dyDescent="0.3">
      <c r="A693" s="12" t="s">
        <v>90</v>
      </c>
      <c r="B693" s="12" t="s">
        <v>158</v>
      </c>
      <c r="C693" s="12" t="s">
        <v>123</v>
      </c>
      <c r="D693" s="12" t="s">
        <v>114</v>
      </c>
      <c r="E693" s="20">
        <v>45331</v>
      </c>
      <c r="F693" s="12" t="s">
        <v>605</v>
      </c>
      <c r="G693" s="12">
        <v>5.54</v>
      </c>
    </row>
    <row r="694" spans="1:7" x14ac:dyDescent="0.3">
      <c r="A694" s="12" t="s">
        <v>90</v>
      </c>
      <c r="B694" s="12" t="s">
        <v>158</v>
      </c>
      <c r="C694" s="12" t="s">
        <v>123</v>
      </c>
      <c r="D694" s="12" t="s">
        <v>114</v>
      </c>
      <c r="E694" s="20">
        <v>45331</v>
      </c>
      <c r="F694" s="12" t="s">
        <v>605</v>
      </c>
      <c r="G694" s="12">
        <v>-4.62</v>
      </c>
    </row>
    <row r="695" spans="1:7" x14ac:dyDescent="0.3">
      <c r="A695" s="12" t="s">
        <v>90</v>
      </c>
      <c r="B695" s="12" t="s">
        <v>158</v>
      </c>
      <c r="C695" s="12" t="s">
        <v>123</v>
      </c>
      <c r="D695" s="12" t="s">
        <v>114</v>
      </c>
      <c r="E695" s="20">
        <v>45337</v>
      </c>
      <c r="F695" s="12" t="s">
        <v>606</v>
      </c>
      <c r="G695" s="12">
        <v>-2.59</v>
      </c>
    </row>
    <row r="696" spans="1:7" x14ac:dyDescent="0.3">
      <c r="A696" s="12" t="s">
        <v>90</v>
      </c>
      <c r="B696" s="12" t="s">
        <v>158</v>
      </c>
      <c r="C696" s="12" t="s">
        <v>123</v>
      </c>
      <c r="D696" s="12" t="s">
        <v>114</v>
      </c>
      <c r="E696" s="20">
        <v>45337</v>
      </c>
      <c r="F696" s="12" t="s">
        <v>606</v>
      </c>
      <c r="G696" s="12">
        <v>2.59</v>
      </c>
    </row>
    <row r="697" spans="1:7" x14ac:dyDescent="0.3">
      <c r="A697" s="12" t="s">
        <v>90</v>
      </c>
      <c r="B697" s="12" t="s">
        <v>158</v>
      </c>
      <c r="C697" s="12" t="s">
        <v>123</v>
      </c>
      <c r="D697" s="12" t="s">
        <v>114</v>
      </c>
      <c r="E697" s="20">
        <v>45337</v>
      </c>
      <c r="F697" s="12" t="s">
        <v>606</v>
      </c>
      <c r="G697" s="12">
        <v>-2.16</v>
      </c>
    </row>
    <row r="698" spans="1:7" x14ac:dyDescent="0.3">
      <c r="A698" s="12" t="s">
        <v>90</v>
      </c>
      <c r="B698" s="12" t="s">
        <v>158</v>
      </c>
      <c r="C698" s="12" t="s">
        <v>123</v>
      </c>
      <c r="D698" s="12" t="s">
        <v>114</v>
      </c>
      <c r="E698" s="20">
        <v>45338</v>
      </c>
      <c r="F698" s="12" t="s">
        <v>607</v>
      </c>
      <c r="G698" s="12">
        <v>-3.37</v>
      </c>
    </row>
    <row r="699" spans="1:7" x14ac:dyDescent="0.3">
      <c r="A699" s="12" t="s">
        <v>90</v>
      </c>
      <c r="B699" s="12" t="s">
        <v>158</v>
      </c>
      <c r="C699" s="12" t="s">
        <v>123</v>
      </c>
      <c r="D699" s="12" t="s">
        <v>114</v>
      </c>
      <c r="E699" s="20">
        <v>45338</v>
      </c>
      <c r="F699" s="12" t="s">
        <v>607</v>
      </c>
      <c r="G699" s="12">
        <v>3.37</v>
      </c>
    </row>
    <row r="700" spans="1:7" x14ac:dyDescent="0.3">
      <c r="A700" s="12" t="s">
        <v>90</v>
      </c>
      <c r="B700" s="12" t="s">
        <v>158</v>
      </c>
      <c r="C700" s="12" t="s">
        <v>123</v>
      </c>
      <c r="D700" s="12" t="s">
        <v>114</v>
      </c>
      <c r="E700" s="20">
        <v>45338</v>
      </c>
      <c r="F700" s="12" t="s">
        <v>607</v>
      </c>
      <c r="G700" s="12">
        <v>-2.81</v>
      </c>
    </row>
    <row r="701" spans="1:7" x14ac:dyDescent="0.3">
      <c r="A701" s="12" t="s">
        <v>90</v>
      </c>
      <c r="B701" s="12" t="s">
        <v>158</v>
      </c>
      <c r="C701" s="12" t="s">
        <v>123</v>
      </c>
      <c r="D701" s="12" t="s">
        <v>114</v>
      </c>
      <c r="E701" s="20">
        <v>45342</v>
      </c>
      <c r="F701" s="12" t="s">
        <v>608</v>
      </c>
      <c r="G701" s="12">
        <v>57.96</v>
      </c>
    </row>
    <row r="702" spans="1:7" x14ac:dyDescent="0.3">
      <c r="A702" s="12" t="s">
        <v>90</v>
      </c>
      <c r="B702" s="12" t="s">
        <v>158</v>
      </c>
      <c r="C702" s="12" t="s">
        <v>123</v>
      </c>
      <c r="D702" s="12" t="s">
        <v>114</v>
      </c>
      <c r="E702" s="20">
        <v>45342</v>
      </c>
      <c r="F702" s="12" t="s">
        <v>609</v>
      </c>
      <c r="G702" s="12">
        <v>87.43</v>
      </c>
    </row>
    <row r="703" spans="1:7" x14ac:dyDescent="0.3">
      <c r="A703" s="12" t="s">
        <v>90</v>
      </c>
      <c r="B703" s="12" t="s">
        <v>158</v>
      </c>
      <c r="C703" s="12" t="s">
        <v>123</v>
      </c>
      <c r="D703" s="12" t="s">
        <v>114</v>
      </c>
      <c r="E703" s="20">
        <v>45345</v>
      </c>
      <c r="F703" s="12" t="s">
        <v>610</v>
      </c>
      <c r="G703" s="12">
        <v>-19.61</v>
      </c>
    </row>
    <row r="704" spans="1:7" x14ac:dyDescent="0.3">
      <c r="A704" s="12" t="s">
        <v>90</v>
      </c>
      <c r="B704" s="12" t="s">
        <v>158</v>
      </c>
      <c r="C704" s="12" t="s">
        <v>123</v>
      </c>
      <c r="D704" s="12" t="s">
        <v>114</v>
      </c>
      <c r="E704" s="20">
        <v>45348</v>
      </c>
      <c r="F704" s="12" t="s">
        <v>611</v>
      </c>
      <c r="G704" s="12">
        <v>-0.83</v>
      </c>
    </row>
    <row r="705" spans="1:16" x14ac:dyDescent="0.3">
      <c r="A705" s="12" t="s">
        <v>90</v>
      </c>
      <c r="B705" s="12" t="s">
        <v>158</v>
      </c>
      <c r="C705" s="12" t="s">
        <v>123</v>
      </c>
      <c r="D705" s="12" t="s">
        <v>97</v>
      </c>
      <c r="G705" s="12">
        <v>13.62</v>
      </c>
    </row>
    <row r="706" spans="1:16" x14ac:dyDescent="0.3">
      <c r="A706" s="12" t="s">
        <v>90</v>
      </c>
      <c r="B706" s="12" t="s">
        <v>160</v>
      </c>
      <c r="C706" s="12" t="s">
        <v>120</v>
      </c>
      <c r="D706" s="12" t="s">
        <v>181</v>
      </c>
      <c r="E706" s="12" t="s">
        <v>268</v>
      </c>
      <c r="F706" s="12" t="s">
        <v>269</v>
      </c>
      <c r="G706" s="12" t="s">
        <v>270</v>
      </c>
    </row>
    <row r="707" spans="1:16" x14ac:dyDescent="0.3">
      <c r="A707" s="12" t="s">
        <v>90</v>
      </c>
      <c r="B707" s="12" t="s">
        <v>160</v>
      </c>
      <c r="C707" s="12" t="s">
        <v>123</v>
      </c>
      <c r="D707" s="12" t="s">
        <v>114</v>
      </c>
      <c r="E707" s="20">
        <v>45327</v>
      </c>
      <c r="F707" s="12" t="s">
        <v>612</v>
      </c>
      <c r="G707" s="12">
        <v>291.44</v>
      </c>
    </row>
    <row r="708" spans="1:16" x14ac:dyDescent="0.3">
      <c r="A708" s="12" t="s">
        <v>90</v>
      </c>
      <c r="B708" s="12" t="s">
        <v>160</v>
      </c>
      <c r="C708" s="12" t="s">
        <v>123</v>
      </c>
      <c r="D708" s="12" t="s">
        <v>97</v>
      </c>
      <c r="G708" s="12">
        <v>291.44</v>
      </c>
    </row>
    <row r="709" spans="1:16" x14ac:dyDescent="0.3">
      <c r="A709" s="12" t="s">
        <v>90</v>
      </c>
      <c r="B709" s="12" t="s">
        <v>151</v>
      </c>
      <c r="C709" s="12" t="s">
        <v>120</v>
      </c>
      <c r="D709" s="12" t="s">
        <v>181</v>
      </c>
      <c r="E709" s="12" t="s">
        <v>121</v>
      </c>
      <c r="F709" s="12" t="s">
        <v>122</v>
      </c>
    </row>
    <row r="710" spans="1:16" x14ac:dyDescent="0.3">
      <c r="A710" s="12" t="s">
        <v>90</v>
      </c>
      <c r="B710" s="12" t="s">
        <v>151</v>
      </c>
      <c r="C710" s="12" t="s">
        <v>123</v>
      </c>
      <c r="D710" s="12" t="s">
        <v>184</v>
      </c>
      <c r="E710" s="12" t="s">
        <v>278</v>
      </c>
      <c r="F710" s="12">
        <v>285.92</v>
      </c>
    </row>
    <row r="711" spans="1:16" x14ac:dyDescent="0.3">
      <c r="A711" s="12" t="s">
        <v>90</v>
      </c>
      <c r="B711" s="12" t="s">
        <v>151</v>
      </c>
      <c r="C711" s="12" t="s">
        <v>123</v>
      </c>
      <c r="D711" s="12" t="s">
        <v>184</v>
      </c>
      <c r="E711" s="12" t="s">
        <v>279</v>
      </c>
      <c r="F711" s="12">
        <v>170.57</v>
      </c>
    </row>
    <row r="712" spans="1:16" x14ac:dyDescent="0.3">
      <c r="A712" s="12" t="s">
        <v>90</v>
      </c>
      <c r="B712" s="12" t="s">
        <v>151</v>
      </c>
      <c r="C712" s="12" t="s">
        <v>123</v>
      </c>
      <c r="D712" s="12" t="s">
        <v>184</v>
      </c>
      <c r="E712" s="12" t="s">
        <v>280</v>
      </c>
      <c r="F712" s="12">
        <v>-291.44</v>
      </c>
    </row>
    <row r="713" spans="1:16" x14ac:dyDescent="0.3">
      <c r="A713" s="12" t="s">
        <v>90</v>
      </c>
      <c r="B713" s="12" t="s">
        <v>151</v>
      </c>
      <c r="C713" s="12" t="s">
        <v>123</v>
      </c>
      <c r="D713" s="12" t="s">
        <v>184</v>
      </c>
      <c r="E713" s="12" t="s">
        <v>281</v>
      </c>
      <c r="F713" s="12">
        <v>0</v>
      </c>
    </row>
    <row r="714" spans="1:16" x14ac:dyDescent="0.3">
      <c r="A714" s="12" t="s">
        <v>90</v>
      </c>
      <c r="B714" s="12" t="s">
        <v>151</v>
      </c>
      <c r="C714" s="12" t="s">
        <v>123</v>
      </c>
      <c r="D714" s="12" t="s">
        <v>184</v>
      </c>
      <c r="E714" s="12" t="s">
        <v>282</v>
      </c>
      <c r="F714" s="12">
        <v>165.05</v>
      </c>
    </row>
    <row r="715" spans="1:16" x14ac:dyDescent="0.3">
      <c r="A715" s="12" t="s">
        <v>90</v>
      </c>
      <c r="B715" s="12" t="s">
        <v>159</v>
      </c>
      <c r="C715" s="12" t="s">
        <v>120</v>
      </c>
      <c r="D715" s="12" t="s">
        <v>100</v>
      </c>
      <c r="E715" s="12" t="s">
        <v>181</v>
      </c>
      <c r="F715" s="12" t="s">
        <v>0</v>
      </c>
      <c r="G715" s="12" t="s">
        <v>268</v>
      </c>
      <c r="H715" s="12" t="s">
        <v>283</v>
      </c>
      <c r="I715" s="12" t="s">
        <v>284</v>
      </c>
      <c r="J715" s="12" t="s">
        <v>193</v>
      </c>
      <c r="K715" s="12" t="s">
        <v>285</v>
      </c>
      <c r="L715" s="12" t="s">
        <v>286</v>
      </c>
      <c r="M715" s="12" t="s">
        <v>287</v>
      </c>
      <c r="N715" s="12" t="s">
        <v>288</v>
      </c>
      <c r="O715" s="12" t="s">
        <v>289</v>
      </c>
      <c r="P715" s="12" t="s">
        <v>165</v>
      </c>
    </row>
    <row r="716" spans="1:16" x14ac:dyDescent="0.3">
      <c r="A716" s="12" t="s">
        <v>90</v>
      </c>
      <c r="B716" s="12" t="s">
        <v>159</v>
      </c>
      <c r="C716" s="12" t="s">
        <v>123</v>
      </c>
      <c r="D716" s="12" t="s">
        <v>290</v>
      </c>
      <c r="O716" s="12">
        <v>57.17</v>
      </c>
    </row>
    <row r="717" spans="1:16" x14ac:dyDescent="0.3">
      <c r="A717" s="12" t="s">
        <v>90</v>
      </c>
      <c r="B717" s="12" t="s">
        <v>159</v>
      </c>
      <c r="C717" s="12" t="s">
        <v>123</v>
      </c>
      <c r="D717" s="12" t="s">
        <v>110</v>
      </c>
      <c r="E717" s="12" t="s">
        <v>114</v>
      </c>
      <c r="F717" s="12" t="s">
        <v>2</v>
      </c>
      <c r="G717" s="20">
        <v>45330</v>
      </c>
      <c r="H717" s="20">
        <v>45331</v>
      </c>
      <c r="I717" s="20">
        <v>45337</v>
      </c>
      <c r="J717" s="12">
        <v>36</v>
      </c>
      <c r="K717" s="12">
        <v>2.59</v>
      </c>
      <c r="L717" s="12">
        <v>0</v>
      </c>
      <c r="M717" s="12">
        <v>0.24</v>
      </c>
      <c r="N717" s="12">
        <v>8.64</v>
      </c>
      <c r="O717" s="12">
        <v>6.05</v>
      </c>
      <c r="P717" s="12" t="s">
        <v>291</v>
      </c>
    </row>
    <row r="718" spans="1:16" x14ac:dyDescent="0.3">
      <c r="A718" s="12" t="s">
        <v>90</v>
      </c>
      <c r="B718" s="12" t="s">
        <v>159</v>
      </c>
      <c r="C718" s="12" t="s">
        <v>123</v>
      </c>
      <c r="D718" s="12" t="s">
        <v>110</v>
      </c>
      <c r="E718" s="12" t="s">
        <v>114</v>
      </c>
      <c r="F718" s="12" t="s">
        <v>2</v>
      </c>
      <c r="G718" s="20">
        <v>45337</v>
      </c>
      <c r="H718" s="20">
        <v>45331</v>
      </c>
      <c r="I718" s="20">
        <v>45337</v>
      </c>
      <c r="J718" s="12">
        <v>36</v>
      </c>
      <c r="K718" s="12">
        <v>-2.59</v>
      </c>
      <c r="L718" s="12">
        <v>0</v>
      </c>
      <c r="M718" s="12">
        <v>0.24</v>
      </c>
      <c r="N718" s="12">
        <v>-8.64</v>
      </c>
      <c r="O718" s="12">
        <v>-6.05</v>
      </c>
      <c r="P718" s="12" t="s">
        <v>292</v>
      </c>
    </row>
    <row r="719" spans="1:16" x14ac:dyDescent="0.3">
      <c r="A719" s="12" t="s">
        <v>90</v>
      </c>
      <c r="B719" s="12" t="s">
        <v>159</v>
      </c>
      <c r="C719" s="12" t="s">
        <v>123</v>
      </c>
      <c r="D719" s="12" t="s">
        <v>110</v>
      </c>
      <c r="E719" s="12" t="s">
        <v>114</v>
      </c>
      <c r="F719" s="12" t="s">
        <v>8</v>
      </c>
      <c r="G719" s="20">
        <v>45350</v>
      </c>
      <c r="H719" s="20">
        <v>45351</v>
      </c>
      <c r="I719" s="20">
        <v>45383</v>
      </c>
      <c r="J719" s="12">
        <v>231</v>
      </c>
      <c r="K719" s="12">
        <v>13.86</v>
      </c>
      <c r="L719" s="12">
        <v>0</v>
      </c>
      <c r="M719" s="12">
        <v>0.24</v>
      </c>
      <c r="N719" s="12">
        <v>55.44</v>
      </c>
      <c r="O719" s="12">
        <v>41.58</v>
      </c>
      <c r="P719" s="12" t="s">
        <v>291</v>
      </c>
    </row>
    <row r="720" spans="1:16" x14ac:dyDescent="0.3">
      <c r="A720" s="12" t="s">
        <v>90</v>
      </c>
      <c r="B720" s="12" t="s">
        <v>159</v>
      </c>
      <c r="C720" s="12" t="s">
        <v>123</v>
      </c>
      <c r="D720" s="12" t="s">
        <v>110</v>
      </c>
      <c r="E720" s="12" t="s">
        <v>114</v>
      </c>
      <c r="F720" s="12" t="s">
        <v>3</v>
      </c>
      <c r="G720" s="20">
        <v>45323</v>
      </c>
      <c r="H720" s="20">
        <v>45324</v>
      </c>
      <c r="I720" s="20">
        <v>45345</v>
      </c>
      <c r="J720" s="12">
        <v>148</v>
      </c>
      <c r="K720" s="12">
        <v>23.53</v>
      </c>
      <c r="L720" s="12">
        <v>0</v>
      </c>
      <c r="M720" s="12">
        <v>0.53</v>
      </c>
      <c r="N720" s="12">
        <v>78.44</v>
      </c>
      <c r="O720" s="12">
        <v>54.91</v>
      </c>
      <c r="P720" s="12" t="s">
        <v>291</v>
      </c>
    </row>
    <row r="721" spans="1:16" x14ac:dyDescent="0.3">
      <c r="A721" s="12" t="s">
        <v>90</v>
      </c>
      <c r="B721" s="12" t="s">
        <v>159</v>
      </c>
      <c r="C721" s="12" t="s">
        <v>123</v>
      </c>
      <c r="D721" s="12" t="s">
        <v>110</v>
      </c>
      <c r="E721" s="12" t="s">
        <v>114</v>
      </c>
      <c r="F721" s="12" t="s">
        <v>3</v>
      </c>
      <c r="G721" s="20">
        <v>45323</v>
      </c>
      <c r="H721" s="20">
        <v>45324</v>
      </c>
      <c r="I721" s="20">
        <v>45345</v>
      </c>
      <c r="J721" s="12">
        <v>148</v>
      </c>
      <c r="K721" s="12">
        <v>19.61</v>
      </c>
      <c r="L721" s="12">
        <v>0</v>
      </c>
      <c r="M721" s="12">
        <v>0.53</v>
      </c>
      <c r="N721" s="12">
        <v>78.44</v>
      </c>
      <c r="O721" s="12">
        <v>58.83</v>
      </c>
      <c r="P721" s="12" t="s">
        <v>291</v>
      </c>
    </row>
    <row r="722" spans="1:16" x14ac:dyDescent="0.3">
      <c r="A722" s="12" t="s">
        <v>90</v>
      </c>
      <c r="B722" s="12" t="s">
        <v>159</v>
      </c>
      <c r="C722" s="12" t="s">
        <v>123</v>
      </c>
      <c r="D722" s="12" t="s">
        <v>110</v>
      </c>
      <c r="E722" s="12" t="s">
        <v>114</v>
      </c>
      <c r="F722" s="12" t="s">
        <v>3</v>
      </c>
      <c r="G722" s="20">
        <v>45323</v>
      </c>
      <c r="H722" s="20">
        <v>45324</v>
      </c>
      <c r="I722" s="20">
        <v>45345</v>
      </c>
      <c r="J722" s="12">
        <v>148</v>
      </c>
      <c r="K722" s="12">
        <v>-23.53</v>
      </c>
      <c r="L722" s="12">
        <v>0</v>
      </c>
      <c r="M722" s="12">
        <v>0.53</v>
      </c>
      <c r="N722" s="12">
        <v>-78.44</v>
      </c>
      <c r="O722" s="12">
        <v>-54.91</v>
      </c>
      <c r="P722" s="12" t="s">
        <v>292</v>
      </c>
    </row>
    <row r="723" spans="1:16" x14ac:dyDescent="0.3">
      <c r="A723" s="12" t="s">
        <v>90</v>
      </c>
      <c r="B723" s="12" t="s">
        <v>159</v>
      </c>
      <c r="C723" s="12" t="s">
        <v>123</v>
      </c>
      <c r="D723" s="12" t="s">
        <v>110</v>
      </c>
      <c r="E723" s="12" t="s">
        <v>114</v>
      </c>
      <c r="F723" s="12" t="s">
        <v>3</v>
      </c>
      <c r="G723" s="20">
        <v>45345</v>
      </c>
      <c r="H723" s="20">
        <v>45324</v>
      </c>
      <c r="I723" s="20">
        <v>45345</v>
      </c>
      <c r="J723" s="12">
        <v>148</v>
      </c>
      <c r="K723" s="12">
        <v>-19.61</v>
      </c>
      <c r="L723" s="12">
        <v>0</v>
      </c>
      <c r="M723" s="12">
        <v>0.53</v>
      </c>
      <c r="N723" s="12">
        <v>-78.44</v>
      </c>
      <c r="O723" s="12">
        <v>-58.83</v>
      </c>
      <c r="P723" s="12" t="s">
        <v>292</v>
      </c>
    </row>
    <row r="724" spans="1:16" x14ac:dyDescent="0.3">
      <c r="A724" s="12" t="s">
        <v>90</v>
      </c>
      <c r="B724" s="12" t="s">
        <v>159</v>
      </c>
      <c r="C724" s="12" t="s">
        <v>123</v>
      </c>
      <c r="D724" s="12" t="s">
        <v>110</v>
      </c>
      <c r="E724" s="12" t="s">
        <v>114</v>
      </c>
      <c r="F724" s="12" t="s">
        <v>11</v>
      </c>
      <c r="G724" s="20">
        <v>45322</v>
      </c>
      <c r="H724" s="20">
        <v>45323</v>
      </c>
      <c r="I724" s="20">
        <v>45338</v>
      </c>
      <c r="J724" s="12">
        <v>11</v>
      </c>
      <c r="K724" s="12">
        <v>3.37</v>
      </c>
      <c r="L724" s="12">
        <v>0</v>
      </c>
      <c r="M724" s="12">
        <v>1.02</v>
      </c>
      <c r="N724" s="12">
        <v>11.22</v>
      </c>
      <c r="O724" s="12">
        <v>7.85</v>
      </c>
      <c r="P724" s="12" t="s">
        <v>291</v>
      </c>
    </row>
    <row r="725" spans="1:16" x14ac:dyDescent="0.3">
      <c r="A725" s="12" t="s">
        <v>90</v>
      </c>
      <c r="B725" s="12" t="s">
        <v>159</v>
      </c>
      <c r="C725" s="12" t="s">
        <v>123</v>
      </c>
      <c r="D725" s="12" t="s">
        <v>110</v>
      </c>
      <c r="E725" s="12" t="s">
        <v>114</v>
      </c>
      <c r="F725" s="12" t="s">
        <v>11</v>
      </c>
      <c r="G725" s="20">
        <v>45338</v>
      </c>
      <c r="H725" s="20">
        <v>45323</v>
      </c>
      <c r="I725" s="20">
        <v>45338</v>
      </c>
      <c r="J725" s="12">
        <v>11</v>
      </c>
      <c r="K725" s="12">
        <v>-3.37</v>
      </c>
      <c r="L725" s="12">
        <v>0</v>
      </c>
      <c r="M725" s="12">
        <v>1.02</v>
      </c>
      <c r="N725" s="12">
        <v>-11.22</v>
      </c>
      <c r="O725" s="12">
        <v>-7.85</v>
      </c>
      <c r="P725" s="12" t="s">
        <v>292</v>
      </c>
    </row>
    <row r="726" spans="1:16" x14ac:dyDescent="0.3">
      <c r="A726" s="12" t="s">
        <v>90</v>
      </c>
      <c r="B726" s="12" t="s">
        <v>159</v>
      </c>
      <c r="C726" s="12" t="s">
        <v>123</v>
      </c>
      <c r="D726" s="12" t="s">
        <v>110</v>
      </c>
      <c r="E726" s="12" t="s">
        <v>114</v>
      </c>
      <c r="F726" s="12" t="s">
        <v>12</v>
      </c>
      <c r="G726" s="20">
        <v>45323</v>
      </c>
      <c r="H726" s="20">
        <v>45310</v>
      </c>
      <c r="I726" s="20">
        <v>45323</v>
      </c>
      <c r="J726" s="12">
        <v>95</v>
      </c>
      <c r="K726" s="12">
        <v>-18.95</v>
      </c>
      <c r="L726" s="12">
        <v>0</v>
      </c>
      <c r="M726" s="12">
        <v>0.66500000000000004</v>
      </c>
      <c r="N726" s="12">
        <v>-63.18</v>
      </c>
      <c r="O726" s="12">
        <v>-44.23</v>
      </c>
      <c r="P726" s="12" t="s">
        <v>292</v>
      </c>
    </row>
    <row r="727" spans="1:16" x14ac:dyDescent="0.3">
      <c r="A727" s="12" t="s">
        <v>90</v>
      </c>
      <c r="B727" s="12" t="s">
        <v>159</v>
      </c>
      <c r="C727" s="12" t="s">
        <v>123</v>
      </c>
      <c r="D727" s="12" t="s">
        <v>110</v>
      </c>
      <c r="E727" s="12" t="s">
        <v>114</v>
      </c>
      <c r="F727" s="12" t="s">
        <v>18</v>
      </c>
      <c r="G727" s="20">
        <v>45331</v>
      </c>
      <c r="H727" s="20">
        <v>45309</v>
      </c>
      <c r="I727" s="20">
        <v>45331</v>
      </c>
      <c r="J727" s="12">
        <v>14</v>
      </c>
      <c r="K727" s="12">
        <v>-5.54</v>
      </c>
      <c r="L727" s="12">
        <v>0</v>
      </c>
      <c r="M727" s="12">
        <v>1.32</v>
      </c>
      <c r="N727" s="12">
        <v>-18.48</v>
      </c>
      <c r="O727" s="12">
        <v>-12.94</v>
      </c>
      <c r="P727" s="12" t="s">
        <v>292</v>
      </c>
    </row>
    <row r="728" spans="1:16" x14ac:dyDescent="0.3">
      <c r="A728" s="12" t="s">
        <v>90</v>
      </c>
      <c r="B728" s="12" t="s">
        <v>159</v>
      </c>
      <c r="C728" s="12" t="s">
        <v>123</v>
      </c>
      <c r="D728" s="12" t="s">
        <v>110</v>
      </c>
      <c r="E728" s="12" t="s">
        <v>114</v>
      </c>
      <c r="F728" s="12" t="s">
        <v>22</v>
      </c>
      <c r="G728" s="20">
        <v>45329</v>
      </c>
      <c r="H728" s="20">
        <v>45330</v>
      </c>
      <c r="I728" s="20">
        <v>45348</v>
      </c>
      <c r="J728" s="12">
        <v>66</v>
      </c>
      <c r="K728" s="12">
        <v>0.99</v>
      </c>
      <c r="L728" s="12">
        <v>0</v>
      </c>
      <c r="M728" s="12">
        <v>0.05</v>
      </c>
      <c r="N728" s="12">
        <v>3.3</v>
      </c>
      <c r="O728" s="12">
        <v>2.31</v>
      </c>
      <c r="P728" s="12" t="s">
        <v>291</v>
      </c>
    </row>
    <row r="729" spans="1:16" x14ac:dyDescent="0.3">
      <c r="A729" s="12" t="s">
        <v>90</v>
      </c>
      <c r="B729" s="12" t="s">
        <v>159</v>
      </c>
      <c r="C729" s="12" t="s">
        <v>123</v>
      </c>
      <c r="D729" s="12" t="s">
        <v>110</v>
      </c>
      <c r="E729" s="12" t="s">
        <v>114</v>
      </c>
      <c r="F729" s="12" t="s">
        <v>22</v>
      </c>
      <c r="G729" s="20">
        <v>45329</v>
      </c>
      <c r="H729" s="20">
        <v>45330</v>
      </c>
      <c r="I729" s="20">
        <v>45348</v>
      </c>
      <c r="J729" s="12">
        <v>66</v>
      </c>
      <c r="K729" s="12">
        <v>0.83</v>
      </c>
      <c r="L729" s="12">
        <v>0</v>
      </c>
      <c r="M729" s="12">
        <v>0.05</v>
      </c>
      <c r="N729" s="12">
        <v>3.3</v>
      </c>
      <c r="O729" s="12">
        <v>2.4700000000000002</v>
      </c>
      <c r="P729" s="12" t="s">
        <v>291</v>
      </c>
    </row>
    <row r="730" spans="1:16" x14ac:dyDescent="0.3">
      <c r="A730" s="12" t="s">
        <v>90</v>
      </c>
      <c r="B730" s="12" t="s">
        <v>159</v>
      </c>
      <c r="C730" s="12" t="s">
        <v>123</v>
      </c>
      <c r="D730" s="12" t="s">
        <v>110</v>
      </c>
      <c r="E730" s="12" t="s">
        <v>114</v>
      </c>
      <c r="F730" s="12" t="s">
        <v>22</v>
      </c>
      <c r="G730" s="20">
        <v>45329</v>
      </c>
      <c r="H730" s="20">
        <v>45330</v>
      </c>
      <c r="I730" s="20">
        <v>45348</v>
      </c>
      <c r="J730" s="12">
        <v>66</v>
      </c>
      <c r="K730" s="12">
        <v>-0.99</v>
      </c>
      <c r="L730" s="12">
        <v>0</v>
      </c>
      <c r="M730" s="12">
        <v>0.05</v>
      </c>
      <c r="N730" s="12">
        <v>-3.3</v>
      </c>
      <c r="O730" s="12">
        <v>-2.31</v>
      </c>
      <c r="P730" s="12" t="s">
        <v>292</v>
      </c>
    </row>
    <row r="731" spans="1:16" x14ac:dyDescent="0.3">
      <c r="A731" s="12" t="s">
        <v>90</v>
      </c>
      <c r="B731" s="12" t="s">
        <v>159</v>
      </c>
      <c r="C731" s="12" t="s">
        <v>123</v>
      </c>
      <c r="D731" s="12" t="s">
        <v>110</v>
      </c>
      <c r="E731" s="12" t="s">
        <v>114</v>
      </c>
      <c r="F731" s="12" t="s">
        <v>22</v>
      </c>
      <c r="G731" s="20">
        <v>45348</v>
      </c>
      <c r="H731" s="20">
        <v>45330</v>
      </c>
      <c r="I731" s="20">
        <v>45348</v>
      </c>
      <c r="J731" s="12">
        <v>66</v>
      </c>
      <c r="K731" s="12">
        <v>-0.83</v>
      </c>
      <c r="L731" s="12">
        <v>0</v>
      </c>
      <c r="M731" s="12">
        <v>0.05</v>
      </c>
      <c r="N731" s="12">
        <v>-3.3</v>
      </c>
      <c r="O731" s="12">
        <v>-2.4700000000000002</v>
      </c>
      <c r="P731" s="12" t="s">
        <v>292</v>
      </c>
    </row>
    <row r="732" spans="1:16" x14ac:dyDescent="0.3">
      <c r="A732" s="12" t="s">
        <v>90</v>
      </c>
      <c r="B732" s="12" t="s">
        <v>159</v>
      </c>
      <c r="C732" s="12" t="s">
        <v>123</v>
      </c>
      <c r="D732" s="12" t="s">
        <v>110</v>
      </c>
      <c r="E732" s="12" t="s">
        <v>114</v>
      </c>
      <c r="F732" s="12" t="s">
        <v>26</v>
      </c>
      <c r="G732" s="20">
        <v>45343</v>
      </c>
      <c r="H732" s="20">
        <v>45344</v>
      </c>
      <c r="I732" s="20">
        <v>45366</v>
      </c>
      <c r="J732" s="12">
        <v>10</v>
      </c>
      <c r="K732" s="12">
        <v>2.13</v>
      </c>
      <c r="L732" s="12">
        <v>0</v>
      </c>
      <c r="M732" s="12">
        <v>0.85</v>
      </c>
      <c r="N732" s="12">
        <v>8.5</v>
      </c>
      <c r="O732" s="12">
        <v>6.37</v>
      </c>
      <c r="P732" s="12" t="s">
        <v>291</v>
      </c>
    </row>
    <row r="733" spans="1:16" x14ac:dyDescent="0.3">
      <c r="A733" s="12" t="s">
        <v>90</v>
      </c>
      <c r="B733" s="12" t="s">
        <v>159</v>
      </c>
      <c r="C733" s="12" t="s">
        <v>123</v>
      </c>
      <c r="D733" s="12" t="s">
        <v>110</v>
      </c>
      <c r="E733" s="12" t="s">
        <v>114</v>
      </c>
      <c r="F733" s="12" t="s">
        <v>27</v>
      </c>
      <c r="G733" s="20">
        <v>45342</v>
      </c>
      <c r="H733" s="20">
        <v>45343</v>
      </c>
      <c r="I733" s="20">
        <v>45377</v>
      </c>
      <c r="J733" s="12">
        <v>11</v>
      </c>
      <c r="K733" s="12">
        <v>1.38</v>
      </c>
      <c r="L733" s="12">
        <v>0</v>
      </c>
      <c r="M733" s="12">
        <v>0.5</v>
      </c>
      <c r="N733" s="12">
        <v>5.5</v>
      </c>
      <c r="O733" s="12">
        <v>4.12</v>
      </c>
      <c r="P733" s="12" t="s">
        <v>291</v>
      </c>
    </row>
    <row r="734" spans="1:16" x14ac:dyDescent="0.3">
      <c r="A734" s="12" t="s">
        <v>90</v>
      </c>
      <c r="B734" s="12" t="s">
        <v>159</v>
      </c>
      <c r="C734" s="12" t="s">
        <v>123</v>
      </c>
      <c r="D734" s="12" t="s">
        <v>110</v>
      </c>
      <c r="E734" s="12" t="s">
        <v>114</v>
      </c>
      <c r="F734" s="12" t="s">
        <v>28</v>
      </c>
      <c r="G734" s="20">
        <v>45335</v>
      </c>
      <c r="H734" s="20">
        <v>45336</v>
      </c>
      <c r="I734" s="20">
        <v>45365</v>
      </c>
      <c r="J734" s="12">
        <v>49</v>
      </c>
      <c r="K734" s="12">
        <v>11.03</v>
      </c>
      <c r="L734" s="12">
        <v>0</v>
      </c>
      <c r="M734" s="12">
        <v>0.75</v>
      </c>
      <c r="N734" s="12">
        <v>36.75</v>
      </c>
      <c r="O734" s="12">
        <v>25.72</v>
      </c>
      <c r="P734" s="12" t="s">
        <v>291</v>
      </c>
    </row>
    <row r="735" spans="1:16" x14ac:dyDescent="0.3">
      <c r="A735" s="12" t="s">
        <v>90</v>
      </c>
      <c r="B735" s="12" t="s">
        <v>159</v>
      </c>
      <c r="C735" s="12" t="s">
        <v>123</v>
      </c>
      <c r="D735" s="12" t="s">
        <v>110</v>
      </c>
      <c r="E735" s="12" t="s">
        <v>114</v>
      </c>
      <c r="F735" s="12" t="s">
        <v>28</v>
      </c>
      <c r="G735" s="20">
        <v>45335</v>
      </c>
      <c r="H735" s="20">
        <v>45336</v>
      </c>
      <c r="I735" s="20">
        <v>45365</v>
      </c>
      <c r="J735" s="12">
        <v>49</v>
      </c>
      <c r="K735" s="12">
        <v>9.19</v>
      </c>
      <c r="L735" s="12">
        <v>0</v>
      </c>
      <c r="M735" s="12">
        <v>0.75</v>
      </c>
      <c r="N735" s="12">
        <v>36.75</v>
      </c>
      <c r="O735" s="12">
        <v>27.56</v>
      </c>
      <c r="P735" s="12" t="s">
        <v>291</v>
      </c>
    </row>
    <row r="736" spans="1:16" x14ac:dyDescent="0.3">
      <c r="A736" s="12" t="s">
        <v>90</v>
      </c>
      <c r="B736" s="12" t="s">
        <v>159</v>
      </c>
      <c r="C736" s="12" t="s">
        <v>123</v>
      </c>
      <c r="D736" s="12" t="s">
        <v>110</v>
      </c>
      <c r="E736" s="12" t="s">
        <v>114</v>
      </c>
      <c r="F736" s="12" t="s">
        <v>28</v>
      </c>
      <c r="G736" s="20">
        <v>45335</v>
      </c>
      <c r="H736" s="20">
        <v>45336</v>
      </c>
      <c r="I736" s="20">
        <v>45365</v>
      </c>
      <c r="J736" s="12">
        <v>49</v>
      </c>
      <c r="K736" s="12">
        <v>-11.03</v>
      </c>
      <c r="L736" s="12">
        <v>0</v>
      </c>
      <c r="M736" s="12">
        <v>0.75</v>
      </c>
      <c r="N736" s="12">
        <v>-36.75</v>
      </c>
      <c r="O736" s="12">
        <v>-25.72</v>
      </c>
      <c r="P736" s="12" t="s">
        <v>292</v>
      </c>
    </row>
    <row r="737" spans="1:16" x14ac:dyDescent="0.3">
      <c r="A737" s="12" t="s">
        <v>90</v>
      </c>
      <c r="B737" s="12" t="s">
        <v>159</v>
      </c>
      <c r="C737" s="12" t="s">
        <v>123</v>
      </c>
      <c r="D737" s="12" t="s">
        <v>110</v>
      </c>
      <c r="E737" s="12" t="s">
        <v>114</v>
      </c>
      <c r="F737" s="12" t="s">
        <v>39</v>
      </c>
      <c r="G737" s="20">
        <v>45349</v>
      </c>
      <c r="H737" s="20">
        <v>45350</v>
      </c>
      <c r="I737" s="20">
        <v>45372</v>
      </c>
      <c r="J737" s="12">
        <v>20</v>
      </c>
      <c r="K737" s="12">
        <v>4</v>
      </c>
      <c r="L737" s="12">
        <v>0</v>
      </c>
      <c r="M737" s="12">
        <v>0.8</v>
      </c>
      <c r="N737" s="12">
        <v>16</v>
      </c>
      <c r="O737" s="12">
        <v>12</v>
      </c>
      <c r="P737" s="12" t="s">
        <v>291</v>
      </c>
    </row>
    <row r="738" spans="1:16" x14ac:dyDescent="0.3">
      <c r="A738" s="12" t="s">
        <v>90</v>
      </c>
      <c r="B738" s="12" t="s">
        <v>159</v>
      </c>
      <c r="C738" s="12" t="s">
        <v>123</v>
      </c>
      <c r="D738" s="12" t="s">
        <v>110</v>
      </c>
      <c r="E738" s="12" t="s">
        <v>114</v>
      </c>
      <c r="F738" s="12" t="s">
        <v>40</v>
      </c>
      <c r="G738" s="20">
        <v>45349</v>
      </c>
      <c r="H738" s="20">
        <v>45350</v>
      </c>
      <c r="I738" s="20">
        <v>45383</v>
      </c>
      <c r="J738" s="12">
        <v>15</v>
      </c>
      <c r="K738" s="12">
        <v>4.88</v>
      </c>
      <c r="L738" s="12">
        <v>0</v>
      </c>
      <c r="M738" s="12">
        <v>1.3</v>
      </c>
      <c r="N738" s="12">
        <v>19.5</v>
      </c>
      <c r="O738" s="12">
        <v>14.62</v>
      </c>
      <c r="P738" s="12" t="s">
        <v>291</v>
      </c>
    </row>
    <row r="739" spans="1:16" x14ac:dyDescent="0.3">
      <c r="A739" s="12" t="s">
        <v>90</v>
      </c>
      <c r="B739" s="12" t="s">
        <v>159</v>
      </c>
      <c r="C739" s="12" t="s">
        <v>123</v>
      </c>
      <c r="D739" s="12" t="s">
        <v>110</v>
      </c>
      <c r="E739" s="12" t="s">
        <v>114</v>
      </c>
      <c r="F739" s="12" t="s">
        <v>35</v>
      </c>
      <c r="G739" s="20">
        <v>45334</v>
      </c>
      <c r="H739" s="20">
        <v>45335</v>
      </c>
      <c r="I739" s="20">
        <v>45362</v>
      </c>
      <c r="J739" s="12">
        <v>100</v>
      </c>
      <c r="K739" s="12">
        <v>28.51</v>
      </c>
      <c r="L739" s="12">
        <v>0</v>
      </c>
      <c r="M739" s="12">
        <v>0.95</v>
      </c>
      <c r="N739" s="12">
        <v>95</v>
      </c>
      <c r="O739" s="12">
        <v>66.489999999999995</v>
      </c>
      <c r="P739" s="12" t="s">
        <v>291</v>
      </c>
    </row>
    <row r="740" spans="1:16" x14ac:dyDescent="0.3">
      <c r="A740" s="12" t="s">
        <v>90</v>
      </c>
      <c r="B740" s="12" t="s">
        <v>159</v>
      </c>
      <c r="C740" s="12" t="s">
        <v>123</v>
      </c>
      <c r="D740" s="12" t="s">
        <v>110</v>
      </c>
      <c r="E740" s="12" t="s">
        <v>114</v>
      </c>
      <c r="F740" s="12" t="s">
        <v>35</v>
      </c>
      <c r="G740" s="20">
        <v>45334</v>
      </c>
      <c r="H740" s="20">
        <v>45335</v>
      </c>
      <c r="I740" s="20">
        <v>45362</v>
      </c>
      <c r="J740" s="12">
        <v>100</v>
      </c>
      <c r="K740" s="12">
        <v>28.5</v>
      </c>
      <c r="L740" s="12">
        <v>0</v>
      </c>
      <c r="M740" s="12">
        <v>0.95</v>
      </c>
      <c r="N740" s="12">
        <v>95</v>
      </c>
      <c r="O740" s="12">
        <v>66.5</v>
      </c>
      <c r="P740" s="12" t="s">
        <v>291</v>
      </c>
    </row>
    <row r="741" spans="1:16" x14ac:dyDescent="0.3">
      <c r="A741" s="12" t="s">
        <v>90</v>
      </c>
      <c r="B741" s="12" t="s">
        <v>159</v>
      </c>
      <c r="C741" s="12" t="s">
        <v>123</v>
      </c>
      <c r="D741" s="12" t="s">
        <v>110</v>
      </c>
      <c r="E741" s="12" t="s">
        <v>114</v>
      </c>
      <c r="F741" s="12" t="s">
        <v>35</v>
      </c>
      <c r="G741" s="20">
        <v>45334</v>
      </c>
      <c r="H741" s="20">
        <v>45335</v>
      </c>
      <c r="I741" s="20">
        <v>45362</v>
      </c>
      <c r="J741" s="12">
        <v>100</v>
      </c>
      <c r="K741" s="12">
        <v>23.75</v>
      </c>
      <c r="L741" s="12">
        <v>0</v>
      </c>
      <c r="M741" s="12">
        <v>0.95</v>
      </c>
      <c r="N741" s="12">
        <v>95</v>
      </c>
      <c r="O741" s="12">
        <v>71.25</v>
      </c>
      <c r="P741" s="12" t="s">
        <v>291</v>
      </c>
    </row>
    <row r="742" spans="1:16" x14ac:dyDescent="0.3">
      <c r="A742" s="12" t="s">
        <v>90</v>
      </c>
      <c r="B742" s="12" t="s">
        <v>159</v>
      </c>
      <c r="C742" s="12" t="s">
        <v>123</v>
      </c>
      <c r="D742" s="12" t="s">
        <v>110</v>
      </c>
      <c r="E742" s="12" t="s">
        <v>114</v>
      </c>
      <c r="F742" s="12" t="s">
        <v>35</v>
      </c>
      <c r="G742" s="20">
        <v>45334</v>
      </c>
      <c r="H742" s="20">
        <v>45335</v>
      </c>
      <c r="I742" s="20">
        <v>45362</v>
      </c>
      <c r="J742" s="12">
        <v>100</v>
      </c>
      <c r="K742" s="12">
        <v>-28.51</v>
      </c>
      <c r="L742" s="12">
        <v>0</v>
      </c>
      <c r="M742" s="12">
        <v>0.95</v>
      </c>
      <c r="N742" s="12">
        <v>-95</v>
      </c>
      <c r="O742" s="12">
        <v>-66.489999999999995</v>
      </c>
      <c r="P742" s="12" t="s">
        <v>292</v>
      </c>
    </row>
    <row r="743" spans="1:16" x14ac:dyDescent="0.3">
      <c r="A743" s="12" t="s">
        <v>90</v>
      </c>
      <c r="B743" s="12" t="s">
        <v>159</v>
      </c>
      <c r="C743" s="12" t="s">
        <v>123</v>
      </c>
      <c r="D743" s="12" t="s">
        <v>110</v>
      </c>
      <c r="E743" s="12" t="s">
        <v>114</v>
      </c>
      <c r="F743" s="12" t="s">
        <v>35</v>
      </c>
      <c r="G743" s="20">
        <v>45334</v>
      </c>
      <c r="H743" s="20">
        <v>45335</v>
      </c>
      <c r="I743" s="20">
        <v>45362</v>
      </c>
      <c r="J743" s="12">
        <v>100</v>
      </c>
      <c r="K743" s="12">
        <v>-28.5</v>
      </c>
      <c r="L743" s="12">
        <v>0</v>
      </c>
      <c r="M743" s="12">
        <v>0.95</v>
      </c>
      <c r="N743" s="12">
        <v>-95</v>
      </c>
      <c r="O743" s="12">
        <v>-66.5</v>
      </c>
      <c r="P743" s="12" t="s">
        <v>292</v>
      </c>
    </row>
    <row r="744" spans="1:16" x14ac:dyDescent="0.3">
      <c r="A744" s="12" t="s">
        <v>90</v>
      </c>
      <c r="B744" s="12" t="s">
        <v>159</v>
      </c>
      <c r="C744" s="12" t="s">
        <v>123</v>
      </c>
      <c r="D744" s="12" t="s">
        <v>97</v>
      </c>
      <c r="K744" s="12">
        <v>34.700000000000003</v>
      </c>
      <c r="L744" s="12">
        <v>0</v>
      </c>
      <c r="N744" s="12">
        <v>155.03</v>
      </c>
      <c r="O744" s="12">
        <v>120.33</v>
      </c>
    </row>
    <row r="745" spans="1:16" x14ac:dyDescent="0.3">
      <c r="A745" s="12" t="s">
        <v>90</v>
      </c>
      <c r="B745" s="12" t="s">
        <v>159</v>
      </c>
      <c r="C745" s="12" t="s">
        <v>123</v>
      </c>
      <c r="D745" s="12" t="s">
        <v>293</v>
      </c>
      <c r="O745" s="12">
        <v>177.5</v>
      </c>
    </row>
    <row r="746" spans="1:16" x14ac:dyDescent="0.3">
      <c r="A746" s="12" t="s">
        <v>90</v>
      </c>
      <c r="B746" s="12" t="s">
        <v>294</v>
      </c>
      <c r="C746" s="12" t="s">
        <v>120</v>
      </c>
      <c r="D746" s="12" t="s">
        <v>100</v>
      </c>
      <c r="E746" s="12" t="s">
        <v>0</v>
      </c>
      <c r="F746" s="12" t="s">
        <v>269</v>
      </c>
      <c r="G746" s="12" t="s">
        <v>295</v>
      </c>
      <c r="H746" s="12" t="s">
        <v>296</v>
      </c>
      <c r="I746" s="12" t="s">
        <v>297</v>
      </c>
      <c r="J746" s="12" t="s">
        <v>298</v>
      </c>
      <c r="K746" s="12" t="s">
        <v>299</v>
      </c>
      <c r="L746" s="12" t="s">
        <v>165</v>
      </c>
    </row>
    <row r="747" spans="1:16" x14ac:dyDescent="0.3">
      <c r="A747" s="12" t="s">
        <v>90</v>
      </c>
      <c r="B747" s="12" t="s">
        <v>294</v>
      </c>
      <c r="C747" s="12" t="s">
        <v>123</v>
      </c>
      <c r="D747" s="12" t="s">
        <v>110</v>
      </c>
      <c r="E747" s="12" t="s">
        <v>2</v>
      </c>
      <c r="F747" s="12" t="s">
        <v>300</v>
      </c>
      <c r="G747" s="12">
        <v>265598</v>
      </c>
      <c r="H747" s="12" t="s">
        <v>301</v>
      </c>
      <c r="I747" s="12" t="s">
        <v>302</v>
      </c>
      <c r="J747" s="12">
        <v>1</v>
      </c>
      <c r="K747" s="12" t="s">
        <v>303</v>
      </c>
    </row>
    <row r="748" spans="1:16" x14ac:dyDescent="0.3">
      <c r="A748" s="12" t="s">
        <v>90</v>
      </c>
      <c r="B748" s="12" t="s">
        <v>294</v>
      </c>
      <c r="C748" s="12" t="s">
        <v>123</v>
      </c>
      <c r="D748" s="12" t="s">
        <v>110</v>
      </c>
      <c r="E748" s="12" t="s">
        <v>4</v>
      </c>
      <c r="F748" s="12" t="s">
        <v>304</v>
      </c>
      <c r="G748" s="12">
        <v>99831145</v>
      </c>
      <c r="H748" s="12" t="s">
        <v>305</v>
      </c>
      <c r="I748" s="12" t="s">
        <v>306</v>
      </c>
      <c r="J748" s="12">
        <v>1</v>
      </c>
      <c r="K748" s="12" t="s">
        <v>307</v>
      </c>
    </row>
    <row r="749" spans="1:16" x14ac:dyDescent="0.3">
      <c r="A749" s="12" t="s">
        <v>90</v>
      </c>
      <c r="B749" s="12" t="s">
        <v>294</v>
      </c>
      <c r="C749" s="12" t="s">
        <v>123</v>
      </c>
      <c r="D749" s="12" t="s">
        <v>110</v>
      </c>
      <c r="E749" s="12" t="s">
        <v>5</v>
      </c>
      <c r="F749" s="12" t="s">
        <v>308</v>
      </c>
      <c r="G749" s="12">
        <v>3691937</v>
      </c>
      <c r="H749" s="12" t="s">
        <v>309</v>
      </c>
      <c r="I749" s="12" t="s">
        <v>302</v>
      </c>
      <c r="J749" s="12">
        <v>1</v>
      </c>
      <c r="K749" s="12" t="s">
        <v>303</v>
      </c>
    </row>
    <row r="750" spans="1:16" x14ac:dyDescent="0.3">
      <c r="A750" s="12" t="s">
        <v>90</v>
      </c>
      <c r="B750" s="12" t="s">
        <v>294</v>
      </c>
      <c r="C750" s="12" t="s">
        <v>123</v>
      </c>
      <c r="D750" s="12" t="s">
        <v>110</v>
      </c>
      <c r="E750" s="12" t="s">
        <v>6</v>
      </c>
      <c r="F750" s="12" t="s">
        <v>310</v>
      </c>
      <c r="G750" s="12">
        <v>153912055</v>
      </c>
      <c r="H750" s="12" t="s">
        <v>311</v>
      </c>
      <c r="I750" s="12" t="s">
        <v>306</v>
      </c>
      <c r="J750" s="12">
        <v>1</v>
      </c>
      <c r="K750" s="12" t="s">
        <v>303</v>
      </c>
    </row>
    <row r="751" spans="1:16" x14ac:dyDescent="0.3">
      <c r="A751" s="12" t="s">
        <v>90</v>
      </c>
      <c r="B751" s="12" t="s">
        <v>294</v>
      </c>
      <c r="C751" s="12" t="s">
        <v>123</v>
      </c>
      <c r="D751" s="12" t="s">
        <v>110</v>
      </c>
      <c r="E751" s="12" t="s">
        <v>7</v>
      </c>
      <c r="F751" s="12" t="s">
        <v>312</v>
      </c>
      <c r="G751" s="12">
        <v>313130367</v>
      </c>
      <c r="H751" s="12" t="s">
        <v>313</v>
      </c>
      <c r="I751" s="12" t="s">
        <v>302</v>
      </c>
      <c r="J751" s="12">
        <v>1</v>
      </c>
      <c r="K751" s="12" t="s">
        <v>303</v>
      </c>
    </row>
    <row r="752" spans="1:16" x14ac:dyDescent="0.3">
      <c r="A752" s="12" t="s">
        <v>90</v>
      </c>
      <c r="B752" s="12" t="s">
        <v>294</v>
      </c>
      <c r="C752" s="12" t="s">
        <v>123</v>
      </c>
      <c r="D752" s="12" t="s">
        <v>110</v>
      </c>
      <c r="E752" s="12" t="s">
        <v>8</v>
      </c>
      <c r="F752" s="12" t="s">
        <v>314</v>
      </c>
      <c r="G752" s="12">
        <v>10098</v>
      </c>
      <c r="H752" s="12" t="s">
        <v>315</v>
      </c>
      <c r="I752" s="12" t="s">
        <v>306</v>
      </c>
      <c r="J752" s="12">
        <v>1</v>
      </c>
      <c r="K752" s="12" t="s">
        <v>303</v>
      </c>
    </row>
    <row r="753" spans="1:11" x14ac:dyDescent="0.3">
      <c r="A753" s="12" t="s">
        <v>90</v>
      </c>
      <c r="B753" s="12" t="s">
        <v>294</v>
      </c>
      <c r="C753" s="12" t="s">
        <v>123</v>
      </c>
      <c r="D753" s="12" t="s">
        <v>110</v>
      </c>
      <c r="E753" s="12" t="s">
        <v>9</v>
      </c>
      <c r="F753" s="12" t="s">
        <v>316</v>
      </c>
      <c r="G753" s="12">
        <v>308728373</v>
      </c>
      <c r="H753" s="12" t="s">
        <v>317</v>
      </c>
      <c r="I753" s="12" t="s">
        <v>302</v>
      </c>
      <c r="J753" s="12">
        <v>1</v>
      </c>
      <c r="K753" s="12" t="s">
        <v>303</v>
      </c>
    </row>
    <row r="754" spans="1:11" x14ac:dyDescent="0.3">
      <c r="A754" s="12" t="s">
        <v>90</v>
      </c>
      <c r="B754" s="12" t="s">
        <v>294</v>
      </c>
      <c r="C754" s="12" t="s">
        <v>123</v>
      </c>
      <c r="D754" s="12" t="s">
        <v>110</v>
      </c>
      <c r="E754" s="12" t="s">
        <v>3</v>
      </c>
      <c r="F754" s="12" t="s">
        <v>318</v>
      </c>
      <c r="G754" s="12">
        <v>87335484</v>
      </c>
      <c r="H754" s="12" t="s">
        <v>319</v>
      </c>
      <c r="I754" s="12" t="s">
        <v>306</v>
      </c>
      <c r="J754" s="12">
        <v>1</v>
      </c>
      <c r="K754" s="12" t="s">
        <v>303</v>
      </c>
    </row>
    <row r="755" spans="1:11" x14ac:dyDescent="0.3">
      <c r="A755" s="12" t="s">
        <v>90</v>
      </c>
      <c r="B755" s="12" t="s">
        <v>294</v>
      </c>
      <c r="C755" s="12" t="s">
        <v>123</v>
      </c>
      <c r="D755" s="12" t="s">
        <v>110</v>
      </c>
      <c r="E755" s="12" t="s">
        <v>11</v>
      </c>
      <c r="F755" s="12" t="s">
        <v>322</v>
      </c>
      <c r="G755" s="12">
        <v>272997</v>
      </c>
      <c r="H755" s="12" t="s">
        <v>323</v>
      </c>
      <c r="I755" s="12" t="s">
        <v>302</v>
      </c>
      <c r="J755" s="12">
        <v>1</v>
      </c>
      <c r="K755" s="12" t="s">
        <v>303</v>
      </c>
    </row>
    <row r="756" spans="1:11" x14ac:dyDescent="0.3">
      <c r="A756" s="12" t="s">
        <v>90</v>
      </c>
      <c r="B756" s="12" t="s">
        <v>294</v>
      </c>
      <c r="C756" s="12" t="s">
        <v>123</v>
      </c>
      <c r="D756" s="12" t="s">
        <v>110</v>
      </c>
      <c r="E756" s="12" t="s">
        <v>12</v>
      </c>
      <c r="F756" s="12" t="s">
        <v>324</v>
      </c>
      <c r="G756" s="12">
        <v>2585769</v>
      </c>
      <c r="H756" s="12" t="s">
        <v>325</v>
      </c>
      <c r="I756" s="12" t="s">
        <v>306</v>
      </c>
      <c r="J756" s="12">
        <v>1</v>
      </c>
      <c r="K756" s="12" t="s">
        <v>303</v>
      </c>
    </row>
    <row r="757" spans="1:11" x14ac:dyDescent="0.3">
      <c r="A757" s="12" t="s">
        <v>90</v>
      </c>
      <c r="B757" s="12" t="s">
        <v>294</v>
      </c>
      <c r="C757" s="12" t="s">
        <v>123</v>
      </c>
      <c r="D757" s="12" t="s">
        <v>110</v>
      </c>
      <c r="E757" s="12" t="s">
        <v>13</v>
      </c>
      <c r="F757" s="12" t="s">
        <v>326</v>
      </c>
      <c r="G757" s="12">
        <v>6393</v>
      </c>
      <c r="H757" s="12" t="s">
        <v>327</v>
      </c>
      <c r="I757" s="12" t="s">
        <v>306</v>
      </c>
      <c r="J757" s="12">
        <v>1</v>
      </c>
      <c r="K757" s="12" t="s">
        <v>303</v>
      </c>
    </row>
    <row r="758" spans="1:11" x14ac:dyDescent="0.3">
      <c r="A758" s="12" t="s">
        <v>90</v>
      </c>
      <c r="B758" s="12" t="s">
        <v>294</v>
      </c>
      <c r="C758" s="12" t="s">
        <v>123</v>
      </c>
      <c r="D758" s="12" t="s">
        <v>110</v>
      </c>
      <c r="E758" s="12" t="s">
        <v>16</v>
      </c>
      <c r="F758" s="12" t="s">
        <v>332</v>
      </c>
      <c r="G758" s="12">
        <v>6890</v>
      </c>
      <c r="H758" s="12" t="s">
        <v>333</v>
      </c>
      <c r="I758" s="12" t="s">
        <v>306</v>
      </c>
      <c r="J758" s="12">
        <v>1</v>
      </c>
      <c r="K758" s="12" t="s">
        <v>303</v>
      </c>
    </row>
    <row r="759" spans="1:11" x14ac:dyDescent="0.3">
      <c r="A759" s="12" t="s">
        <v>90</v>
      </c>
      <c r="B759" s="12" t="s">
        <v>294</v>
      </c>
      <c r="C759" s="12" t="s">
        <v>123</v>
      </c>
      <c r="D759" s="12" t="s">
        <v>110</v>
      </c>
      <c r="E759" s="12" t="s">
        <v>17</v>
      </c>
      <c r="F759" s="12" t="s">
        <v>334</v>
      </c>
      <c r="G759" s="12">
        <v>398898580</v>
      </c>
      <c r="H759" s="12" t="s">
        <v>335</v>
      </c>
      <c r="I759" s="12" t="s">
        <v>306</v>
      </c>
      <c r="J759" s="12">
        <v>1</v>
      </c>
      <c r="K759" s="12" t="s">
        <v>303</v>
      </c>
    </row>
    <row r="760" spans="1:11" x14ac:dyDescent="0.3">
      <c r="A760" s="12" t="s">
        <v>90</v>
      </c>
      <c r="B760" s="12" t="s">
        <v>294</v>
      </c>
      <c r="C760" s="12" t="s">
        <v>123</v>
      </c>
      <c r="D760" s="12" t="s">
        <v>110</v>
      </c>
      <c r="E760" s="12" t="s">
        <v>18</v>
      </c>
      <c r="F760" s="12" t="s">
        <v>336</v>
      </c>
      <c r="G760" s="12">
        <v>7496</v>
      </c>
      <c r="H760" s="12" t="s">
        <v>337</v>
      </c>
      <c r="I760" s="12" t="s">
        <v>306</v>
      </c>
      <c r="J760" s="12">
        <v>1</v>
      </c>
      <c r="K760" s="12" t="s">
        <v>303</v>
      </c>
    </row>
    <row r="761" spans="1:11" x14ac:dyDescent="0.3">
      <c r="A761" s="12" t="s">
        <v>90</v>
      </c>
      <c r="B761" s="12" t="s">
        <v>294</v>
      </c>
      <c r="C761" s="12" t="s">
        <v>123</v>
      </c>
      <c r="D761" s="12" t="s">
        <v>110</v>
      </c>
      <c r="E761" s="12" t="s">
        <v>19</v>
      </c>
      <c r="F761" s="12" t="s">
        <v>338</v>
      </c>
      <c r="G761" s="12">
        <v>208813719</v>
      </c>
      <c r="H761" s="12" t="s">
        <v>339</v>
      </c>
      <c r="I761" s="12" t="s">
        <v>302</v>
      </c>
      <c r="J761" s="12">
        <v>1</v>
      </c>
      <c r="K761" s="12" t="s">
        <v>303</v>
      </c>
    </row>
    <row r="762" spans="1:11" x14ac:dyDescent="0.3">
      <c r="A762" s="12" t="s">
        <v>90</v>
      </c>
      <c r="B762" s="12" t="s">
        <v>294</v>
      </c>
      <c r="C762" s="12" t="s">
        <v>123</v>
      </c>
      <c r="D762" s="12" t="s">
        <v>110</v>
      </c>
      <c r="E762" s="12" t="s">
        <v>20</v>
      </c>
      <c r="F762" s="12" t="s">
        <v>340</v>
      </c>
      <c r="G762" s="12">
        <v>7930</v>
      </c>
      <c r="H762" s="12" t="s">
        <v>341</v>
      </c>
      <c r="I762" s="12" t="s">
        <v>306</v>
      </c>
      <c r="J762" s="12">
        <v>1</v>
      </c>
      <c r="K762" s="12" t="s">
        <v>303</v>
      </c>
    </row>
    <row r="763" spans="1:11" x14ac:dyDescent="0.3">
      <c r="A763" s="12" t="s">
        <v>90</v>
      </c>
      <c r="B763" s="12" t="s">
        <v>294</v>
      </c>
      <c r="C763" s="12" t="s">
        <v>123</v>
      </c>
      <c r="D763" s="12" t="s">
        <v>110</v>
      </c>
      <c r="E763" s="12" t="s">
        <v>21</v>
      </c>
      <c r="F763" s="12" t="s">
        <v>342</v>
      </c>
      <c r="G763" s="12">
        <v>169544810</v>
      </c>
      <c r="H763" s="12" t="s">
        <v>343</v>
      </c>
      <c r="I763" s="12" t="s">
        <v>306</v>
      </c>
      <c r="J763" s="12">
        <v>1</v>
      </c>
      <c r="K763" s="12" t="s">
        <v>303</v>
      </c>
    </row>
    <row r="764" spans="1:11" x14ac:dyDescent="0.3">
      <c r="A764" s="12" t="s">
        <v>90</v>
      </c>
      <c r="B764" s="12" t="s">
        <v>294</v>
      </c>
      <c r="C764" s="12" t="s">
        <v>123</v>
      </c>
      <c r="D764" s="12" t="s">
        <v>110</v>
      </c>
      <c r="E764" s="12" t="s">
        <v>22</v>
      </c>
      <c r="F764" s="12" t="s">
        <v>344</v>
      </c>
      <c r="G764" s="12">
        <v>403121976</v>
      </c>
      <c r="H764" s="12" t="s">
        <v>345</v>
      </c>
      <c r="I764" s="12" t="s">
        <v>306</v>
      </c>
      <c r="J764" s="12">
        <v>1</v>
      </c>
      <c r="K764" s="12" t="s">
        <v>303</v>
      </c>
    </row>
    <row r="765" spans="1:11" x14ac:dyDescent="0.3">
      <c r="A765" s="12" t="s">
        <v>90</v>
      </c>
      <c r="B765" s="12" t="s">
        <v>294</v>
      </c>
      <c r="C765" s="12" t="s">
        <v>123</v>
      </c>
      <c r="D765" s="12" t="s">
        <v>110</v>
      </c>
      <c r="E765" s="12" t="s">
        <v>37</v>
      </c>
      <c r="F765" s="12" t="s">
        <v>613</v>
      </c>
      <c r="G765" s="12">
        <v>8314</v>
      </c>
      <c r="H765" s="12" t="s">
        <v>614</v>
      </c>
      <c r="I765" s="12" t="s">
        <v>306</v>
      </c>
      <c r="J765" s="12">
        <v>1</v>
      </c>
      <c r="K765" s="12" t="s">
        <v>303</v>
      </c>
    </row>
    <row r="766" spans="1:11" x14ac:dyDescent="0.3">
      <c r="A766" s="12" t="s">
        <v>90</v>
      </c>
      <c r="B766" s="12" t="s">
        <v>294</v>
      </c>
      <c r="C766" s="12" t="s">
        <v>123</v>
      </c>
      <c r="D766" s="12" t="s">
        <v>110</v>
      </c>
      <c r="E766" s="12" t="s">
        <v>23</v>
      </c>
      <c r="F766" s="12" t="s">
        <v>346</v>
      </c>
      <c r="G766" s="12">
        <v>270662</v>
      </c>
      <c r="H766" s="12" t="s">
        <v>347</v>
      </c>
      <c r="I766" s="12" t="s">
        <v>302</v>
      </c>
      <c r="J766" s="12">
        <v>1</v>
      </c>
      <c r="K766" s="12" t="s">
        <v>303</v>
      </c>
    </row>
    <row r="767" spans="1:11" x14ac:dyDescent="0.3">
      <c r="A767" s="12" t="s">
        <v>90</v>
      </c>
      <c r="B767" s="12" t="s">
        <v>294</v>
      </c>
      <c r="C767" s="12" t="s">
        <v>123</v>
      </c>
      <c r="D767" s="12" t="s">
        <v>110</v>
      </c>
      <c r="E767" s="12" t="s">
        <v>24</v>
      </c>
      <c r="F767" s="12" t="s">
        <v>348</v>
      </c>
      <c r="G767" s="12">
        <v>404509190</v>
      </c>
      <c r="H767" s="12" t="s">
        <v>349</v>
      </c>
      <c r="I767" s="12" t="s">
        <v>306</v>
      </c>
      <c r="J767" s="12">
        <v>1</v>
      </c>
      <c r="K767" s="12" t="s">
        <v>303</v>
      </c>
    </row>
    <row r="768" spans="1:11" x14ac:dyDescent="0.3">
      <c r="A768" s="12" t="s">
        <v>90</v>
      </c>
      <c r="B768" s="12" t="s">
        <v>294</v>
      </c>
      <c r="C768" s="12" t="s">
        <v>123</v>
      </c>
      <c r="D768" s="12" t="s">
        <v>110</v>
      </c>
      <c r="E768" s="12" t="s">
        <v>25</v>
      </c>
      <c r="F768" s="12" t="s">
        <v>350</v>
      </c>
      <c r="G768" s="12">
        <v>45157951</v>
      </c>
      <c r="H768" s="12" t="s">
        <v>351</v>
      </c>
      <c r="I768" s="12" t="s">
        <v>302</v>
      </c>
      <c r="J768" s="12">
        <v>1</v>
      </c>
      <c r="K768" s="12" t="s">
        <v>303</v>
      </c>
    </row>
    <row r="769" spans="1:11" x14ac:dyDescent="0.3">
      <c r="A769" s="12" t="s">
        <v>90</v>
      </c>
      <c r="B769" s="12" t="s">
        <v>294</v>
      </c>
      <c r="C769" s="12" t="s">
        <v>123</v>
      </c>
      <c r="D769" s="12" t="s">
        <v>110</v>
      </c>
      <c r="E769" s="12" t="s">
        <v>26</v>
      </c>
      <c r="F769" s="12" t="s">
        <v>352</v>
      </c>
      <c r="G769" s="12">
        <v>6497</v>
      </c>
      <c r="H769" s="12" t="s">
        <v>353</v>
      </c>
      <c r="I769" s="12" t="s">
        <v>306</v>
      </c>
      <c r="J769" s="12">
        <v>1</v>
      </c>
      <c r="K769" s="12" t="s">
        <v>303</v>
      </c>
    </row>
    <row r="770" spans="1:11" x14ac:dyDescent="0.3">
      <c r="A770" s="12" t="s">
        <v>90</v>
      </c>
      <c r="B770" s="12" t="s">
        <v>294</v>
      </c>
      <c r="C770" s="12" t="s">
        <v>123</v>
      </c>
      <c r="D770" s="12" t="s">
        <v>110</v>
      </c>
      <c r="E770" s="12" t="s">
        <v>38</v>
      </c>
      <c r="F770" s="12" t="s">
        <v>615</v>
      </c>
      <c r="G770" s="12">
        <v>292833239</v>
      </c>
      <c r="H770" s="12" t="s">
        <v>616</v>
      </c>
      <c r="I770" s="12" t="s">
        <v>302</v>
      </c>
      <c r="J770" s="12">
        <v>1</v>
      </c>
      <c r="K770" s="12" t="s">
        <v>303</v>
      </c>
    </row>
    <row r="771" spans="1:11" x14ac:dyDescent="0.3">
      <c r="A771" s="12" t="s">
        <v>90</v>
      </c>
      <c r="B771" s="12" t="s">
        <v>294</v>
      </c>
      <c r="C771" s="12" t="s">
        <v>123</v>
      </c>
      <c r="D771" s="12" t="s">
        <v>110</v>
      </c>
      <c r="E771" s="12" t="s">
        <v>27</v>
      </c>
      <c r="F771" s="12" t="s">
        <v>354</v>
      </c>
      <c r="G771" s="12">
        <v>107113386</v>
      </c>
      <c r="H771" s="12" t="s">
        <v>355</v>
      </c>
      <c r="I771" s="12" t="s">
        <v>302</v>
      </c>
      <c r="J771" s="12">
        <v>1</v>
      </c>
      <c r="K771" s="12" t="s">
        <v>303</v>
      </c>
    </row>
    <row r="772" spans="1:11" x14ac:dyDescent="0.3">
      <c r="A772" s="12" t="s">
        <v>90</v>
      </c>
      <c r="B772" s="12" t="s">
        <v>294</v>
      </c>
      <c r="C772" s="12" t="s">
        <v>123</v>
      </c>
      <c r="D772" s="12" t="s">
        <v>110</v>
      </c>
      <c r="E772" s="12" t="s">
        <v>28</v>
      </c>
      <c r="F772" s="12" t="s">
        <v>356</v>
      </c>
      <c r="G772" s="12">
        <v>272093</v>
      </c>
      <c r="H772" s="12" t="s">
        <v>357</v>
      </c>
      <c r="I772" s="12" t="s">
        <v>302</v>
      </c>
      <c r="J772" s="12">
        <v>1</v>
      </c>
      <c r="K772" s="12" t="s">
        <v>303</v>
      </c>
    </row>
    <row r="773" spans="1:11" x14ac:dyDescent="0.3">
      <c r="A773" s="12" t="s">
        <v>90</v>
      </c>
      <c r="B773" s="12" t="s">
        <v>294</v>
      </c>
      <c r="C773" s="12" t="s">
        <v>123</v>
      </c>
      <c r="D773" s="12" t="s">
        <v>110</v>
      </c>
      <c r="E773" s="12" t="s">
        <v>29</v>
      </c>
      <c r="F773" s="12" t="s">
        <v>358</v>
      </c>
      <c r="G773" s="12">
        <v>110619459</v>
      </c>
      <c r="H773" s="12" t="s">
        <v>359</v>
      </c>
      <c r="I773" s="12" t="s">
        <v>302</v>
      </c>
      <c r="J773" s="12">
        <v>1</v>
      </c>
      <c r="K773" s="12" t="s">
        <v>303</v>
      </c>
    </row>
    <row r="774" spans="1:11" x14ac:dyDescent="0.3">
      <c r="A774" s="12" t="s">
        <v>90</v>
      </c>
      <c r="B774" s="12" t="s">
        <v>294</v>
      </c>
      <c r="C774" s="12" t="s">
        <v>123</v>
      </c>
      <c r="D774" s="12" t="s">
        <v>110</v>
      </c>
      <c r="E774" s="12" t="s">
        <v>39</v>
      </c>
      <c r="F774" s="12" t="s">
        <v>617</v>
      </c>
      <c r="G774" s="12">
        <v>273544</v>
      </c>
      <c r="H774" s="12" t="s">
        <v>618</v>
      </c>
      <c r="I774" s="12" t="s">
        <v>302</v>
      </c>
      <c r="J774" s="12">
        <v>1</v>
      </c>
      <c r="K774" s="12" t="s">
        <v>303</v>
      </c>
    </row>
    <row r="775" spans="1:11" x14ac:dyDescent="0.3">
      <c r="A775" s="12" t="s">
        <v>90</v>
      </c>
      <c r="B775" s="12" t="s">
        <v>294</v>
      </c>
      <c r="C775" s="12" t="s">
        <v>123</v>
      </c>
      <c r="D775" s="12" t="s">
        <v>110</v>
      </c>
      <c r="E775" s="12" t="s">
        <v>30</v>
      </c>
      <c r="F775" s="12" t="s">
        <v>360</v>
      </c>
      <c r="G775" s="12">
        <v>273939</v>
      </c>
      <c r="H775" s="12" t="s">
        <v>361</v>
      </c>
      <c r="I775" s="12" t="s">
        <v>302</v>
      </c>
      <c r="J775" s="12">
        <v>1</v>
      </c>
      <c r="K775" s="12" t="s">
        <v>303</v>
      </c>
    </row>
    <row r="776" spans="1:11" x14ac:dyDescent="0.3">
      <c r="A776" s="12" t="s">
        <v>90</v>
      </c>
      <c r="B776" s="12" t="s">
        <v>294</v>
      </c>
      <c r="C776" s="12" t="s">
        <v>123</v>
      </c>
      <c r="D776" s="12" t="s">
        <v>110</v>
      </c>
      <c r="E776" s="12" t="s">
        <v>31</v>
      </c>
      <c r="F776" s="12" t="s">
        <v>362</v>
      </c>
      <c r="G776" s="12">
        <v>444884769</v>
      </c>
      <c r="H776" s="12" t="s">
        <v>363</v>
      </c>
      <c r="I776" s="12" t="s">
        <v>306</v>
      </c>
      <c r="J776" s="12">
        <v>1</v>
      </c>
      <c r="K776" s="12" t="s">
        <v>303</v>
      </c>
    </row>
    <row r="777" spans="1:11" x14ac:dyDescent="0.3">
      <c r="A777" s="12" t="s">
        <v>90</v>
      </c>
      <c r="B777" s="12" t="s">
        <v>294</v>
      </c>
      <c r="C777" s="12" t="s">
        <v>123</v>
      </c>
      <c r="D777" s="12" t="s">
        <v>110</v>
      </c>
      <c r="E777" s="12" t="s">
        <v>32</v>
      </c>
      <c r="F777" s="12" t="s">
        <v>364</v>
      </c>
      <c r="G777" s="12">
        <v>365207014</v>
      </c>
      <c r="H777" s="12" t="s">
        <v>365</v>
      </c>
      <c r="I777" s="12" t="s">
        <v>306</v>
      </c>
      <c r="J777" s="12">
        <v>1</v>
      </c>
      <c r="K777" s="12" t="s">
        <v>303</v>
      </c>
    </row>
    <row r="778" spans="1:11" x14ac:dyDescent="0.3">
      <c r="A778" s="12" t="s">
        <v>90</v>
      </c>
      <c r="B778" s="12" t="s">
        <v>294</v>
      </c>
      <c r="C778" s="12" t="s">
        <v>123</v>
      </c>
      <c r="D778" s="12" t="s">
        <v>110</v>
      </c>
      <c r="E778" s="12" t="s">
        <v>33</v>
      </c>
      <c r="F778" s="12" t="s">
        <v>366</v>
      </c>
      <c r="G778" s="12">
        <v>46970422</v>
      </c>
      <c r="H778" s="12" t="s">
        <v>367</v>
      </c>
      <c r="I778" s="12" t="s">
        <v>302</v>
      </c>
      <c r="J778" s="12">
        <v>1</v>
      </c>
      <c r="K778" s="12" t="s">
        <v>303</v>
      </c>
    </row>
    <row r="779" spans="1:11" x14ac:dyDescent="0.3">
      <c r="A779" s="12" t="s">
        <v>90</v>
      </c>
      <c r="B779" s="12" t="s">
        <v>294</v>
      </c>
      <c r="C779" s="12" t="s">
        <v>123</v>
      </c>
      <c r="D779" s="12" t="s">
        <v>110</v>
      </c>
      <c r="E779" s="12" t="s">
        <v>40</v>
      </c>
      <c r="F779" s="12" t="s">
        <v>619</v>
      </c>
      <c r="G779" s="12">
        <v>13284</v>
      </c>
      <c r="H779" s="12" t="s">
        <v>620</v>
      </c>
      <c r="I779" s="12" t="s">
        <v>306</v>
      </c>
      <c r="J779" s="12">
        <v>1</v>
      </c>
      <c r="K779" s="12" t="s">
        <v>303</v>
      </c>
    </row>
    <row r="780" spans="1:11" x14ac:dyDescent="0.3">
      <c r="A780" s="12" t="s">
        <v>90</v>
      </c>
      <c r="B780" s="12" t="s">
        <v>294</v>
      </c>
      <c r="C780" s="12" t="s">
        <v>123</v>
      </c>
      <c r="D780" s="12" t="s">
        <v>110</v>
      </c>
      <c r="E780" s="12" t="s">
        <v>34</v>
      </c>
      <c r="F780" s="12" t="s">
        <v>368</v>
      </c>
      <c r="G780" s="12">
        <v>115324104</v>
      </c>
      <c r="H780" s="12" t="s">
        <v>369</v>
      </c>
      <c r="I780" s="12" t="s">
        <v>302</v>
      </c>
      <c r="J780" s="12">
        <v>1</v>
      </c>
      <c r="K780" s="12" t="s">
        <v>303</v>
      </c>
    </row>
    <row r="781" spans="1:11" x14ac:dyDescent="0.3">
      <c r="A781" s="12" t="s">
        <v>90</v>
      </c>
      <c r="B781" s="12" t="s">
        <v>294</v>
      </c>
      <c r="C781" s="12" t="s">
        <v>123</v>
      </c>
      <c r="D781" s="12" t="s">
        <v>110</v>
      </c>
      <c r="E781" s="12" t="s">
        <v>41</v>
      </c>
      <c r="F781" s="12" t="s">
        <v>621</v>
      </c>
      <c r="G781" s="12">
        <v>319359438</v>
      </c>
      <c r="H781" s="12" t="s">
        <v>622</v>
      </c>
      <c r="I781" s="12" t="s">
        <v>623</v>
      </c>
      <c r="J781" s="12">
        <v>1</v>
      </c>
      <c r="K781" s="12" t="s">
        <v>413</v>
      </c>
    </row>
    <row r="782" spans="1:11" x14ac:dyDescent="0.3">
      <c r="A782" s="12" t="s">
        <v>90</v>
      </c>
      <c r="B782" s="12" t="s">
        <v>294</v>
      </c>
      <c r="C782" s="12" t="s">
        <v>123</v>
      </c>
      <c r="D782" s="12" t="s">
        <v>110</v>
      </c>
      <c r="E782" s="12" t="s">
        <v>42</v>
      </c>
      <c r="F782" s="12" t="s">
        <v>624</v>
      </c>
      <c r="G782" s="12">
        <v>4215230</v>
      </c>
      <c r="H782" s="12" t="s">
        <v>625</v>
      </c>
      <c r="I782" s="12" t="s">
        <v>623</v>
      </c>
      <c r="J782" s="12">
        <v>1</v>
      </c>
      <c r="K782" s="12" t="s">
        <v>413</v>
      </c>
    </row>
    <row r="783" spans="1:11" x14ac:dyDescent="0.3">
      <c r="A783" s="12" t="s">
        <v>90</v>
      </c>
      <c r="B783" s="12" t="s">
        <v>294</v>
      </c>
      <c r="C783" s="12" t="s">
        <v>123</v>
      </c>
      <c r="D783" s="12" t="s">
        <v>110</v>
      </c>
      <c r="E783" s="12" t="s">
        <v>43</v>
      </c>
      <c r="F783" s="12" t="s">
        <v>626</v>
      </c>
      <c r="G783" s="12">
        <v>4215235</v>
      </c>
      <c r="H783" s="12" t="s">
        <v>627</v>
      </c>
      <c r="I783" s="12" t="s">
        <v>623</v>
      </c>
      <c r="J783" s="12">
        <v>1</v>
      </c>
      <c r="K783" s="12" t="s">
        <v>413</v>
      </c>
    </row>
    <row r="784" spans="1:11" x14ac:dyDescent="0.3">
      <c r="A784" s="12" t="s">
        <v>90</v>
      </c>
      <c r="B784" s="12" t="s">
        <v>294</v>
      </c>
      <c r="C784" s="12" t="s">
        <v>123</v>
      </c>
      <c r="D784" s="12" t="s">
        <v>110</v>
      </c>
      <c r="E784" s="12" t="s">
        <v>44</v>
      </c>
      <c r="F784" s="12" t="s">
        <v>628</v>
      </c>
      <c r="G784" s="12">
        <v>4215205</v>
      </c>
      <c r="H784" s="12" t="s">
        <v>629</v>
      </c>
      <c r="I784" s="12" t="s">
        <v>623</v>
      </c>
      <c r="J784" s="12">
        <v>1</v>
      </c>
      <c r="K784" s="12" t="s">
        <v>413</v>
      </c>
    </row>
    <row r="785" spans="1:12" x14ac:dyDescent="0.3">
      <c r="A785" s="12" t="s">
        <v>90</v>
      </c>
      <c r="B785" s="12" t="s">
        <v>294</v>
      </c>
      <c r="C785" s="12" t="s">
        <v>123</v>
      </c>
      <c r="D785" s="12" t="s">
        <v>110</v>
      </c>
      <c r="E785" s="12" t="s">
        <v>35</v>
      </c>
      <c r="F785" s="12" t="s">
        <v>370</v>
      </c>
      <c r="G785" s="12">
        <v>13977</v>
      </c>
      <c r="H785" s="12" t="s">
        <v>371</v>
      </c>
      <c r="I785" s="12" t="s">
        <v>306</v>
      </c>
      <c r="J785" s="12">
        <v>1</v>
      </c>
      <c r="K785" s="12" t="s">
        <v>303</v>
      </c>
    </row>
    <row r="786" spans="1:12" x14ac:dyDescent="0.3">
      <c r="A786" s="12" t="s">
        <v>90</v>
      </c>
      <c r="B786" s="12" t="s">
        <v>294</v>
      </c>
      <c r="C786" s="12" t="s">
        <v>120</v>
      </c>
      <c r="D786" s="12" t="s">
        <v>100</v>
      </c>
      <c r="E786" s="12" t="s">
        <v>0</v>
      </c>
      <c r="F786" s="12" t="s">
        <v>269</v>
      </c>
      <c r="G786" s="12" t="s">
        <v>295</v>
      </c>
      <c r="H786" s="12" t="s">
        <v>297</v>
      </c>
      <c r="I786" s="12" t="s">
        <v>298</v>
      </c>
      <c r="J786" s="12" t="s">
        <v>372</v>
      </c>
      <c r="K786" s="12" t="s">
        <v>373</v>
      </c>
      <c r="L786" s="12" t="s">
        <v>165</v>
      </c>
    </row>
    <row r="787" spans="1:12" x14ac:dyDescent="0.3">
      <c r="A787" s="12" t="s">
        <v>90</v>
      </c>
      <c r="B787" s="12" t="s">
        <v>294</v>
      </c>
      <c r="C787" s="12" t="s">
        <v>123</v>
      </c>
      <c r="D787" s="12" t="s">
        <v>112</v>
      </c>
      <c r="E787" s="12" t="s">
        <v>36</v>
      </c>
      <c r="F787" s="12" t="s">
        <v>374</v>
      </c>
      <c r="G787" s="12">
        <v>603558929</v>
      </c>
      <c r="H787" s="12" t="s">
        <v>375</v>
      </c>
      <c r="I787" s="12">
        <v>5</v>
      </c>
      <c r="J787" s="20">
        <v>45366</v>
      </c>
      <c r="K787" s="12" t="s">
        <v>91</v>
      </c>
    </row>
    <row r="788" spans="1:12" x14ac:dyDescent="0.3">
      <c r="A788" s="12" t="s">
        <v>90</v>
      </c>
      <c r="B788" s="12" t="s">
        <v>376</v>
      </c>
      <c r="C788" s="12" t="s">
        <v>120</v>
      </c>
      <c r="D788" s="12" t="s">
        <v>165</v>
      </c>
      <c r="E788" s="12" t="s">
        <v>377</v>
      </c>
      <c r="F788" s="12" t="s">
        <v>378</v>
      </c>
      <c r="G788" s="12" t="s">
        <v>379</v>
      </c>
    </row>
    <row r="789" spans="1:12" x14ac:dyDescent="0.3">
      <c r="A789" s="12" t="s">
        <v>90</v>
      </c>
      <c r="B789" s="12" t="s">
        <v>376</v>
      </c>
      <c r="C789" s="12" t="s">
        <v>123</v>
      </c>
      <c r="D789" s="12" t="s">
        <v>380</v>
      </c>
      <c r="E789" s="12" t="s">
        <v>381</v>
      </c>
    </row>
    <row r="790" spans="1:12" x14ac:dyDescent="0.3">
      <c r="A790" s="12" t="s">
        <v>90</v>
      </c>
      <c r="B790" s="12" t="s">
        <v>376</v>
      </c>
      <c r="C790" s="12" t="s">
        <v>123</v>
      </c>
      <c r="D790" s="12" t="s">
        <v>382</v>
      </c>
      <c r="E790" s="12" t="s">
        <v>383</v>
      </c>
    </row>
    <row r="791" spans="1:12" x14ac:dyDescent="0.3">
      <c r="A791" s="12" t="s">
        <v>90</v>
      </c>
      <c r="B791" s="12" t="s">
        <v>376</v>
      </c>
      <c r="C791" s="12" t="s">
        <v>123</v>
      </c>
      <c r="D791" s="12" t="s">
        <v>384</v>
      </c>
      <c r="E791" s="12" t="s">
        <v>385</v>
      </c>
    </row>
    <row r="792" spans="1:12" x14ac:dyDescent="0.3">
      <c r="A792" s="12" t="s">
        <v>90</v>
      </c>
      <c r="B792" s="12" t="s">
        <v>376</v>
      </c>
      <c r="C792" s="12" t="s">
        <v>123</v>
      </c>
      <c r="D792" s="12" t="s">
        <v>386</v>
      </c>
      <c r="E792" s="12" t="s">
        <v>387</v>
      </c>
    </row>
    <row r="793" spans="1:12" x14ac:dyDescent="0.3">
      <c r="A793" s="12" t="s">
        <v>90</v>
      </c>
      <c r="B793" s="12" t="s">
        <v>376</v>
      </c>
      <c r="C793" s="12" t="s">
        <v>123</v>
      </c>
      <c r="D793" s="12" t="s">
        <v>388</v>
      </c>
      <c r="E793" s="12" t="s">
        <v>389</v>
      </c>
    </row>
    <row r="794" spans="1:12" x14ac:dyDescent="0.3">
      <c r="A794" s="12" t="s">
        <v>90</v>
      </c>
      <c r="B794" s="12" t="s">
        <v>376</v>
      </c>
      <c r="C794" s="12" t="s">
        <v>123</v>
      </c>
      <c r="D794" s="12" t="s">
        <v>390</v>
      </c>
      <c r="E794" s="12" t="s">
        <v>391</v>
      </c>
    </row>
    <row r="795" spans="1:12" x14ac:dyDescent="0.3">
      <c r="A795" s="12" t="s">
        <v>90</v>
      </c>
      <c r="B795" s="12" t="s">
        <v>376</v>
      </c>
      <c r="C795" s="12" t="s">
        <v>123</v>
      </c>
      <c r="D795" s="12" t="s">
        <v>392</v>
      </c>
      <c r="E795" s="12" t="s">
        <v>393</v>
      </c>
    </row>
    <row r="796" spans="1:12" x14ac:dyDescent="0.3">
      <c r="A796" s="12" t="s">
        <v>90</v>
      </c>
      <c r="B796" s="12" t="s">
        <v>376</v>
      </c>
      <c r="C796" s="12" t="s">
        <v>123</v>
      </c>
      <c r="D796" s="12" t="s">
        <v>394</v>
      </c>
      <c r="E796" s="12" t="s">
        <v>395</v>
      </c>
    </row>
    <row r="797" spans="1:12" x14ac:dyDescent="0.3">
      <c r="A797" s="12" t="s">
        <v>90</v>
      </c>
      <c r="B797" s="12" t="s">
        <v>376</v>
      </c>
      <c r="C797" s="12" t="s">
        <v>123</v>
      </c>
      <c r="D797" s="12" t="s">
        <v>396</v>
      </c>
      <c r="E797" s="12" t="s">
        <v>397</v>
      </c>
    </row>
    <row r="798" spans="1:12" x14ac:dyDescent="0.3">
      <c r="A798" s="12" t="s">
        <v>90</v>
      </c>
      <c r="B798" s="12" t="s">
        <v>376</v>
      </c>
      <c r="C798" s="12" t="s">
        <v>123</v>
      </c>
      <c r="D798" s="12" t="s">
        <v>3</v>
      </c>
      <c r="E798" s="12" t="s">
        <v>398</v>
      </c>
    </row>
    <row r="799" spans="1:12" x14ac:dyDescent="0.3">
      <c r="A799" s="12" t="s">
        <v>90</v>
      </c>
      <c r="B799" s="12" t="s">
        <v>376</v>
      </c>
      <c r="C799" s="12" t="s">
        <v>123</v>
      </c>
      <c r="D799" s="12" t="s">
        <v>399</v>
      </c>
      <c r="E799" s="12" t="s">
        <v>400</v>
      </c>
    </row>
    <row r="800" spans="1:12" x14ac:dyDescent="0.3">
      <c r="A800" s="12" t="s">
        <v>90</v>
      </c>
      <c r="B800" s="12" t="s">
        <v>376</v>
      </c>
      <c r="C800" s="12" t="s">
        <v>123</v>
      </c>
      <c r="D800" s="12" t="s">
        <v>401</v>
      </c>
      <c r="E800" s="12" t="s">
        <v>402</v>
      </c>
    </row>
    <row r="801" spans="1:5" x14ac:dyDescent="0.3">
      <c r="A801" s="12" t="s">
        <v>90</v>
      </c>
      <c r="B801" s="12" t="s">
        <v>376</v>
      </c>
      <c r="C801" s="12" t="s">
        <v>123</v>
      </c>
      <c r="D801" s="12" t="s">
        <v>403</v>
      </c>
      <c r="E801" s="12" t="s">
        <v>404</v>
      </c>
    </row>
    <row r="802" spans="1:5" x14ac:dyDescent="0.3">
      <c r="A802" s="12" t="s">
        <v>90</v>
      </c>
      <c r="B802" s="12" t="s">
        <v>376</v>
      </c>
      <c r="C802" s="12" t="s">
        <v>123</v>
      </c>
      <c r="D802" s="12" t="s">
        <v>405</v>
      </c>
      <c r="E802" s="12" t="s">
        <v>406</v>
      </c>
    </row>
    <row r="803" spans="1:5" x14ac:dyDescent="0.3">
      <c r="A803" s="12" t="s">
        <v>90</v>
      </c>
      <c r="B803" s="12" t="s">
        <v>376</v>
      </c>
      <c r="C803" s="12" t="s">
        <v>123</v>
      </c>
      <c r="D803" s="12" t="s">
        <v>407</v>
      </c>
      <c r="E803" s="12" t="s">
        <v>408</v>
      </c>
    </row>
    <row r="804" spans="1:5" x14ac:dyDescent="0.3">
      <c r="A804" s="12" t="s">
        <v>90</v>
      </c>
      <c r="B804" s="12" t="s">
        <v>376</v>
      </c>
      <c r="C804" s="12" t="s">
        <v>123</v>
      </c>
      <c r="D804" s="12" t="s">
        <v>409</v>
      </c>
      <c r="E804" s="12" t="s">
        <v>410</v>
      </c>
    </row>
    <row r="805" spans="1:5" x14ac:dyDescent="0.3">
      <c r="A805" s="12" t="s">
        <v>90</v>
      </c>
      <c r="B805" s="12" t="s">
        <v>376</v>
      </c>
      <c r="C805" s="12" t="s">
        <v>123</v>
      </c>
      <c r="D805" s="12" t="s">
        <v>411</v>
      </c>
      <c r="E805" s="12" t="s">
        <v>412</v>
      </c>
    </row>
    <row r="806" spans="1:5" x14ac:dyDescent="0.3">
      <c r="A806" s="12" t="s">
        <v>90</v>
      </c>
      <c r="B806" s="12" t="s">
        <v>376</v>
      </c>
      <c r="C806" s="12" t="s">
        <v>123</v>
      </c>
      <c r="D806" s="12" t="s">
        <v>413</v>
      </c>
      <c r="E806" s="12" t="s">
        <v>414</v>
      </c>
    </row>
    <row r="807" spans="1:5" x14ac:dyDescent="0.3">
      <c r="A807" s="12" t="s">
        <v>90</v>
      </c>
      <c r="B807" s="12" t="s">
        <v>376</v>
      </c>
      <c r="C807" s="12" t="s">
        <v>123</v>
      </c>
      <c r="D807" s="12" t="s">
        <v>415</v>
      </c>
      <c r="E807" s="12" t="s">
        <v>416</v>
      </c>
    </row>
    <row r="808" spans="1:5" x14ac:dyDescent="0.3">
      <c r="A808" s="12" t="s">
        <v>90</v>
      </c>
      <c r="B808" s="12" t="s">
        <v>376</v>
      </c>
      <c r="C808" s="12" t="s">
        <v>123</v>
      </c>
      <c r="D808" s="12" t="s">
        <v>417</v>
      </c>
      <c r="E808" s="12" t="s">
        <v>418</v>
      </c>
    </row>
    <row r="809" spans="1:5" x14ac:dyDescent="0.3">
      <c r="A809" s="12" t="s">
        <v>90</v>
      </c>
      <c r="B809" s="12" t="s">
        <v>376</v>
      </c>
      <c r="C809" s="12" t="s">
        <v>123</v>
      </c>
      <c r="D809" s="12" t="s">
        <v>419</v>
      </c>
      <c r="E809" s="12" t="s">
        <v>420</v>
      </c>
    </row>
    <row r="810" spans="1:5" x14ac:dyDescent="0.3">
      <c r="A810" s="12" t="s">
        <v>90</v>
      </c>
      <c r="B810" s="12" t="s">
        <v>376</v>
      </c>
      <c r="C810" s="12" t="s">
        <v>123</v>
      </c>
      <c r="D810" s="12" t="s">
        <v>421</v>
      </c>
      <c r="E810" s="12" t="s">
        <v>422</v>
      </c>
    </row>
    <row r="811" spans="1:5" x14ac:dyDescent="0.3">
      <c r="A811" s="12" t="s">
        <v>90</v>
      </c>
      <c r="B811" s="12" t="s">
        <v>376</v>
      </c>
      <c r="C811" s="12" t="s">
        <v>123</v>
      </c>
      <c r="D811" s="12" t="s">
        <v>423</v>
      </c>
      <c r="E811" s="12" t="s">
        <v>424</v>
      </c>
    </row>
    <row r="812" spans="1:5" x14ac:dyDescent="0.3">
      <c r="A812" s="12" t="s">
        <v>90</v>
      </c>
      <c r="B812" s="12" t="s">
        <v>376</v>
      </c>
      <c r="C812" s="12" t="s">
        <v>123</v>
      </c>
      <c r="D812" s="12" t="s">
        <v>425</v>
      </c>
      <c r="E812" s="12" t="s">
        <v>426</v>
      </c>
    </row>
    <row r="813" spans="1:5" x14ac:dyDescent="0.3">
      <c r="A813" s="12" t="s">
        <v>90</v>
      </c>
      <c r="B813" s="12" t="s">
        <v>376</v>
      </c>
      <c r="C813" s="12" t="s">
        <v>123</v>
      </c>
      <c r="D813" s="12" t="s">
        <v>427</v>
      </c>
      <c r="E813" s="12" t="s">
        <v>428</v>
      </c>
    </row>
    <row r="814" spans="1:5" x14ac:dyDescent="0.3">
      <c r="A814" s="12" t="s">
        <v>90</v>
      </c>
      <c r="B814" s="12" t="s">
        <v>376</v>
      </c>
      <c r="C814" s="12" t="s">
        <v>123</v>
      </c>
      <c r="D814" s="12" t="s">
        <v>429</v>
      </c>
      <c r="E814" s="12" t="s">
        <v>430</v>
      </c>
    </row>
    <row r="815" spans="1:5" x14ac:dyDescent="0.3">
      <c r="A815" s="12" t="s">
        <v>90</v>
      </c>
      <c r="B815" s="12" t="s">
        <v>376</v>
      </c>
      <c r="C815" s="12" t="s">
        <v>123</v>
      </c>
      <c r="D815" s="12" t="s">
        <v>431</v>
      </c>
      <c r="E815" s="12" t="s">
        <v>432</v>
      </c>
    </row>
    <row r="816" spans="1:5" x14ac:dyDescent="0.3">
      <c r="A816" s="12" t="s">
        <v>90</v>
      </c>
      <c r="B816" s="12" t="s">
        <v>376</v>
      </c>
      <c r="C816" s="12" t="s">
        <v>123</v>
      </c>
      <c r="D816" s="12" t="s">
        <v>433</v>
      </c>
      <c r="E816" s="12" t="s">
        <v>434</v>
      </c>
    </row>
    <row r="817" spans="1:5" x14ac:dyDescent="0.3">
      <c r="A817" s="12" t="s">
        <v>90</v>
      </c>
      <c r="B817" s="12" t="s">
        <v>376</v>
      </c>
      <c r="C817" s="12" t="s">
        <v>123</v>
      </c>
      <c r="D817" s="12" t="s">
        <v>435</v>
      </c>
      <c r="E817" s="12" t="s">
        <v>436</v>
      </c>
    </row>
    <row r="818" spans="1:5" x14ac:dyDescent="0.3">
      <c r="A818" s="12" t="s">
        <v>90</v>
      </c>
      <c r="B818" s="12" t="s">
        <v>376</v>
      </c>
      <c r="C818" s="12" t="s">
        <v>123</v>
      </c>
      <c r="D818" s="12" t="s">
        <v>437</v>
      </c>
      <c r="E818" s="12" t="s">
        <v>438</v>
      </c>
    </row>
    <row r="819" spans="1:5" x14ac:dyDescent="0.3">
      <c r="A819" s="12" t="s">
        <v>90</v>
      </c>
      <c r="B819" s="12" t="s">
        <v>376</v>
      </c>
      <c r="C819" s="12" t="s">
        <v>123</v>
      </c>
      <c r="D819" s="12" t="s">
        <v>439</v>
      </c>
      <c r="E819" s="12" t="s">
        <v>440</v>
      </c>
    </row>
    <row r="820" spans="1:5" x14ac:dyDescent="0.3">
      <c r="A820" s="12" t="s">
        <v>90</v>
      </c>
      <c r="B820" s="12" t="s">
        <v>376</v>
      </c>
      <c r="C820" s="12" t="s">
        <v>123</v>
      </c>
      <c r="D820" s="12" t="s">
        <v>441</v>
      </c>
      <c r="E820" s="12" t="s">
        <v>442</v>
      </c>
    </row>
    <row r="821" spans="1:5" x14ac:dyDescent="0.3">
      <c r="A821" s="12" t="s">
        <v>90</v>
      </c>
      <c r="B821" s="12" t="s">
        <v>376</v>
      </c>
      <c r="C821" s="12" t="s">
        <v>123</v>
      </c>
      <c r="D821" s="12" t="s">
        <v>443</v>
      </c>
      <c r="E821" s="12" t="s">
        <v>444</v>
      </c>
    </row>
    <row r="822" spans="1:5" x14ac:dyDescent="0.3">
      <c r="A822" s="12" t="s">
        <v>90</v>
      </c>
      <c r="B822" s="12" t="s">
        <v>376</v>
      </c>
      <c r="C822" s="12" t="s">
        <v>123</v>
      </c>
      <c r="D822" s="12" t="s">
        <v>445</v>
      </c>
      <c r="E822" s="12" t="s">
        <v>446</v>
      </c>
    </row>
    <row r="823" spans="1:5" x14ac:dyDescent="0.3">
      <c r="A823" s="12" t="s">
        <v>90</v>
      </c>
      <c r="B823" s="12" t="s">
        <v>376</v>
      </c>
      <c r="C823" s="12" t="s">
        <v>123</v>
      </c>
      <c r="D823" s="12" t="s">
        <v>447</v>
      </c>
      <c r="E823" s="12" t="s">
        <v>448</v>
      </c>
    </row>
    <row r="824" spans="1:5" x14ac:dyDescent="0.3">
      <c r="A824" s="12" t="s">
        <v>90</v>
      </c>
      <c r="B824" s="12" t="s">
        <v>376</v>
      </c>
      <c r="C824" s="12" t="s">
        <v>123</v>
      </c>
      <c r="D824" s="12" t="s">
        <v>449</v>
      </c>
      <c r="E824" s="12" t="s">
        <v>450</v>
      </c>
    </row>
    <row r="825" spans="1:5" x14ac:dyDescent="0.3">
      <c r="A825" s="12" t="s">
        <v>90</v>
      </c>
      <c r="B825" s="12" t="s">
        <v>376</v>
      </c>
      <c r="C825" s="12" t="s">
        <v>123</v>
      </c>
      <c r="D825" s="12" t="s">
        <v>451</v>
      </c>
      <c r="E825" s="12" t="s">
        <v>452</v>
      </c>
    </row>
    <row r="826" spans="1:5" x14ac:dyDescent="0.3">
      <c r="A826" s="12" t="s">
        <v>90</v>
      </c>
      <c r="B826" s="12" t="s">
        <v>376</v>
      </c>
      <c r="C826" s="12" t="s">
        <v>123</v>
      </c>
      <c r="D826" s="12" t="s">
        <v>453</v>
      </c>
      <c r="E826" s="12" t="s">
        <v>454</v>
      </c>
    </row>
    <row r="827" spans="1:5" x14ac:dyDescent="0.3">
      <c r="A827" s="12" t="s">
        <v>90</v>
      </c>
      <c r="B827" s="12" t="s">
        <v>376</v>
      </c>
      <c r="C827" s="12" t="s">
        <v>123</v>
      </c>
      <c r="D827" s="12" t="s">
        <v>455</v>
      </c>
      <c r="E827" s="12" t="s">
        <v>456</v>
      </c>
    </row>
    <row r="828" spans="1:5" x14ac:dyDescent="0.3">
      <c r="A828" s="12" t="s">
        <v>90</v>
      </c>
      <c r="B828" s="12" t="s">
        <v>376</v>
      </c>
      <c r="C828" s="12" t="s">
        <v>123</v>
      </c>
      <c r="D828" s="12" t="s">
        <v>457</v>
      </c>
      <c r="E828" s="12" t="s">
        <v>458</v>
      </c>
    </row>
    <row r="829" spans="1:5" x14ac:dyDescent="0.3">
      <c r="A829" s="12" t="s">
        <v>90</v>
      </c>
      <c r="B829" s="12" t="s">
        <v>376</v>
      </c>
      <c r="C829" s="12" t="s">
        <v>123</v>
      </c>
      <c r="D829" s="12" t="s">
        <v>459</v>
      </c>
      <c r="E829" s="12" t="s">
        <v>460</v>
      </c>
    </row>
    <row r="830" spans="1:5" x14ac:dyDescent="0.3">
      <c r="A830" s="12" t="s">
        <v>90</v>
      </c>
      <c r="B830" s="12" t="s">
        <v>376</v>
      </c>
      <c r="C830" s="12" t="s">
        <v>123</v>
      </c>
      <c r="D830" s="12" t="s">
        <v>461</v>
      </c>
      <c r="E830" s="12" t="s">
        <v>462</v>
      </c>
    </row>
    <row r="831" spans="1:5" x14ac:dyDescent="0.3">
      <c r="A831" s="12" t="s">
        <v>90</v>
      </c>
      <c r="B831" s="12" t="s">
        <v>376</v>
      </c>
      <c r="C831" s="12" t="s">
        <v>123</v>
      </c>
      <c r="D831" s="12" t="s">
        <v>463</v>
      </c>
      <c r="E831" s="12" t="s">
        <v>464</v>
      </c>
    </row>
    <row r="832" spans="1:5" x14ac:dyDescent="0.3">
      <c r="A832" s="12" t="s">
        <v>90</v>
      </c>
      <c r="B832" s="12" t="s">
        <v>376</v>
      </c>
      <c r="C832" s="12" t="s">
        <v>123</v>
      </c>
      <c r="D832" s="12" t="s">
        <v>465</v>
      </c>
      <c r="E832" s="12" t="s">
        <v>466</v>
      </c>
    </row>
    <row r="833" spans="1:5" x14ac:dyDescent="0.3">
      <c r="A833" s="12" t="s">
        <v>90</v>
      </c>
      <c r="B833" s="12" t="s">
        <v>376</v>
      </c>
      <c r="C833" s="12" t="s">
        <v>123</v>
      </c>
      <c r="D833" s="12" t="s">
        <v>215</v>
      </c>
      <c r="E833" s="12" t="s">
        <v>467</v>
      </c>
    </row>
    <row r="834" spans="1:5" x14ac:dyDescent="0.3">
      <c r="A834" s="12" t="s">
        <v>90</v>
      </c>
      <c r="B834" s="12" t="s">
        <v>376</v>
      </c>
      <c r="C834" s="12" t="s">
        <v>123</v>
      </c>
      <c r="D834" s="12" t="s">
        <v>468</v>
      </c>
      <c r="E834" s="12" t="s">
        <v>469</v>
      </c>
    </row>
    <row r="835" spans="1:5" x14ac:dyDescent="0.3">
      <c r="A835" s="12" t="s">
        <v>90</v>
      </c>
      <c r="B835" s="12" t="s">
        <v>376</v>
      </c>
      <c r="C835" s="12" t="s">
        <v>123</v>
      </c>
      <c r="D835" s="12" t="s">
        <v>470</v>
      </c>
      <c r="E835" s="12" t="s">
        <v>471</v>
      </c>
    </row>
    <row r="836" spans="1:5" x14ac:dyDescent="0.3">
      <c r="A836" s="12" t="s">
        <v>90</v>
      </c>
      <c r="B836" s="12" t="s">
        <v>376</v>
      </c>
      <c r="C836" s="12" t="s">
        <v>123</v>
      </c>
      <c r="D836" s="12" t="s">
        <v>472</v>
      </c>
      <c r="E836" s="12" t="s">
        <v>473</v>
      </c>
    </row>
    <row r="837" spans="1:5" x14ac:dyDescent="0.3">
      <c r="A837" s="12" t="s">
        <v>90</v>
      </c>
      <c r="B837" s="12" t="s">
        <v>376</v>
      </c>
      <c r="C837" s="12" t="s">
        <v>123</v>
      </c>
      <c r="D837" s="12" t="s">
        <v>474</v>
      </c>
      <c r="E837" s="12" t="s">
        <v>475</v>
      </c>
    </row>
    <row r="838" spans="1:5" x14ac:dyDescent="0.3">
      <c r="A838" s="12" t="s">
        <v>90</v>
      </c>
      <c r="B838" s="12" t="s">
        <v>376</v>
      </c>
      <c r="C838" s="12" t="s">
        <v>123</v>
      </c>
      <c r="D838" s="12" t="s">
        <v>476</v>
      </c>
      <c r="E838" s="12" t="s">
        <v>477</v>
      </c>
    </row>
    <row r="839" spans="1:5" x14ac:dyDescent="0.3">
      <c r="A839" s="12" t="s">
        <v>90</v>
      </c>
      <c r="B839" s="12" t="s">
        <v>376</v>
      </c>
      <c r="C839" s="12" t="s">
        <v>123</v>
      </c>
      <c r="D839" s="12" t="s">
        <v>291</v>
      </c>
      <c r="E839" s="12" t="s">
        <v>478</v>
      </c>
    </row>
    <row r="840" spans="1:5" x14ac:dyDescent="0.3">
      <c r="A840" s="12" t="s">
        <v>90</v>
      </c>
      <c r="B840" s="12" t="s">
        <v>376</v>
      </c>
      <c r="C840" s="12" t="s">
        <v>123</v>
      </c>
      <c r="D840" s="12" t="s">
        <v>479</v>
      </c>
      <c r="E840" s="12" t="s">
        <v>480</v>
      </c>
    </row>
    <row r="841" spans="1:5" x14ac:dyDescent="0.3">
      <c r="A841" s="12" t="s">
        <v>90</v>
      </c>
      <c r="B841" s="12" t="s">
        <v>376</v>
      </c>
      <c r="C841" s="12" t="s">
        <v>123</v>
      </c>
      <c r="D841" s="12" t="s">
        <v>481</v>
      </c>
      <c r="E841" s="12" t="s">
        <v>482</v>
      </c>
    </row>
    <row r="842" spans="1:5" x14ac:dyDescent="0.3">
      <c r="A842" s="12" t="s">
        <v>90</v>
      </c>
      <c r="B842" s="12" t="s">
        <v>376</v>
      </c>
      <c r="C842" s="12" t="s">
        <v>123</v>
      </c>
      <c r="D842" s="12" t="s">
        <v>483</v>
      </c>
      <c r="E842" s="12" t="s">
        <v>484</v>
      </c>
    </row>
    <row r="843" spans="1:5" x14ac:dyDescent="0.3">
      <c r="A843" s="12" t="s">
        <v>90</v>
      </c>
      <c r="B843" s="12" t="s">
        <v>376</v>
      </c>
      <c r="C843" s="12" t="s">
        <v>123</v>
      </c>
      <c r="D843" s="12" t="s">
        <v>485</v>
      </c>
      <c r="E843" s="12" t="s">
        <v>486</v>
      </c>
    </row>
    <row r="844" spans="1:5" x14ac:dyDescent="0.3">
      <c r="A844" s="12" t="s">
        <v>90</v>
      </c>
      <c r="B844" s="12" t="s">
        <v>376</v>
      </c>
      <c r="C844" s="12" t="s">
        <v>123</v>
      </c>
      <c r="D844" s="12" t="s">
        <v>487</v>
      </c>
      <c r="E844" s="12" t="s">
        <v>488</v>
      </c>
    </row>
    <row r="845" spans="1:5" x14ac:dyDescent="0.3">
      <c r="A845" s="12" t="s">
        <v>90</v>
      </c>
      <c r="B845" s="12" t="s">
        <v>376</v>
      </c>
      <c r="C845" s="12" t="s">
        <v>123</v>
      </c>
      <c r="D845" s="12" t="s">
        <v>489</v>
      </c>
      <c r="E845" s="12" t="s">
        <v>490</v>
      </c>
    </row>
    <row r="846" spans="1:5" x14ac:dyDescent="0.3">
      <c r="A846" s="12" t="s">
        <v>90</v>
      </c>
      <c r="B846" s="12" t="s">
        <v>376</v>
      </c>
      <c r="C846" s="12" t="s">
        <v>123</v>
      </c>
      <c r="D846" s="12" t="s">
        <v>491</v>
      </c>
      <c r="E846" s="12" t="s">
        <v>492</v>
      </c>
    </row>
    <row r="847" spans="1:5" x14ac:dyDescent="0.3">
      <c r="A847" s="12" t="s">
        <v>90</v>
      </c>
      <c r="B847" s="12" t="s">
        <v>376</v>
      </c>
      <c r="C847" s="12" t="s">
        <v>123</v>
      </c>
      <c r="D847" s="12" t="s">
        <v>292</v>
      </c>
      <c r="E847" s="12" t="s">
        <v>493</v>
      </c>
    </row>
    <row r="848" spans="1:5" x14ac:dyDescent="0.3">
      <c r="A848" s="12" t="s">
        <v>90</v>
      </c>
      <c r="B848" s="12" t="s">
        <v>376</v>
      </c>
      <c r="C848" s="12" t="s">
        <v>123</v>
      </c>
      <c r="D848" s="12" t="s">
        <v>494</v>
      </c>
      <c r="E848" s="12" t="s">
        <v>495</v>
      </c>
    </row>
    <row r="849" spans="1:5" x14ac:dyDescent="0.3">
      <c r="A849" s="12" t="s">
        <v>90</v>
      </c>
      <c r="B849" s="12" t="s">
        <v>376</v>
      </c>
      <c r="C849" s="12" t="s">
        <v>123</v>
      </c>
      <c r="D849" s="12" t="s">
        <v>496</v>
      </c>
      <c r="E849" s="12" t="s">
        <v>497</v>
      </c>
    </row>
    <row r="850" spans="1:5" x14ac:dyDescent="0.3">
      <c r="A850" s="12" t="s">
        <v>90</v>
      </c>
      <c r="B850" s="12" t="s">
        <v>376</v>
      </c>
      <c r="C850" s="12" t="s">
        <v>123</v>
      </c>
      <c r="D850" s="12" t="s">
        <v>498</v>
      </c>
      <c r="E850" s="12" t="s">
        <v>499</v>
      </c>
    </row>
    <row r="851" spans="1:5" x14ac:dyDescent="0.3">
      <c r="A851" s="12" t="s">
        <v>90</v>
      </c>
      <c r="B851" s="12" t="s">
        <v>376</v>
      </c>
      <c r="C851" s="12" t="s">
        <v>123</v>
      </c>
      <c r="D851" s="12" t="s">
        <v>500</v>
      </c>
      <c r="E851" s="12" t="s">
        <v>501</v>
      </c>
    </row>
    <row r="852" spans="1:5" x14ac:dyDescent="0.3">
      <c r="A852" s="12" t="s">
        <v>90</v>
      </c>
      <c r="B852" s="12" t="s">
        <v>376</v>
      </c>
      <c r="C852" s="12" t="s">
        <v>123</v>
      </c>
      <c r="D852" s="12" t="s">
        <v>502</v>
      </c>
      <c r="E852" s="12" t="s">
        <v>503</v>
      </c>
    </row>
    <row r="853" spans="1:5" x14ac:dyDescent="0.3">
      <c r="A853" s="12" t="s">
        <v>90</v>
      </c>
      <c r="B853" s="12" t="s">
        <v>376</v>
      </c>
      <c r="C853" s="12" t="s">
        <v>123</v>
      </c>
      <c r="D853" s="12" t="s">
        <v>504</v>
      </c>
      <c r="E853" s="12" t="s">
        <v>505</v>
      </c>
    </row>
    <row r="854" spans="1:5" x14ac:dyDescent="0.3">
      <c r="A854" s="12" t="s">
        <v>90</v>
      </c>
      <c r="B854" s="12" t="s">
        <v>376</v>
      </c>
      <c r="C854" s="12" t="s">
        <v>123</v>
      </c>
      <c r="D854" s="12" t="s">
        <v>506</v>
      </c>
      <c r="E854" s="12" t="s">
        <v>507</v>
      </c>
    </row>
    <row r="855" spans="1:5" x14ac:dyDescent="0.3">
      <c r="A855" s="12" t="s">
        <v>90</v>
      </c>
      <c r="B855" s="12" t="s">
        <v>376</v>
      </c>
      <c r="C855" s="12" t="s">
        <v>123</v>
      </c>
      <c r="D855" s="12" t="s">
        <v>508</v>
      </c>
      <c r="E855" s="12" t="s">
        <v>509</v>
      </c>
    </row>
    <row r="856" spans="1:5" x14ac:dyDescent="0.3">
      <c r="A856" s="12" t="s">
        <v>90</v>
      </c>
      <c r="B856" s="12" t="s">
        <v>376</v>
      </c>
      <c r="C856" s="12" t="s">
        <v>123</v>
      </c>
      <c r="D856" s="12" t="s">
        <v>510</v>
      </c>
      <c r="E856" s="12" t="s">
        <v>511</v>
      </c>
    </row>
    <row r="857" spans="1:5" x14ac:dyDescent="0.3">
      <c r="A857" s="12" t="s">
        <v>90</v>
      </c>
      <c r="B857" s="12" t="s">
        <v>376</v>
      </c>
      <c r="C857" s="12" t="s">
        <v>123</v>
      </c>
      <c r="D857" s="12" t="s">
        <v>555</v>
      </c>
      <c r="E857" s="12" t="s">
        <v>630</v>
      </c>
    </row>
    <row r="858" spans="1:5" x14ac:dyDescent="0.3">
      <c r="A858" s="12" t="s">
        <v>90</v>
      </c>
      <c r="B858" s="12" t="s">
        <v>376</v>
      </c>
      <c r="C858" s="12" t="s">
        <v>123</v>
      </c>
      <c r="D858" s="12" t="s">
        <v>512</v>
      </c>
      <c r="E858" s="12" t="s">
        <v>513</v>
      </c>
    </row>
    <row r="859" spans="1:5" x14ac:dyDescent="0.3">
      <c r="A859" s="12" t="s">
        <v>90</v>
      </c>
      <c r="B859" s="12" t="s">
        <v>376</v>
      </c>
      <c r="C859" s="12" t="s">
        <v>123</v>
      </c>
      <c r="D859" s="12" t="s">
        <v>514</v>
      </c>
      <c r="E859" s="12" t="s">
        <v>515</v>
      </c>
    </row>
    <row r="860" spans="1:5" x14ac:dyDescent="0.3">
      <c r="A860" s="12" t="s">
        <v>90</v>
      </c>
      <c r="B860" s="12" t="s">
        <v>376</v>
      </c>
      <c r="C860" s="12" t="s">
        <v>123</v>
      </c>
      <c r="D860" s="12" t="s">
        <v>516</v>
      </c>
      <c r="E860" s="12" t="s">
        <v>517</v>
      </c>
    </row>
    <row r="861" spans="1:5" x14ac:dyDescent="0.3">
      <c r="A861" s="12" t="s">
        <v>90</v>
      </c>
      <c r="B861" s="12" t="s">
        <v>518</v>
      </c>
      <c r="C861" s="12" t="s">
        <v>120</v>
      </c>
      <c r="D861" s="12" t="s">
        <v>299</v>
      </c>
      <c r="E861" s="12" t="s">
        <v>519</v>
      </c>
    </row>
    <row r="862" spans="1:5" x14ac:dyDescent="0.3">
      <c r="A862" s="12" t="s">
        <v>90</v>
      </c>
      <c r="B862" s="12" t="s">
        <v>518</v>
      </c>
      <c r="C862" s="12" t="s">
        <v>123</v>
      </c>
      <c r="D862" s="12" t="s">
        <v>520</v>
      </c>
      <c r="E862" s="12" t="s">
        <v>521</v>
      </c>
    </row>
    <row r="863" spans="1:5" x14ac:dyDescent="0.3">
      <c r="A863" s="12" t="s">
        <v>90</v>
      </c>
      <c r="B863" s="12" t="s">
        <v>518</v>
      </c>
      <c r="C863" s="12" t="s">
        <v>123</v>
      </c>
      <c r="D863" s="12" t="s">
        <v>520</v>
      </c>
      <c r="E863" s="12" t="s">
        <v>522</v>
      </c>
    </row>
    <row r="864" spans="1:5" x14ac:dyDescent="0.3">
      <c r="A864" s="12" t="s">
        <v>90</v>
      </c>
      <c r="B864" s="12" t="s">
        <v>518</v>
      </c>
      <c r="C864" s="12" t="s">
        <v>123</v>
      </c>
      <c r="D864" s="12" t="s">
        <v>520</v>
      </c>
      <c r="E864" s="12" t="s">
        <v>523</v>
      </c>
    </row>
    <row r="865" spans="1:5" x14ac:dyDescent="0.3">
      <c r="A865" s="12" t="s">
        <v>90</v>
      </c>
      <c r="B865" s="12" t="s">
        <v>518</v>
      </c>
      <c r="C865" s="12" t="s">
        <v>123</v>
      </c>
      <c r="D865" s="12" t="s">
        <v>520</v>
      </c>
      <c r="E865" s="12" t="s">
        <v>524</v>
      </c>
    </row>
    <row r="866" spans="1:5" x14ac:dyDescent="0.3">
      <c r="A866" s="12" t="s">
        <v>90</v>
      </c>
      <c r="B866" s="12" t="s">
        <v>518</v>
      </c>
      <c r="C866" s="12" t="s">
        <v>123</v>
      </c>
      <c r="D866" s="12" t="s">
        <v>520</v>
      </c>
      <c r="E866" s="12" t="s">
        <v>525</v>
      </c>
    </row>
    <row r="867" spans="1:5" x14ac:dyDescent="0.3">
      <c r="A867" s="12" t="s">
        <v>90</v>
      </c>
      <c r="B867" s="12" t="s">
        <v>518</v>
      </c>
      <c r="C867" s="12" t="s">
        <v>123</v>
      </c>
      <c r="D867" s="12" t="s">
        <v>520</v>
      </c>
      <c r="E867" s="12" t="s">
        <v>526</v>
      </c>
    </row>
    <row r="868" spans="1:5" x14ac:dyDescent="0.3">
      <c r="A868" s="12" t="s">
        <v>90</v>
      </c>
      <c r="B868" s="12" t="s">
        <v>518</v>
      </c>
      <c r="C868" s="12" t="s">
        <v>123</v>
      </c>
      <c r="D868" s="12" t="s">
        <v>520</v>
      </c>
      <c r="E868" s="12" t="s">
        <v>527</v>
      </c>
    </row>
    <row r="869" spans="1:5" x14ac:dyDescent="0.3">
      <c r="A869" s="12" t="s">
        <v>90</v>
      </c>
      <c r="B869" s="12" t="s">
        <v>518</v>
      </c>
      <c r="C869" s="12" t="s">
        <v>123</v>
      </c>
      <c r="D869" s="12" t="s">
        <v>520</v>
      </c>
      <c r="E869" s="12" t="s">
        <v>528</v>
      </c>
    </row>
    <row r="870" spans="1:5" x14ac:dyDescent="0.3">
      <c r="A870" s="12" t="s">
        <v>90</v>
      </c>
      <c r="B870" s="12" t="s">
        <v>518</v>
      </c>
      <c r="C870" s="12" t="s">
        <v>123</v>
      </c>
      <c r="D870" s="12" t="s">
        <v>520</v>
      </c>
      <c r="E870" s="12" t="s">
        <v>529</v>
      </c>
    </row>
    <row r="871" spans="1:5" x14ac:dyDescent="0.3">
      <c r="A871" s="12" t="s">
        <v>90</v>
      </c>
      <c r="B871" s="12" t="s">
        <v>518</v>
      </c>
      <c r="C871" s="12" t="s">
        <v>123</v>
      </c>
      <c r="D871" s="12" t="s">
        <v>520</v>
      </c>
      <c r="E871" s="12" t="s">
        <v>530</v>
      </c>
    </row>
    <row r="872" spans="1:5" x14ac:dyDescent="0.3">
      <c r="A872" s="12" t="s">
        <v>90</v>
      </c>
      <c r="B872" s="12" t="s">
        <v>518</v>
      </c>
      <c r="C872" s="12" t="s">
        <v>123</v>
      </c>
      <c r="D872" s="12" t="s">
        <v>520</v>
      </c>
      <c r="E872" s="12" t="s">
        <v>531</v>
      </c>
    </row>
    <row r="873" spans="1:5" x14ac:dyDescent="0.3">
      <c r="A873" s="12" t="s">
        <v>90</v>
      </c>
      <c r="B873" s="12" t="s">
        <v>518</v>
      </c>
      <c r="C873" s="12" t="s">
        <v>123</v>
      </c>
      <c r="D873" s="12" t="s">
        <v>520</v>
      </c>
      <c r="E873" s="12" t="s">
        <v>532</v>
      </c>
    </row>
    <row r="874" spans="1:5" x14ac:dyDescent="0.3">
      <c r="A874" s="12" t="s">
        <v>90</v>
      </c>
      <c r="B874" s="12" t="s">
        <v>518</v>
      </c>
      <c r="C874" s="12" t="s">
        <v>123</v>
      </c>
      <c r="D874" s="12" t="s">
        <v>520</v>
      </c>
      <c r="E874" s="12" t="s">
        <v>533</v>
      </c>
    </row>
    <row r="875" spans="1:5" x14ac:dyDescent="0.3">
      <c r="A875" s="12" t="s">
        <v>90</v>
      </c>
      <c r="B875" s="12" t="s">
        <v>518</v>
      </c>
      <c r="C875" s="12" t="s">
        <v>123</v>
      </c>
      <c r="D875" s="12" t="s">
        <v>520</v>
      </c>
      <c r="E875" s="12" t="s">
        <v>534</v>
      </c>
    </row>
    <row r="876" spans="1:5" x14ac:dyDescent="0.3">
      <c r="A876" s="12" t="s">
        <v>90</v>
      </c>
      <c r="B876" s="12" t="s">
        <v>518</v>
      </c>
      <c r="C876" s="12" t="s">
        <v>123</v>
      </c>
      <c r="D876" s="12" t="s">
        <v>520</v>
      </c>
      <c r="E876" s="12" t="s">
        <v>535</v>
      </c>
    </row>
    <row r="877" spans="1:5" x14ac:dyDescent="0.3">
      <c r="A877" s="12" t="s">
        <v>90</v>
      </c>
      <c r="B877" s="12" t="s">
        <v>518</v>
      </c>
      <c r="C877" s="12" t="s">
        <v>123</v>
      </c>
      <c r="D877" s="12" t="s">
        <v>520</v>
      </c>
      <c r="E877" s="12" t="s">
        <v>536</v>
      </c>
    </row>
    <row r="878" spans="1:5" x14ac:dyDescent="0.3">
      <c r="A878" s="12" t="s">
        <v>90</v>
      </c>
      <c r="B878" s="12" t="s">
        <v>518</v>
      </c>
      <c r="C878" s="12" t="s">
        <v>123</v>
      </c>
      <c r="D878" s="12" t="s">
        <v>520</v>
      </c>
      <c r="E878" s="12" t="s">
        <v>537</v>
      </c>
    </row>
    <row r="879" spans="1:5" x14ac:dyDescent="0.3">
      <c r="A879" s="12" t="s">
        <v>90</v>
      </c>
      <c r="B879" s="12" t="s">
        <v>518</v>
      </c>
      <c r="C879" s="12" t="s">
        <v>123</v>
      </c>
      <c r="D879" s="12" t="s">
        <v>538</v>
      </c>
      <c r="E879" s="12" t="s">
        <v>539</v>
      </c>
    </row>
    <row r="880" spans="1:5" x14ac:dyDescent="0.3">
      <c r="A880" s="12" t="s">
        <v>90</v>
      </c>
      <c r="B880" s="12" t="s">
        <v>518</v>
      </c>
      <c r="C880" s="12" t="s">
        <v>123</v>
      </c>
      <c r="D880" s="12" t="s">
        <v>540</v>
      </c>
      <c r="E880" s="12" t="s">
        <v>541</v>
      </c>
    </row>
    <row r="881" spans="1:5" x14ac:dyDescent="0.3">
      <c r="A881" s="12" t="s">
        <v>90</v>
      </c>
      <c r="B881" s="12" t="s">
        <v>518</v>
      </c>
      <c r="C881" s="12" t="s">
        <v>123</v>
      </c>
      <c r="D881" s="12" t="s">
        <v>542</v>
      </c>
      <c r="E881" s="12" t="s">
        <v>1506</v>
      </c>
    </row>
    <row r="882" spans="1:5" x14ac:dyDescent="0.3">
      <c r="A882" s="12" t="s">
        <v>90</v>
      </c>
      <c r="B882" s="12" t="s">
        <v>518</v>
      </c>
      <c r="C882" s="12" t="s">
        <v>123</v>
      </c>
      <c r="D882" s="12" t="s">
        <v>542</v>
      </c>
      <c r="E882" s="12" t="s">
        <v>543</v>
      </c>
    </row>
    <row r="883" spans="1:5" x14ac:dyDescent="0.3">
      <c r="A883" s="12" t="s">
        <v>90</v>
      </c>
      <c r="B883" s="12" t="s">
        <v>518</v>
      </c>
      <c r="C883" s="12" t="s">
        <v>123</v>
      </c>
      <c r="D883" s="12" t="s">
        <v>542</v>
      </c>
      <c r="E883" s="12" t="s">
        <v>544</v>
      </c>
    </row>
    <row r="884" spans="1:5" x14ac:dyDescent="0.3">
      <c r="A884" s="12" t="s">
        <v>90</v>
      </c>
      <c r="B884" s="12" t="s">
        <v>518</v>
      </c>
      <c r="C884" s="12" t="s">
        <v>123</v>
      </c>
      <c r="D884" s="12" t="s">
        <v>542</v>
      </c>
      <c r="E884" s="12" t="s">
        <v>545</v>
      </c>
    </row>
    <row r="885" spans="1:5" x14ac:dyDescent="0.3">
      <c r="A885" s="12" t="s">
        <v>90</v>
      </c>
      <c r="B885" s="12" t="s">
        <v>518</v>
      </c>
      <c r="C885" s="12" t="s">
        <v>123</v>
      </c>
      <c r="D885" s="12" t="s">
        <v>542</v>
      </c>
      <c r="E885" s="12" t="s">
        <v>546</v>
      </c>
    </row>
    <row r="886" spans="1:5" x14ac:dyDescent="0.3">
      <c r="A886" s="12" t="s">
        <v>90</v>
      </c>
      <c r="B886" s="12" t="s">
        <v>518</v>
      </c>
      <c r="C886" s="12" t="s">
        <v>123</v>
      </c>
      <c r="D886" s="12" t="s">
        <v>542</v>
      </c>
      <c r="E886" s="12" t="s">
        <v>547</v>
      </c>
    </row>
    <row r="887" spans="1:5" x14ac:dyDescent="0.3">
      <c r="A887" s="12" t="s">
        <v>90</v>
      </c>
      <c r="B887" s="12" t="s">
        <v>518</v>
      </c>
      <c r="C887" s="12" t="s">
        <v>123</v>
      </c>
      <c r="D887" s="12" t="s">
        <v>542</v>
      </c>
      <c r="E887" s="12" t="s">
        <v>1507</v>
      </c>
    </row>
    <row r="888" spans="1:5" x14ac:dyDescent="0.3">
      <c r="A888" s="12" t="s">
        <v>90</v>
      </c>
      <c r="B888" s="12" t="s">
        <v>518</v>
      </c>
      <c r="C888" s="12" t="s">
        <v>123</v>
      </c>
      <c r="D888" s="12" t="s">
        <v>542</v>
      </c>
      <c r="E888" s="12" t="s">
        <v>1508</v>
      </c>
    </row>
    <row r="889" spans="1:5" x14ac:dyDescent="0.3">
      <c r="A889" s="12" t="s">
        <v>90</v>
      </c>
      <c r="B889" s="12" t="s">
        <v>518</v>
      </c>
      <c r="C889" s="12" t="s">
        <v>123</v>
      </c>
      <c r="D889" s="12" t="s">
        <v>542</v>
      </c>
      <c r="E889" s="12" t="s">
        <v>548</v>
      </c>
    </row>
    <row r="890" spans="1:5" x14ac:dyDescent="0.3">
      <c r="A890" s="12" t="s">
        <v>90</v>
      </c>
      <c r="B890" s="12" t="s">
        <v>518</v>
      </c>
      <c r="C890" s="12" t="s">
        <v>123</v>
      </c>
      <c r="D890" s="12" t="s">
        <v>542</v>
      </c>
      <c r="E890" s="12" t="s">
        <v>549</v>
      </c>
    </row>
    <row r="891" spans="1:5" x14ac:dyDescent="0.3">
      <c r="A891" s="12" t="s">
        <v>90</v>
      </c>
      <c r="B891" s="12" t="s">
        <v>518</v>
      </c>
      <c r="C891" s="12" t="s">
        <v>123</v>
      </c>
      <c r="D891" s="12" t="s">
        <v>542</v>
      </c>
      <c r="E891" s="12" t="s">
        <v>550</v>
      </c>
    </row>
    <row r="892" spans="1:5" x14ac:dyDescent="0.3">
      <c r="A892" s="12" t="s">
        <v>90</v>
      </c>
      <c r="B892" s="12" t="s">
        <v>518</v>
      </c>
      <c r="C892" s="12" t="s">
        <v>123</v>
      </c>
      <c r="D892" s="12" t="s">
        <v>542</v>
      </c>
      <c r="E892" s="12" t="s">
        <v>551</v>
      </c>
    </row>
    <row r="893" spans="1:5" x14ac:dyDescent="0.3">
      <c r="A893" s="12" t="s">
        <v>90</v>
      </c>
      <c r="B893" s="12" t="s">
        <v>518</v>
      </c>
      <c r="C893" s="12" t="s">
        <v>123</v>
      </c>
      <c r="E893" s="12" t="s">
        <v>552</v>
      </c>
    </row>
    <row r="894" spans="1:5" x14ac:dyDescent="0.3">
      <c r="A894" s="12" t="s">
        <v>91</v>
      </c>
      <c r="B894" s="12" t="s">
        <v>119</v>
      </c>
      <c r="C894" s="12" t="s">
        <v>120</v>
      </c>
      <c r="D894" s="12" t="s">
        <v>121</v>
      </c>
      <c r="E894" s="12" t="s">
        <v>122</v>
      </c>
    </row>
    <row r="895" spans="1:5" x14ac:dyDescent="0.3">
      <c r="A895" s="12" t="s">
        <v>91</v>
      </c>
      <c r="B895" s="12" t="s">
        <v>119</v>
      </c>
      <c r="C895" s="12" t="s">
        <v>123</v>
      </c>
      <c r="D895" s="12" t="s">
        <v>124</v>
      </c>
      <c r="E895" s="12" t="s">
        <v>125</v>
      </c>
    </row>
    <row r="896" spans="1:5" x14ac:dyDescent="0.3">
      <c r="A896" s="12" t="s">
        <v>91</v>
      </c>
      <c r="B896" s="12" t="s">
        <v>119</v>
      </c>
      <c r="C896" s="12" t="s">
        <v>123</v>
      </c>
      <c r="D896" s="12" t="s">
        <v>126</v>
      </c>
    </row>
    <row r="897" spans="1:9" x14ac:dyDescent="0.3">
      <c r="A897" s="12" t="s">
        <v>91</v>
      </c>
      <c r="B897" s="12" t="s">
        <v>119</v>
      </c>
      <c r="C897" s="12" t="s">
        <v>123</v>
      </c>
      <c r="D897" s="12" t="s">
        <v>127</v>
      </c>
      <c r="E897" s="12" t="s">
        <v>128</v>
      </c>
    </row>
    <row r="898" spans="1:9" x14ac:dyDescent="0.3">
      <c r="A898" s="12" t="s">
        <v>91</v>
      </c>
      <c r="B898" s="12" t="s">
        <v>119</v>
      </c>
      <c r="C898" s="12" t="s">
        <v>123</v>
      </c>
      <c r="D898" s="12" t="s">
        <v>129</v>
      </c>
      <c r="E898" s="12" t="s">
        <v>631</v>
      </c>
    </row>
    <row r="899" spans="1:9" x14ac:dyDescent="0.3">
      <c r="A899" s="12" t="s">
        <v>91</v>
      </c>
      <c r="B899" s="12" t="s">
        <v>119</v>
      </c>
      <c r="C899" s="12" t="s">
        <v>123</v>
      </c>
      <c r="D899" s="12" t="s">
        <v>131</v>
      </c>
      <c r="E899" s="12" t="s">
        <v>632</v>
      </c>
    </row>
    <row r="900" spans="1:9" x14ac:dyDescent="0.3">
      <c r="A900" s="12" t="s">
        <v>91</v>
      </c>
      <c r="B900" s="12" t="s">
        <v>133</v>
      </c>
      <c r="C900" s="12" t="s">
        <v>120</v>
      </c>
      <c r="D900" s="12" t="s">
        <v>121</v>
      </c>
      <c r="E900" s="12" t="s">
        <v>122</v>
      </c>
    </row>
    <row r="901" spans="1:9" x14ac:dyDescent="0.3">
      <c r="A901" s="12" t="s">
        <v>91</v>
      </c>
      <c r="B901" s="12" t="s">
        <v>133</v>
      </c>
      <c r="C901" s="12" t="s">
        <v>123</v>
      </c>
      <c r="D901" s="12" t="s">
        <v>134</v>
      </c>
    </row>
    <row r="902" spans="1:9" x14ac:dyDescent="0.3">
      <c r="A902" s="12" t="s">
        <v>91</v>
      </c>
      <c r="B902" s="12" t="s">
        <v>133</v>
      </c>
      <c r="C902" s="12" t="s">
        <v>123</v>
      </c>
      <c r="D902" s="12" t="s">
        <v>135</v>
      </c>
    </row>
    <row r="903" spans="1:9" x14ac:dyDescent="0.3">
      <c r="A903" s="12" t="s">
        <v>91</v>
      </c>
      <c r="B903" s="12" t="s">
        <v>133</v>
      </c>
      <c r="C903" s="12" t="s">
        <v>123</v>
      </c>
      <c r="D903" s="12" t="s">
        <v>136</v>
      </c>
    </row>
    <row r="904" spans="1:9" x14ac:dyDescent="0.3">
      <c r="A904" s="12" t="s">
        <v>91</v>
      </c>
      <c r="B904" s="12" t="s">
        <v>133</v>
      </c>
      <c r="C904" s="12" t="s">
        <v>123</v>
      </c>
      <c r="D904" s="12" t="s">
        <v>137</v>
      </c>
    </row>
    <row r="905" spans="1:9" x14ac:dyDescent="0.3">
      <c r="A905" s="12" t="s">
        <v>91</v>
      </c>
      <c r="B905" s="12" t="s">
        <v>133</v>
      </c>
      <c r="C905" s="12" t="s">
        <v>123</v>
      </c>
      <c r="D905" s="12" t="s">
        <v>138</v>
      </c>
      <c r="E905" s="12" t="s">
        <v>139</v>
      </c>
    </row>
    <row r="906" spans="1:9" x14ac:dyDescent="0.3">
      <c r="A906" s="12" t="s">
        <v>91</v>
      </c>
      <c r="B906" s="12" t="s">
        <v>133</v>
      </c>
      <c r="C906" s="12" t="s">
        <v>123</v>
      </c>
      <c r="D906" s="12" t="s">
        <v>140</v>
      </c>
      <c r="E906" s="12" t="s">
        <v>141</v>
      </c>
    </row>
    <row r="907" spans="1:9" x14ac:dyDescent="0.3">
      <c r="A907" s="12" t="s">
        <v>91</v>
      </c>
      <c r="B907" s="12" t="s">
        <v>133</v>
      </c>
      <c r="C907" s="12" t="s">
        <v>123</v>
      </c>
      <c r="D907" s="12" t="s">
        <v>142</v>
      </c>
      <c r="E907" s="12" t="s">
        <v>114</v>
      </c>
    </row>
    <row r="908" spans="1:9" x14ac:dyDescent="0.3">
      <c r="A908" s="12" t="s">
        <v>91</v>
      </c>
      <c r="B908" s="12" t="s">
        <v>143</v>
      </c>
      <c r="C908" s="12" t="s">
        <v>120</v>
      </c>
      <c r="D908" s="12" t="s">
        <v>144</v>
      </c>
      <c r="E908" s="12" t="s">
        <v>145</v>
      </c>
      <c r="F908" s="12" t="s">
        <v>146</v>
      </c>
      <c r="G908" s="12" t="s">
        <v>147</v>
      </c>
      <c r="H908" s="12" t="s">
        <v>148</v>
      </c>
      <c r="I908" s="12" t="s">
        <v>99</v>
      </c>
    </row>
    <row r="909" spans="1:9" x14ac:dyDescent="0.3">
      <c r="A909" s="12" t="s">
        <v>91</v>
      </c>
      <c r="B909" s="12" t="s">
        <v>143</v>
      </c>
      <c r="C909" s="12" t="s">
        <v>123</v>
      </c>
      <c r="D909" s="12" t="s">
        <v>149</v>
      </c>
      <c r="E909" s="12">
        <v>49395.222999999998</v>
      </c>
      <c r="F909" s="12">
        <v>12562.99</v>
      </c>
      <c r="G909" s="12">
        <v>-2854.4969999999998</v>
      </c>
      <c r="H909" s="12">
        <v>9708.4930000000004</v>
      </c>
      <c r="I909" s="12">
        <v>-39686.730000000003</v>
      </c>
    </row>
    <row r="910" spans="1:9" x14ac:dyDescent="0.3">
      <c r="A910" s="12" t="s">
        <v>91</v>
      </c>
      <c r="B910" s="12" t="s">
        <v>143</v>
      </c>
      <c r="C910" s="12" t="s">
        <v>123</v>
      </c>
      <c r="D910" s="12" t="s">
        <v>150</v>
      </c>
      <c r="E910" s="12">
        <v>209001.39</v>
      </c>
      <c r="F910" s="12">
        <v>250391.92</v>
      </c>
      <c r="G910" s="12">
        <v>0</v>
      </c>
      <c r="H910" s="12">
        <v>250391.92</v>
      </c>
      <c r="I910" s="12">
        <v>41390.53</v>
      </c>
    </row>
    <row r="911" spans="1:9" x14ac:dyDescent="0.3">
      <c r="A911" s="12" t="s">
        <v>91</v>
      </c>
      <c r="B911" s="12" t="s">
        <v>143</v>
      </c>
      <c r="C911" s="12" t="s">
        <v>123</v>
      </c>
      <c r="D911" s="12" t="s">
        <v>151</v>
      </c>
      <c r="E911" s="12">
        <v>165.05</v>
      </c>
      <c r="F911" s="12">
        <v>18.5</v>
      </c>
      <c r="G911" s="12">
        <v>-1.05</v>
      </c>
      <c r="H911" s="12">
        <v>17.45</v>
      </c>
      <c r="I911" s="12">
        <v>-147.6</v>
      </c>
    </row>
    <row r="912" spans="1:9" x14ac:dyDescent="0.3">
      <c r="A912" s="12" t="s">
        <v>91</v>
      </c>
      <c r="B912" s="12" t="s">
        <v>143</v>
      </c>
      <c r="C912" s="12" t="s">
        <v>123</v>
      </c>
      <c r="D912" s="12" t="s">
        <v>152</v>
      </c>
      <c r="E912" s="12">
        <v>177.5</v>
      </c>
      <c r="F912" s="12">
        <v>86.99</v>
      </c>
      <c r="G912" s="12">
        <v>0</v>
      </c>
      <c r="H912" s="12">
        <v>86.99</v>
      </c>
      <c r="I912" s="12">
        <v>-90.51</v>
      </c>
    </row>
    <row r="913" spans="1:15" x14ac:dyDescent="0.3">
      <c r="A913" s="12" t="s">
        <v>91</v>
      </c>
      <c r="B913" s="12" t="s">
        <v>143</v>
      </c>
      <c r="C913" s="12" t="s">
        <v>123</v>
      </c>
      <c r="D913" s="12" t="s">
        <v>97</v>
      </c>
      <c r="E913" s="12">
        <v>258739.163</v>
      </c>
      <c r="F913" s="12">
        <v>263060.40000000002</v>
      </c>
      <c r="G913" s="12">
        <v>-2855.547</v>
      </c>
      <c r="H913" s="12">
        <v>260204.853</v>
      </c>
      <c r="I913" s="12">
        <v>1465.69</v>
      </c>
    </row>
    <row r="914" spans="1:15" x14ac:dyDescent="0.3">
      <c r="A914" s="12" t="s">
        <v>91</v>
      </c>
      <c r="B914" s="12" t="s">
        <v>143</v>
      </c>
      <c r="C914" s="12" t="s">
        <v>120</v>
      </c>
      <c r="D914" s="12" t="s">
        <v>153</v>
      </c>
    </row>
    <row r="915" spans="1:15" x14ac:dyDescent="0.3">
      <c r="A915" s="12" t="s">
        <v>91</v>
      </c>
      <c r="B915" s="12" t="s">
        <v>143</v>
      </c>
      <c r="C915" s="12" t="s">
        <v>123</v>
      </c>
      <c r="D915" s="13">
        <v>5.6647396700000002E-3</v>
      </c>
    </row>
    <row r="916" spans="1:15" x14ac:dyDescent="0.3">
      <c r="A916" s="12" t="s">
        <v>91</v>
      </c>
      <c r="B916" s="12" t="s">
        <v>154</v>
      </c>
      <c r="C916" s="12" t="s">
        <v>120</v>
      </c>
      <c r="D916" s="12" t="s">
        <v>121</v>
      </c>
      <c r="E916" s="12" t="s">
        <v>122</v>
      </c>
    </row>
    <row r="917" spans="1:15" x14ac:dyDescent="0.3">
      <c r="A917" s="12" t="s">
        <v>91</v>
      </c>
      <c r="B917" s="12" t="s">
        <v>154</v>
      </c>
      <c r="C917" s="12" t="s">
        <v>123</v>
      </c>
      <c r="D917" s="12" t="s">
        <v>155</v>
      </c>
      <c r="E917" s="12">
        <v>258739.163</v>
      </c>
    </row>
    <row r="918" spans="1:15" x14ac:dyDescent="0.3">
      <c r="A918" s="12" t="s">
        <v>91</v>
      </c>
      <c r="B918" s="12" t="s">
        <v>154</v>
      </c>
      <c r="C918" s="12" t="s">
        <v>123</v>
      </c>
      <c r="D918" s="12" t="s">
        <v>156</v>
      </c>
      <c r="E918" s="12">
        <v>1345.6</v>
      </c>
    </row>
    <row r="919" spans="1:15" x14ac:dyDescent="0.3">
      <c r="A919" s="12" t="s">
        <v>91</v>
      </c>
      <c r="B919" s="12" t="s">
        <v>154</v>
      </c>
      <c r="C919" s="12" t="s">
        <v>123</v>
      </c>
      <c r="D919" s="12" t="s">
        <v>157</v>
      </c>
      <c r="E919" s="12">
        <v>369.58</v>
      </c>
    </row>
    <row r="920" spans="1:15" x14ac:dyDescent="0.3">
      <c r="A920" s="12" t="s">
        <v>91</v>
      </c>
      <c r="B920" s="12" t="s">
        <v>154</v>
      </c>
      <c r="C920" s="12" t="s">
        <v>123</v>
      </c>
      <c r="D920" s="12" t="s">
        <v>158</v>
      </c>
      <c r="E920" s="12">
        <v>-92.41</v>
      </c>
    </row>
    <row r="921" spans="1:15" x14ac:dyDescent="0.3">
      <c r="A921" s="12" t="s">
        <v>91</v>
      </c>
      <c r="B921" s="12" t="s">
        <v>154</v>
      </c>
      <c r="C921" s="12" t="s">
        <v>123</v>
      </c>
      <c r="D921" s="12" t="s">
        <v>159</v>
      </c>
      <c r="E921" s="12">
        <v>-90.51</v>
      </c>
    </row>
    <row r="922" spans="1:15" x14ac:dyDescent="0.3">
      <c r="A922" s="12" t="s">
        <v>91</v>
      </c>
      <c r="B922" s="12" t="s">
        <v>154</v>
      </c>
      <c r="C922" s="12" t="s">
        <v>123</v>
      </c>
      <c r="D922" s="12" t="s">
        <v>160</v>
      </c>
      <c r="E922" s="12">
        <v>168.73</v>
      </c>
    </row>
    <row r="923" spans="1:15" x14ac:dyDescent="0.3">
      <c r="A923" s="12" t="s">
        <v>91</v>
      </c>
      <c r="B923" s="12" t="s">
        <v>154</v>
      </c>
      <c r="C923" s="12" t="s">
        <v>123</v>
      </c>
      <c r="D923" s="12" t="s">
        <v>161</v>
      </c>
      <c r="E923" s="12">
        <v>-147.6</v>
      </c>
    </row>
    <row r="924" spans="1:15" x14ac:dyDescent="0.3">
      <c r="A924" s="12" t="s">
        <v>91</v>
      </c>
      <c r="B924" s="12" t="s">
        <v>154</v>
      </c>
      <c r="C924" s="12" t="s">
        <v>123</v>
      </c>
      <c r="D924" s="12" t="s">
        <v>162</v>
      </c>
      <c r="E924" s="12">
        <v>-87.7</v>
      </c>
    </row>
    <row r="925" spans="1:15" x14ac:dyDescent="0.3">
      <c r="A925" s="12" t="s">
        <v>91</v>
      </c>
      <c r="B925" s="12" t="s">
        <v>154</v>
      </c>
      <c r="C925" s="12" t="s">
        <v>123</v>
      </c>
      <c r="D925" s="12" t="s">
        <v>163</v>
      </c>
      <c r="E925" s="12">
        <v>260204.853</v>
      </c>
    </row>
    <row r="926" spans="1:15" x14ac:dyDescent="0.3">
      <c r="A926" s="12" t="s">
        <v>91</v>
      </c>
      <c r="B926" s="12" t="s">
        <v>164</v>
      </c>
      <c r="C926" s="12" t="s">
        <v>120</v>
      </c>
      <c r="D926" s="12" t="s">
        <v>100</v>
      </c>
      <c r="E926" s="12" t="s">
        <v>0</v>
      </c>
      <c r="F926" s="12" t="s">
        <v>101</v>
      </c>
      <c r="G926" s="12" t="s">
        <v>102</v>
      </c>
      <c r="H926" s="12" t="s">
        <v>103</v>
      </c>
      <c r="I926" s="12" t="s">
        <v>104</v>
      </c>
      <c r="J926" s="12" t="s">
        <v>105</v>
      </c>
      <c r="K926" s="12" t="s">
        <v>106</v>
      </c>
      <c r="L926" s="12" t="s">
        <v>107</v>
      </c>
      <c r="M926" s="12" t="s">
        <v>108</v>
      </c>
      <c r="N926" s="12" t="s">
        <v>109</v>
      </c>
      <c r="O926" s="12" t="s">
        <v>165</v>
      </c>
    </row>
    <row r="927" spans="1:15" x14ac:dyDescent="0.3">
      <c r="A927" s="12" t="s">
        <v>91</v>
      </c>
      <c r="B927" s="12" t="s">
        <v>164</v>
      </c>
      <c r="C927" s="12" t="s">
        <v>123</v>
      </c>
      <c r="D927" s="12" t="s">
        <v>110</v>
      </c>
      <c r="E927" s="12" t="s">
        <v>2</v>
      </c>
      <c r="F927" s="12">
        <v>36</v>
      </c>
      <c r="G927" s="12">
        <v>36</v>
      </c>
      <c r="H927" s="12">
        <v>180.75</v>
      </c>
      <c r="I927" s="12">
        <v>171.48</v>
      </c>
      <c r="J927" s="12">
        <v>-333.72</v>
      </c>
      <c r="K927" s="12">
        <v>0</v>
      </c>
      <c r="L927" s="12">
        <v>0</v>
      </c>
      <c r="M927" s="12">
        <v>0</v>
      </c>
      <c r="N927" s="12">
        <v>-333.72</v>
      </c>
    </row>
    <row r="928" spans="1:15" x14ac:dyDescent="0.3">
      <c r="A928" s="12" t="s">
        <v>91</v>
      </c>
      <c r="B928" s="12" t="s">
        <v>164</v>
      </c>
      <c r="C928" s="12" t="s">
        <v>123</v>
      </c>
      <c r="D928" s="12" t="s">
        <v>110</v>
      </c>
      <c r="E928" s="12" t="s">
        <v>45</v>
      </c>
      <c r="F928" s="12">
        <v>0</v>
      </c>
      <c r="G928" s="12">
        <v>25</v>
      </c>
      <c r="H928" s="12" t="s">
        <v>111</v>
      </c>
      <c r="I928" s="12">
        <v>180.49</v>
      </c>
      <c r="J928" s="12">
        <v>19</v>
      </c>
      <c r="K928" s="12">
        <v>121.75</v>
      </c>
      <c r="L928" s="12">
        <v>-1.3</v>
      </c>
      <c r="M928" s="12">
        <v>0</v>
      </c>
      <c r="N928" s="12">
        <v>139.44999999999999</v>
      </c>
    </row>
    <row r="929" spans="1:14" x14ac:dyDescent="0.3">
      <c r="A929" s="12" t="s">
        <v>91</v>
      </c>
      <c r="B929" s="12" t="s">
        <v>164</v>
      </c>
      <c r="C929" s="12" t="s">
        <v>123</v>
      </c>
      <c r="D929" s="12" t="s">
        <v>110</v>
      </c>
      <c r="E929" s="12" t="s">
        <v>5</v>
      </c>
      <c r="F929" s="12">
        <v>54</v>
      </c>
      <c r="G929" s="12">
        <v>54</v>
      </c>
      <c r="H929" s="12">
        <v>176.76</v>
      </c>
      <c r="I929" s="12">
        <v>180.38</v>
      </c>
      <c r="J929" s="12">
        <v>195.48</v>
      </c>
      <c r="K929" s="12">
        <v>0</v>
      </c>
      <c r="L929" s="12">
        <v>0</v>
      </c>
      <c r="M929" s="12">
        <v>0</v>
      </c>
      <c r="N929" s="12">
        <v>195.48</v>
      </c>
    </row>
    <row r="930" spans="1:14" x14ac:dyDescent="0.3">
      <c r="A930" s="12" t="s">
        <v>91</v>
      </c>
      <c r="B930" s="12" t="s">
        <v>164</v>
      </c>
      <c r="C930" s="12" t="s">
        <v>123</v>
      </c>
      <c r="D930" s="12" t="s">
        <v>110</v>
      </c>
      <c r="E930" s="12" t="s">
        <v>6</v>
      </c>
      <c r="F930" s="12">
        <v>21</v>
      </c>
      <c r="G930" s="12">
        <v>21</v>
      </c>
      <c r="H930" s="12">
        <v>277.54000000000002</v>
      </c>
      <c r="I930" s="12">
        <v>289.98</v>
      </c>
      <c r="J930" s="12">
        <v>261.24</v>
      </c>
      <c r="K930" s="12">
        <v>0</v>
      </c>
      <c r="L930" s="12">
        <v>0</v>
      </c>
      <c r="M930" s="12">
        <v>0</v>
      </c>
      <c r="N930" s="12">
        <v>261.24</v>
      </c>
    </row>
    <row r="931" spans="1:14" x14ac:dyDescent="0.3">
      <c r="A931" s="12" t="s">
        <v>91</v>
      </c>
      <c r="B931" s="12" t="s">
        <v>164</v>
      </c>
      <c r="C931" s="12" t="s">
        <v>123</v>
      </c>
      <c r="D931" s="12" t="s">
        <v>110</v>
      </c>
      <c r="E931" s="12" t="s">
        <v>7</v>
      </c>
      <c r="F931" s="12">
        <v>4</v>
      </c>
      <c r="G931" s="12">
        <v>6</v>
      </c>
      <c r="H931" s="17">
        <v>1300.49</v>
      </c>
      <c r="I931" s="17">
        <v>1325.41</v>
      </c>
      <c r="J931" s="12">
        <v>302.86</v>
      </c>
      <c r="K931" s="12">
        <v>-27.36</v>
      </c>
      <c r="L931" s="12">
        <v>-3.9</v>
      </c>
      <c r="M931" s="12">
        <v>0</v>
      </c>
      <c r="N931" s="12">
        <v>271.60000000000002</v>
      </c>
    </row>
    <row r="932" spans="1:14" x14ac:dyDescent="0.3">
      <c r="A932" s="12" t="s">
        <v>91</v>
      </c>
      <c r="B932" s="12" t="s">
        <v>164</v>
      </c>
      <c r="C932" s="12" t="s">
        <v>123</v>
      </c>
      <c r="D932" s="12" t="s">
        <v>110</v>
      </c>
      <c r="E932" s="12" t="s">
        <v>8</v>
      </c>
      <c r="F932" s="12">
        <v>231</v>
      </c>
      <c r="G932" s="12">
        <v>231</v>
      </c>
      <c r="H932" s="12">
        <v>34.520000000000003</v>
      </c>
      <c r="I932" s="12">
        <v>37.92</v>
      </c>
      <c r="J932" s="12">
        <v>785.4</v>
      </c>
      <c r="K932" s="12">
        <v>0</v>
      </c>
      <c r="L932" s="12">
        <v>0</v>
      </c>
      <c r="M932" s="12">
        <v>0</v>
      </c>
      <c r="N932" s="12">
        <v>785.4</v>
      </c>
    </row>
    <row r="933" spans="1:14" x14ac:dyDescent="0.3">
      <c r="A933" s="12" t="s">
        <v>91</v>
      </c>
      <c r="B933" s="12" t="s">
        <v>164</v>
      </c>
      <c r="C933" s="12" t="s">
        <v>123</v>
      </c>
      <c r="D933" s="12" t="s">
        <v>110</v>
      </c>
      <c r="E933" s="12" t="s">
        <v>3</v>
      </c>
      <c r="F933" s="12">
        <v>148</v>
      </c>
      <c r="G933" s="12">
        <v>148</v>
      </c>
      <c r="H933" s="12">
        <v>55.49</v>
      </c>
      <c r="I933" s="12">
        <v>63.24</v>
      </c>
      <c r="J933" s="12">
        <v>1147</v>
      </c>
      <c r="K933" s="12">
        <v>0</v>
      </c>
      <c r="L933" s="12">
        <v>0</v>
      </c>
      <c r="M933" s="12">
        <v>0</v>
      </c>
      <c r="N933" s="12">
        <v>1147</v>
      </c>
    </row>
    <row r="934" spans="1:14" x14ac:dyDescent="0.3">
      <c r="A934" s="12" t="s">
        <v>91</v>
      </c>
      <c r="B934" s="12" t="s">
        <v>164</v>
      </c>
      <c r="C934" s="12" t="s">
        <v>123</v>
      </c>
      <c r="D934" s="12" t="s">
        <v>110</v>
      </c>
      <c r="E934" s="12" t="s">
        <v>46</v>
      </c>
      <c r="F934" s="12">
        <v>0</v>
      </c>
      <c r="G934" s="12">
        <v>10</v>
      </c>
      <c r="H934" s="12" t="s">
        <v>111</v>
      </c>
      <c r="I934" s="12">
        <v>366.43</v>
      </c>
      <c r="J934" s="12">
        <v>277.8</v>
      </c>
      <c r="K934" s="12">
        <v>-8.1</v>
      </c>
      <c r="L934" s="12">
        <v>-1.3</v>
      </c>
      <c r="M934" s="12">
        <v>0</v>
      </c>
      <c r="N934" s="12">
        <v>268.39999999999998</v>
      </c>
    </row>
    <row r="935" spans="1:14" x14ac:dyDescent="0.3">
      <c r="A935" s="12" t="s">
        <v>91</v>
      </c>
      <c r="B935" s="12" t="s">
        <v>164</v>
      </c>
      <c r="C935" s="12" t="s">
        <v>123</v>
      </c>
      <c r="D935" s="12" t="s">
        <v>110</v>
      </c>
      <c r="E935" s="12" t="s">
        <v>11</v>
      </c>
      <c r="F935" s="12">
        <v>11</v>
      </c>
      <c r="G935" s="12">
        <v>10</v>
      </c>
      <c r="H935" s="12">
        <v>743.89</v>
      </c>
      <c r="I935" s="12">
        <v>732.63</v>
      </c>
      <c r="J935" s="12">
        <v>229.25</v>
      </c>
      <c r="K935" s="12">
        <v>-156.38</v>
      </c>
      <c r="L935" s="12">
        <v>-2.6</v>
      </c>
      <c r="M935" s="12">
        <v>0</v>
      </c>
      <c r="N935" s="12">
        <v>70.27</v>
      </c>
    </row>
    <row r="936" spans="1:14" x14ac:dyDescent="0.3">
      <c r="A936" s="12" t="s">
        <v>91</v>
      </c>
      <c r="B936" s="12" t="s">
        <v>164</v>
      </c>
      <c r="C936" s="12" t="s">
        <v>123</v>
      </c>
      <c r="D936" s="12" t="s">
        <v>110</v>
      </c>
      <c r="E936" s="12" t="s">
        <v>47</v>
      </c>
      <c r="F936" s="12">
        <v>0</v>
      </c>
      <c r="G936" s="12">
        <v>16</v>
      </c>
      <c r="H936" s="12" t="s">
        <v>111</v>
      </c>
      <c r="I936" s="12">
        <v>270.95</v>
      </c>
      <c r="J936" s="12">
        <v>192.48</v>
      </c>
      <c r="K936" s="12">
        <v>-18.88</v>
      </c>
      <c r="L936" s="12">
        <v>-1.3</v>
      </c>
      <c r="M936" s="12">
        <v>0</v>
      </c>
      <c r="N936" s="12">
        <v>172.3</v>
      </c>
    </row>
    <row r="937" spans="1:14" x14ac:dyDescent="0.3">
      <c r="A937" s="12" t="s">
        <v>91</v>
      </c>
      <c r="B937" s="12" t="s">
        <v>164</v>
      </c>
      <c r="C937" s="12" t="s">
        <v>123</v>
      </c>
      <c r="D937" s="12" t="s">
        <v>110</v>
      </c>
      <c r="E937" s="12" t="s">
        <v>13</v>
      </c>
      <c r="F937" s="12">
        <v>10</v>
      </c>
      <c r="G937" s="12">
        <v>0</v>
      </c>
      <c r="H937" s="12">
        <v>365.05</v>
      </c>
      <c r="I937" s="12" t="s">
        <v>111</v>
      </c>
      <c r="J937" s="12">
        <v>-6.3</v>
      </c>
      <c r="K937" s="12">
        <v>-9</v>
      </c>
      <c r="L937" s="12">
        <v>-1.3</v>
      </c>
      <c r="M937" s="12">
        <v>0</v>
      </c>
      <c r="N937" s="12">
        <v>-16.600000000000001</v>
      </c>
    </row>
    <row r="938" spans="1:14" x14ac:dyDescent="0.3">
      <c r="A938" s="12" t="s">
        <v>91</v>
      </c>
      <c r="B938" s="12" t="s">
        <v>164</v>
      </c>
      <c r="C938" s="12" t="s">
        <v>123</v>
      </c>
      <c r="D938" s="12" t="s">
        <v>110</v>
      </c>
      <c r="E938" s="12" t="s">
        <v>18</v>
      </c>
      <c r="F938" s="12">
        <v>14</v>
      </c>
      <c r="G938" s="12">
        <v>14</v>
      </c>
      <c r="H938" s="12">
        <v>273.25</v>
      </c>
      <c r="I938" s="12">
        <v>282.49</v>
      </c>
      <c r="J938" s="12">
        <v>129.36000000000001</v>
      </c>
      <c r="K938" s="12">
        <v>0</v>
      </c>
      <c r="L938" s="12">
        <v>0</v>
      </c>
      <c r="M938" s="12">
        <v>0</v>
      </c>
      <c r="N938" s="12">
        <v>129.36000000000001</v>
      </c>
    </row>
    <row r="939" spans="1:14" x14ac:dyDescent="0.3">
      <c r="A939" s="12" t="s">
        <v>91</v>
      </c>
      <c r="B939" s="12" t="s">
        <v>164</v>
      </c>
      <c r="C939" s="12" t="s">
        <v>123</v>
      </c>
      <c r="D939" s="12" t="s">
        <v>110</v>
      </c>
      <c r="E939" s="12" t="s">
        <v>48</v>
      </c>
      <c r="F939" s="12">
        <v>0</v>
      </c>
      <c r="G939" s="12">
        <v>25</v>
      </c>
      <c r="H939" s="12" t="s">
        <v>111</v>
      </c>
      <c r="I939" s="12">
        <v>175.53</v>
      </c>
      <c r="J939" s="12">
        <v>363</v>
      </c>
      <c r="K939" s="12">
        <v>10</v>
      </c>
      <c r="L939" s="12">
        <v>-1.3</v>
      </c>
      <c r="M939" s="12">
        <v>0</v>
      </c>
      <c r="N939" s="12">
        <v>371.7</v>
      </c>
    </row>
    <row r="940" spans="1:14" x14ac:dyDescent="0.3">
      <c r="A940" s="12" t="s">
        <v>91</v>
      </c>
      <c r="B940" s="12" t="s">
        <v>164</v>
      </c>
      <c r="C940" s="12" t="s">
        <v>123</v>
      </c>
      <c r="D940" s="12" t="s">
        <v>110</v>
      </c>
      <c r="E940" s="12" t="s">
        <v>19</v>
      </c>
      <c r="F940" s="12">
        <v>107</v>
      </c>
      <c r="G940" s="12">
        <v>82</v>
      </c>
      <c r="H940" s="12">
        <v>138.46</v>
      </c>
      <c r="I940" s="12">
        <v>150.93</v>
      </c>
      <c r="J940" s="12">
        <v>1253.04</v>
      </c>
      <c r="K940" s="12">
        <v>108</v>
      </c>
      <c r="L940" s="12">
        <v>-1.3</v>
      </c>
      <c r="M940" s="12">
        <v>0</v>
      </c>
      <c r="N940" s="12">
        <v>1359.74</v>
      </c>
    </row>
    <row r="941" spans="1:14" x14ac:dyDescent="0.3">
      <c r="A941" s="12" t="s">
        <v>91</v>
      </c>
      <c r="B941" s="12" t="s">
        <v>164</v>
      </c>
      <c r="C941" s="12" t="s">
        <v>123</v>
      </c>
      <c r="D941" s="12" t="s">
        <v>110</v>
      </c>
      <c r="E941" s="12" t="s">
        <v>20</v>
      </c>
      <c r="F941" s="12">
        <v>11</v>
      </c>
      <c r="G941" s="12">
        <v>11</v>
      </c>
      <c r="H941" s="12">
        <v>380.61</v>
      </c>
      <c r="I941" s="12">
        <v>383.6</v>
      </c>
      <c r="J941" s="12">
        <v>32.89</v>
      </c>
      <c r="K941" s="12">
        <v>0</v>
      </c>
      <c r="L941" s="12">
        <v>0</v>
      </c>
      <c r="M941" s="12">
        <v>18.559999999999999</v>
      </c>
      <c r="N941" s="12">
        <v>51.45</v>
      </c>
    </row>
    <row r="942" spans="1:14" x14ac:dyDescent="0.3">
      <c r="A942" s="12" t="s">
        <v>91</v>
      </c>
      <c r="B942" s="12" t="s">
        <v>164</v>
      </c>
      <c r="C942" s="12" t="s">
        <v>123</v>
      </c>
      <c r="D942" s="12" t="s">
        <v>110</v>
      </c>
      <c r="E942" s="12" t="s">
        <v>22</v>
      </c>
      <c r="F942" s="12">
        <v>83</v>
      </c>
      <c r="G942" s="12">
        <v>83</v>
      </c>
      <c r="H942" s="12">
        <v>66.55</v>
      </c>
      <c r="I942" s="12">
        <v>68.430000000000007</v>
      </c>
      <c r="J942" s="12">
        <v>156.04</v>
      </c>
      <c r="K942" s="12">
        <v>0</v>
      </c>
      <c r="L942" s="12">
        <v>0</v>
      </c>
      <c r="M942" s="12">
        <v>0</v>
      </c>
      <c r="N942" s="12">
        <v>156.04</v>
      </c>
    </row>
    <row r="943" spans="1:14" x14ac:dyDescent="0.3">
      <c r="A943" s="12" t="s">
        <v>91</v>
      </c>
      <c r="B943" s="12" t="s">
        <v>164</v>
      </c>
      <c r="C943" s="12" t="s">
        <v>123</v>
      </c>
      <c r="D943" s="12" t="s">
        <v>110</v>
      </c>
      <c r="E943" s="12" t="s">
        <v>37</v>
      </c>
      <c r="F943" s="12">
        <v>20</v>
      </c>
      <c r="G943" s="12">
        <v>20</v>
      </c>
      <c r="H943" s="12">
        <v>185.03</v>
      </c>
      <c r="I943" s="12">
        <v>190.96</v>
      </c>
      <c r="J943" s="12">
        <v>118.6</v>
      </c>
      <c r="K943" s="12">
        <v>0</v>
      </c>
      <c r="L943" s="12">
        <v>0</v>
      </c>
      <c r="M943" s="12">
        <v>0</v>
      </c>
      <c r="N943" s="12">
        <v>118.6</v>
      </c>
    </row>
    <row r="944" spans="1:14" x14ac:dyDescent="0.3">
      <c r="A944" s="12" t="s">
        <v>91</v>
      </c>
      <c r="B944" s="12" t="s">
        <v>164</v>
      </c>
      <c r="C944" s="12" t="s">
        <v>123</v>
      </c>
      <c r="D944" s="12" t="s">
        <v>110</v>
      </c>
      <c r="E944" s="12" t="s">
        <v>24</v>
      </c>
      <c r="F944" s="12">
        <v>50</v>
      </c>
      <c r="G944" s="12">
        <v>50</v>
      </c>
      <c r="H944" s="12">
        <v>91.33</v>
      </c>
      <c r="I944" s="12">
        <v>94.95</v>
      </c>
      <c r="J944" s="12">
        <v>181</v>
      </c>
      <c r="K944" s="12">
        <v>0</v>
      </c>
      <c r="L944" s="12">
        <v>0</v>
      </c>
      <c r="M944" s="12">
        <v>0.75</v>
      </c>
      <c r="N944" s="12">
        <v>181.75</v>
      </c>
    </row>
    <row r="945" spans="1:14" x14ac:dyDescent="0.3">
      <c r="A945" s="12" t="s">
        <v>91</v>
      </c>
      <c r="B945" s="12" t="s">
        <v>164</v>
      </c>
      <c r="C945" s="12" t="s">
        <v>123</v>
      </c>
      <c r="D945" s="12" t="s">
        <v>110</v>
      </c>
      <c r="E945" s="12" t="s">
        <v>49</v>
      </c>
      <c r="F945" s="12">
        <v>0</v>
      </c>
      <c r="G945" s="12">
        <v>5</v>
      </c>
      <c r="H945" s="12" t="s">
        <v>111</v>
      </c>
      <c r="I945" s="12">
        <v>777.96</v>
      </c>
      <c r="J945" s="12">
        <v>1.85</v>
      </c>
      <c r="K945" s="12">
        <v>-33.950000000000003</v>
      </c>
      <c r="L945" s="12">
        <v>-1.3</v>
      </c>
      <c r="M945" s="12">
        <v>0</v>
      </c>
      <c r="N945" s="12">
        <v>-33.4</v>
      </c>
    </row>
    <row r="946" spans="1:14" x14ac:dyDescent="0.3">
      <c r="A946" s="12" t="s">
        <v>91</v>
      </c>
      <c r="B946" s="12" t="s">
        <v>164</v>
      </c>
      <c r="C946" s="12" t="s">
        <v>123</v>
      </c>
      <c r="D946" s="12" t="s">
        <v>110</v>
      </c>
      <c r="E946" s="12" t="s">
        <v>25</v>
      </c>
      <c r="F946" s="12">
        <v>8</v>
      </c>
      <c r="G946" s="12">
        <v>0</v>
      </c>
      <c r="H946" s="12">
        <v>467.09</v>
      </c>
      <c r="I946" s="12" t="s">
        <v>111</v>
      </c>
      <c r="J946" s="12">
        <v>-130.4</v>
      </c>
      <c r="K946" s="12">
        <v>48.88</v>
      </c>
      <c r="L946" s="12">
        <v>-2.6</v>
      </c>
      <c r="M946" s="12">
        <v>0</v>
      </c>
      <c r="N946" s="12">
        <v>-84.12</v>
      </c>
    </row>
    <row r="947" spans="1:14" x14ac:dyDescent="0.3">
      <c r="A947" s="12" t="s">
        <v>91</v>
      </c>
      <c r="B947" s="12" t="s">
        <v>164</v>
      </c>
      <c r="C947" s="12" t="s">
        <v>123</v>
      </c>
      <c r="D947" s="12" t="s">
        <v>110</v>
      </c>
      <c r="E947" s="12" t="s">
        <v>26</v>
      </c>
      <c r="F947" s="12">
        <v>10</v>
      </c>
      <c r="G947" s="12">
        <v>10</v>
      </c>
      <c r="H947" s="12">
        <v>379.42</v>
      </c>
      <c r="I947" s="12">
        <v>393.03</v>
      </c>
      <c r="J947" s="12">
        <v>136.1</v>
      </c>
      <c r="K947" s="12">
        <v>0</v>
      </c>
      <c r="L947" s="12">
        <v>0</v>
      </c>
      <c r="M947" s="12">
        <v>6.37</v>
      </c>
      <c r="N947" s="12">
        <v>142.47</v>
      </c>
    </row>
    <row r="948" spans="1:14" x14ac:dyDescent="0.3">
      <c r="A948" s="12" t="s">
        <v>91</v>
      </c>
      <c r="B948" s="12" t="s">
        <v>164</v>
      </c>
      <c r="C948" s="12" t="s">
        <v>123</v>
      </c>
      <c r="D948" s="12" t="s">
        <v>110</v>
      </c>
      <c r="E948" s="12" t="s">
        <v>27</v>
      </c>
      <c r="F948" s="12">
        <v>11</v>
      </c>
      <c r="G948" s="12">
        <v>11</v>
      </c>
      <c r="H948" s="12">
        <v>490.13</v>
      </c>
      <c r="I948" s="12">
        <v>485.58</v>
      </c>
      <c r="J948" s="12">
        <v>-50.05</v>
      </c>
      <c r="K948" s="12">
        <v>0</v>
      </c>
      <c r="L948" s="12">
        <v>0</v>
      </c>
      <c r="M948" s="12">
        <v>4.12</v>
      </c>
      <c r="N948" s="12">
        <v>-45.93</v>
      </c>
    </row>
    <row r="949" spans="1:14" x14ac:dyDescent="0.3">
      <c r="A949" s="12" t="s">
        <v>91</v>
      </c>
      <c r="B949" s="12" t="s">
        <v>164</v>
      </c>
      <c r="C949" s="12" t="s">
        <v>123</v>
      </c>
      <c r="D949" s="12" t="s">
        <v>110</v>
      </c>
      <c r="E949" s="12" t="s">
        <v>28</v>
      </c>
      <c r="F949" s="12">
        <v>49</v>
      </c>
      <c r="G949" s="12">
        <v>34</v>
      </c>
      <c r="H949" s="12">
        <v>413.64</v>
      </c>
      <c r="I949" s="12">
        <v>420.72</v>
      </c>
      <c r="J949" s="12">
        <v>414.42</v>
      </c>
      <c r="K949" s="12">
        <v>-96.75</v>
      </c>
      <c r="L949" s="12">
        <v>-1.3</v>
      </c>
      <c r="M949" s="12">
        <v>27.56</v>
      </c>
      <c r="N949" s="12">
        <v>343.93</v>
      </c>
    </row>
    <row r="950" spans="1:14" x14ac:dyDescent="0.3">
      <c r="A950" s="12" t="s">
        <v>91</v>
      </c>
      <c r="B950" s="12" t="s">
        <v>164</v>
      </c>
      <c r="C950" s="12" t="s">
        <v>123</v>
      </c>
      <c r="D950" s="12" t="s">
        <v>110</v>
      </c>
      <c r="E950" s="12" t="s">
        <v>50</v>
      </c>
      <c r="F950" s="12">
        <v>0</v>
      </c>
      <c r="G950" s="12">
        <v>5</v>
      </c>
      <c r="H950" s="12" t="s">
        <v>111</v>
      </c>
      <c r="I950" s="12">
        <v>762.4</v>
      </c>
      <c r="J950" s="12">
        <v>106.7</v>
      </c>
      <c r="K950" s="12">
        <v>4.3</v>
      </c>
      <c r="L950" s="12">
        <v>-1.3</v>
      </c>
      <c r="M950" s="12">
        <v>0</v>
      </c>
      <c r="N950" s="12">
        <v>109.7</v>
      </c>
    </row>
    <row r="951" spans="1:14" x14ac:dyDescent="0.3">
      <c r="A951" s="12" t="s">
        <v>91</v>
      </c>
      <c r="B951" s="12" t="s">
        <v>164</v>
      </c>
      <c r="C951" s="12" t="s">
        <v>123</v>
      </c>
      <c r="D951" s="12" t="s">
        <v>110</v>
      </c>
      <c r="E951" s="12" t="s">
        <v>29</v>
      </c>
      <c r="F951" s="12">
        <v>18</v>
      </c>
      <c r="G951" s="12">
        <v>15</v>
      </c>
      <c r="H951" s="12">
        <v>310.55</v>
      </c>
      <c r="I951" s="12">
        <v>284.13</v>
      </c>
      <c r="J951" s="12">
        <v>-296.31</v>
      </c>
      <c r="K951" s="12">
        <v>120.06</v>
      </c>
      <c r="L951" s="12">
        <v>-2.6</v>
      </c>
      <c r="M951" s="12">
        <v>0</v>
      </c>
      <c r="N951" s="12">
        <v>-178.85</v>
      </c>
    </row>
    <row r="952" spans="1:14" x14ac:dyDescent="0.3">
      <c r="A952" s="12" t="s">
        <v>91</v>
      </c>
      <c r="B952" s="12" t="s">
        <v>164</v>
      </c>
      <c r="C952" s="12" t="s">
        <v>123</v>
      </c>
      <c r="D952" s="12" t="s">
        <v>110</v>
      </c>
      <c r="E952" s="12" t="s">
        <v>39</v>
      </c>
      <c r="F952" s="12">
        <v>20</v>
      </c>
      <c r="G952" s="12">
        <v>35</v>
      </c>
      <c r="H952" s="12">
        <v>157.79</v>
      </c>
      <c r="I952" s="12">
        <v>169.3</v>
      </c>
      <c r="J952" s="12">
        <v>271.3</v>
      </c>
      <c r="K952" s="12">
        <v>-9.3000000000000007</v>
      </c>
      <c r="L952" s="12">
        <v>-1.3</v>
      </c>
      <c r="M952" s="12">
        <v>12</v>
      </c>
      <c r="N952" s="12">
        <v>272.7</v>
      </c>
    </row>
    <row r="953" spans="1:14" x14ac:dyDescent="0.3">
      <c r="A953" s="12" t="s">
        <v>91</v>
      </c>
      <c r="B953" s="12" t="s">
        <v>164</v>
      </c>
      <c r="C953" s="12" t="s">
        <v>123</v>
      </c>
      <c r="D953" s="12" t="s">
        <v>110</v>
      </c>
      <c r="E953" s="12" t="s">
        <v>30</v>
      </c>
      <c r="F953" s="12">
        <v>26</v>
      </c>
      <c r="G953" s="12">
        <v>26</v>
      </c>
      <c r="H953" s="12">
        <v>148.96</v>
      </c>
      <c r="I953" s="12">
        <v>146.76</v>
      </c>
      <c r="J953" s="12">
        <v>-33.28</v>
      </c>
      <c r="K953" s="12">
        <v>51.74</v>
      </c>
      <c r="L953" s="12">
        <v>-2.6</v>
      </c>
      <c r="M953" s="12">
        <v>0</v>
      </c>
      <c r="N953" s="12">
        <v>15.86</v>
      </c>
    </row>
    <row r="954" spans="1:14" x14ac:dyDescent="0.3">
      <c r="A954" s="12" t="s">
        <v>91</v>
      </c>
      <c r="B954" s="12" t="s">
        <v>164</v>
      </c>
      <c r="C954" s="12" t="s">
        <v>123</v>
      </c>
      <c r="D954" s="12" t="s">
        <v>110</v>
      </c>
      <c r="E954" s="12" t="s">
        <v>51</v>
      </c>
      <c r="F954" s="12">
        <v>0</v>
      </c>
      <c r="G954" s="12">
        <v>2</v>
      </c>
      <c r="H954" s="12" t="s">
        <v>111</v>
      </c>
      <c r="I954" s="17">
        <v>1010.03</v>
      </c>
      <c r="J954" s="12">
        <v>-189.72</v>
      </c>
      <c r="K954" s="12">
        <v>-106.14</v>
      </c>
      <c r="L954" s="12">
        <v>-2.6</v>
      </c>
      <c r="M954" s="12">
        <v>0</v>
      </c>
      <c r="N954" s="12">
        <v>-298.45999999999998</v>
      </c>
    </row>
    <row r="955" spans="1:14" x14ac:dyDescent="0.3">
      <c r="A955" s="12" t="s">
        <v>91</v>
      </c>
      <c r="B955" s="12" t="s">
        <v>164</v>
      </c>
      <c r="C955" s="12" t="s">
        <v>123</v>
      </c>
      <c r="D955" s="12" t="s">
        <v>110</v>
      </c>
      <c r="E955" s="12" t="s">
        <v>31</v>
      </c>
      <c r="F955" s="12">
        <v>18</v>
      </c>
      <c r="G955" s="12">
        <v>0</v>
      </c>
      <c r="H955" s="12">
        <v>188.28</v>
      </c>
      <c r="I955" s="12" t="s">
        <v>111</v>
      </c>
      <c r="J955" s="12">
        <v>-186.3</v>
      </c>
      <c r="K955" s="12">
        <v>-20.34</v>
      </c>
      <c r="L955" s="12">
        <v>-1.3</v>
      </c>
      <c r="M955" s="12">
        <v>0</v>
      </c>
      <c r="N955" s="12">
        <v>-207.94</v>
      </c>
    </row>
    <row r="956" spans="1:14" x14ac:dyDescent="0.3">
      <c r="A956" s="12" t="s">
        <v>91</v>
      </c>
      <c r="B956" s="12" t="s">
        <v>164</v>
      </c>
      <c r="C956" s="12" t="s">
        <v>123</v>
      </c>
      <c r="D956" s="12" t="s">
        <v>110</v>
      </c>
      <c r="E956" s="12" t="s">
        <v>32</v>
      </c>
      <c r="F956" s="12">
        <v>70</v>
      </c>
      <c r="G956" s="12">
        <v>70</v>
      </c>
      <c r="H956" s="12">
        <v>79.5</v>
      </c>
      <c r="I956" s="12">
        <v>76.989999999999995</v>
      </c>
      <c r="J956" s="12">
        <v>-175.7</v>
      </c>
      <c r="K956" s="12">
        <v>0</v>
      </c>
      <c r="L956" s="12">
        <v>0</v>
      </c>
      <c r="M956" s="12">
        <v>0</v>
      </c>
      <c r="N956" s="12">
        <v>-175.7</v>
      </c>
    </row>
    <row r="957" spans="1:14" x14ac:dyDescent="0.3">
      <c r="A957" s="12" t="s">
        <v>91</v>
      </c>
      <c r="B957" s="12" t="s">
        <v>164</v>
      </c>
      <c r="C957" s="12" t="s">
        <v>123</v>
      </c>
      <c r="D957" s="12" t="s">
        <v>110</v>
      </c>
      <c r="E957" s="12" t="s">
        <v>40</v>
      </c>
      <c r="F957" s="12">
        <v>15</v>
      </c>
      <c r="G957" s="12">
        <v>15</v>
      </c>
      <c r="H957" s="12">
        <v>253.69</v>
      </c>
      <c r="I957" s="12">
        <v>245.93</v>
      </c>
      <c r="J957" s="12">
        <v>-116.4</v>
      </c>
      <c r="K957" s="12">
        <v>0</v>
      </c>
      <c r="L957" s="12">
        <v>0</v>
      </c>
      <c r="M957" s="12">
        <v>0</v>
      </c>
      <c r="N957" s="12">
        <v>-116.4</v>
      </c>
    </row>
    <row r="958" spans="1:14" x14ac:dyDescent="0.3">
      <c r="A958" s="12" t="s">
        <v>91</v>
      </c>
      <c r="B958" s="12" t="s">
        <v>164</v>
      </c>
      <c r="C958" s="12" t="s">
        <v>123</v>
      </c>
      <c r="D958" s="12" t="s">
        <v>110</v>
      </c>
      <c r="E958" s="12" t="s">
        <v>34</v>
      </c>
      <c r="F958" s="12">
        <v>13</v>
      </c>
      <c r="G958" s="12">
        <v>17</v>
      </c>
      <c r="H958" s="12">
        <v>294.66000000000003</v>
      </c>
      <c r="I958" s="12">
        <v>272.75</v>
      </c>
      <c r="J958" s="12">
        <v>-285.91000000000003</v>
      </c>
      <c r="K958" s="12">
        <v>-13.4</v>
      </c>
      <c r="L958" s="12">
        <v>-1.3</v>
      </c>
      <c r="M958" s="12">
        <v>0</v>
      </c>
      <c r="N958" s="12">
        <v>-300.61</v>
      </c>
    </row>
    <row r="959" spans="1:14" x14ac:dyDescent="0.3">
      <c r="A959" s="12" t="s">
        <v>91</v>
      </c>
      <c r="B959" s="12" t="s">
        <v>164</v>
      </c>
      <c r="C959" s="12" t="s">
        <v>123</v>
      </c>
      <c r="D959" s="12" t="s">
        <v>110</v>
      </c>
      <c r="E959" s="12" t="s">
        <v>41</v>
      </c>
      <c r="F959" s="12">
        <v>600</v>
      </c>
      <c r="G959" s="12">
        <v>1200</v>
      </c>
      <c r="H959" s="12">
        <v>41.28</v>
      </c>
      <c r="I959" s="12">
        <v>42.13</v>
      </c>
      <c r="J959" s="12">
        <v>870</v>
      </c>
      <c r="K959" s="12">
        <v>-40.799999999999997</v>
      </c>
      <c r="L959" s="12">
        <v>-4.2</v>
      </c>
      <c r="M959" s="12">
        <v>80.900000000000006</v>
      </c>
      <c r="N959" s="12">
        <v>905.9</v>
      </c>
    </row>
    <row r="960" spans="1:14" x14ac:dyDescent="0.3">
      <c r="A960" s="12" t="s">
        <v>91</v>
      </c>
      <c r="B960" s="12" t="s">
        <v>164</v>
      </c>
      <c r="C960" s="12" t="s">
        <v>123</v>
      </c>
      <c r="D960" s="12" t="s">
        <v>110</v>
      </c>
      <c r="E960" s="12" t="s">
        <v>42</v>
      </c>
      <c r="F960" s="12">
        <v>50</v>
      </c>
      <c r="G960" s="12">
        <v>50</v>
      </c>
      <c r="H960" s="12">
        <v>206.98</v>
      </c>
      <c r="I960" s="12">
        <v>208.27</v>
      </c>
      <c r="J960" s="12">
        <v>64.5</v>
      </c>
      <c r="K960" s="12">
        <v>0</v>
      </c>
      <c r="L960" s="12">
        <v>0</v>
      </c>
      <c r="M960" s="12">
        <v>12.72</v>
      </c>
      <c r="N960" s="12">
        <v>77.22</v>
      </c>
    </row>
    <row r="961" spans="1:18" x14ac:dyDescent="0.3">
      <c r="A961" s="12" t="s">
        <v>91</v>
      </c>
      <c r="B961" s="12" t="s">
        <v>164</v>
      </c>
      <c r="C961" s="12" t="s">
        <v>123</v>
      </c>
      <c r="D961" s="12" t="s">
        <v>110</v>
      </c>
      <c r="E961" s="12" t="s">
        <v>43</v>
      </c>
      <c r="F961" s="12">
        <v>80</v>
      </c>
      <c r="G961" s="12">
        <v>80</v>
      </c>
      <c r="H961" s="12">
        <v>62.1</v>
      </c>
      <c r="I961" s="12">
        <v>65.650000000000006</v>
      </c>
      <c r="J961" s="12">
        <v>284</v>
      </c>
      <c r="K961" s="12">
        <v>0</v>
      </c>
      <c r="L961" s="12">
        <v>0</v>
      </c>
      <c r="M961" s="12">
        <v>31.17</v>
      </c>
      <c r="N961" s="12">
        <v>315.17</v>
      </c>
    </row>
    <row r="962" spans="1:18" x14ac:dyDescent="0.3">
      <c r="A962" s="12" t="s">
        <v>91</v>
      </c>
      <c r="B962" s="12" t="s">
        <v>164</v>
      </c>
      <c r="C962" s="12" t="s">
        <v>123</v>
      </c>
      <c r="D962" s="12" t="s">
        <v>110</v>
      </c>
      <c r="E962" s="12" t="s">
        <v>44</v>
      </c>
      <c r="F962" s="12">
        <v>30</v>
      </c>
      <c r="G962" s="12">
        <v>30</v>
      </c>
      <c r="H962" s="12">
        <v>144.82</v>
      </c>
      <c r="I962" s="12">
        <v>147.72999999999999</v>
      </c>
      <c r="J962" s="12">
        <v>87.3</v>
      </c>
      <c r="K962" s="12">
        <v>0</v>
      </c>
      <c r="L962" s="12">
        <v>0</v>
      </c>
      <c r="M962" s="12">
        <v>11.77</v>
      </c>
      <c r="N962" s="12">
        <v>99.07</v>
      </c>
    </row>
    <row r="963" spans="1:18" x14ac:dyDescent="0.3">
      <c r="A963" s="12" t="s">
        <v>91</v>
      </c>
      <c r="B963" s="12" t="s">
        <v>164</v>
      </c>
      <c r="C963" s="12" t="s">
        <v>123</v>
      </c>
      <c r="D963" s="12" t="s">
        <v>110</v>
      </c>
      <c r="E963" s="12" t="s">
        <v>35</v>
      </c>
      <c r="F963" s="12">
        <v>100</v>
      </c>
      <c r="G963" s="12">
        <v>100</v>
      </c>
      <c r="H963" s="12">
        <v>104.52</v>
      </c>
      <c r="I963" s="12">
        <v>116.24</v>
      </c>
      <c r="J963" s="12">
        <v>1172</v>
      </c>
      <c r="K963" s="12">
        <v>0</v>
      </c>
      <c r="L963" s="12">
        <v>0</v>
      </c>
      <c r="M963" s="12">
        <v>71.25</v>
      </c>
      <c r="N963" s="12">
        <v>1243.25</v>
      </c>
    </row>
    <row r="964" spans="1:18" x14ac:dyDescent="0.3">
      <c r="A964" s="12" t="s">
        <v>91</v>
      </c>
      <c r="B964" s="12" t="s">
        <v>164</v>
      </c>
      <c r="C964" s="12" t="s">
        <v>123</v>
      </c>
      <c r="D964" s="12" t="s">
        <v>97</v>
      </c>
      <c r="J964" s="12">
        <v>7248.52</v>
      </c>
      <c r="K964" s="12">
        <v>-75.67</v>
      </c>
      <c r="L964" s="12">
        <v>-36.700000000000003</v>
      </c>
      <c r="M964" s="12">
        <v>277.17</v>
      </c>
      <c r="N964" s="12">
        <v>7413.32</v>
      </c>
    </row>
    <row r="965" spans="1:18" x14ac:dyDescent="0.3">
      <c r="A965" s="12" t="s">
        <v>91</v>
      </c>
      <c r="B965" s="12" t="s">
        <v>164</v>
      </c>
      <c r="C965" s="12" t="s">
        <v>123</v>
      </c>
      <c r="D965" s="12" t="s">
        <v>112</v>
      </c>
      <c r="E965" s="12" t="s">
        <v>36</v>
      </c>
      <c r="F965" s="12">
        <v>-8</v>
      </c>
      <c r="G965" s="12">
        <v>0</v>
      </c>
      <c r="H965" s="17">
        <v>5103.75</v>
      </c>
      <c r="I965" s="12" t="s">
        <v>111</v>
      </c>
      <c r="J965" s="12">
        <v>195</v>
      </c>
      <c r="K965" s="12">
        <v>-83.75</v>
      </c>
      <c r="L965" s="12">
        <v>-24</v>
      </c>
      <c r="M965" s="12">
        <v>0</v>
      </c>
      <c r="N965" s="12">
        <v>87.25</v>
      </c>
    </row>
    <row r="966" spans="1:18" x14ac:dyDescent="0.3">
      <c r="A966" s="12" t="s">
        <v>91</v>
      </c>
      <c r="B966" s="12" t="s">
        <v>164</v>
      </c>
      <c r="C966" s="12" t="s">
        <v>123</v>
      </c>
      <c r="D966" s="12" t="s">
        <v>112</v>
      </c>
      <c r="E966" s="12" t="s">
        <v>52</v>
      </c>
      <c r="F966" s="12">
        <v>0</v>
      </c>
      <c r="G966" s="12">
        <v>-8</v>
      </c>
      <c r="H966" s="12" t="s">
        <v>111</v>
      </c>
      <c r="I966" s="17">
        <v>5308.5</v>
      </c>
      <c r="J966" s="12">
        <v>-5990</v>
      </c>
      <c r="K966" s="12">
        <v>-100</v>
      </c>
      <c r="L966" s="12">
        <v>-24</v>
      </c>
      <c r="M966" s="12">
        <v>0</v>
      </c>
      <c r="N966" s="12">
        <v>-6114</v>
      </c>
    </row>
    <row r="967" spans="1:18" x14ac:dyDescent="0.3">
      <c r="A967" s="12" t="s">
        <v>91</v>
      </c>
      <c r="B967" s="12" t="s">
        <v>164</v>
      </c>
      <c r="C967" s="12" t="s">
        <v>123</v>
      </c>
      <c r="D967" s="12" t="s">
        <v>112</v>
      </c>
      <c r="E967" s="12" t="s">
        <v>53</v>
      </c>
      <c r="F967" s="12">
        <v>0</v>
      </c>
      <c r="G967" s="12">
        <v>-1</v>
      </c>
      <c r="H967" s="12" t="s">
        <v>111</v>
      </c>
      <c r="I967" s="17">
        <v>18475</v>
      </c>
      <c r="J967" s="12">
        <v>69.5</v>
      </c>
      <c r="K967" s="12">
        <v>82</v>
      </c>
      <c r="L967" s="12">
        <v>-3</v>
      </c>
      <c r="M967" s="12">
        <v>0</v>
      </c>
      <c r="N967" s="12">
        <v>148.5</v>
      </c>
    </row>
    <row r="968" spans="1:18" x14ac:dyDescent="0.3">
      <c r="A968" s="12" t="s">
        <v>91</v>
      </c>
      <c r="B968" s="12" t="s">
        <v>164</v>
      </c>
      <c r="C968" s="12" t="s">
        <v>123</v>
      </c>
      <c r="D968" s="12" t="s">
        <v>97</v>
      </c>
      <c r="J968" s="12">
        <v>-5725.5</v>
      </c>
      <c r="K968" s="12">
        <v>-101.75</v>
      </c>
      <c r="L968" s="12">
        <v>-51</v>
      </c>
      <c r="M968" s="12">
        <v>0</v>
      </c>
      <c r="N968" s="12">
        <v>-5878.25</v>
      </c>
    </row>
    <row r="969" spans="1:18" x14ac:dyDescent="0.3">
      <c r="A969" s="12" t="s">
        <v>91</v>
      </c>
      <c r="B969" s="12" t="s">
        <v>164</v>
      </c>
      <c r="C969" s="12" t="s">
        <v>123</v>
      </c>
      <c r="D969" s="12" t="s">
        <v>113</v>
      </c>
      <c r="E969" s="12" t="s">
        <v>114</v>
      </c>
      <c r="F969" s="12">
        <v>49395.222999999998</v>
      </c>
      <c r="G969" s="12">
        <v>9708.4930000000004</v>
      </c>
      <c r="H969" s="12">
        <v>1</v>
      </c>
      <c r="I969" s="12">
        <v>1</v>
      </c>
      <c r="J969" s="12">
        <v>0</v>
      </c>
      <c r="K969" s="12">
        <v>0</v>
      </c>
      <c r="L969" s="12">
        <v>0</v>
      </c>
      <c r="M969" s="12">
        <v>0</v>
      </c>
      <c r="N969" s="12">
        <v>0</v>
      </c>
    </row>
    <row r="970" spans="1:18" x14ac:dyDescent="0.3">
      <c r="A970" s="12" t="s">
        <v>91</v>
      </c>
      <c r="B970" s="12" t="s">
        <v>164</v>
      </c>
      <c r="C970" s="12" t="s">
        <v>123</v>
      </c>
      <c r="D970" s="12" t="s">
        <v>97</v>
      </c>
      <c r="J970" s="12">
        <v>0</v>
      </c>
      <c r="K970" s="12">
        <v>0</v>
      </c>
      <c r="L970" s="12">
        <v>0</v>
      </c>
      <c r="M970" s="12">
        <v>0</v>
      </c>
      <c r="N970" s="12">
        <v>0</v>
      </c>
    </row>
    <row r="971" spans="1:18" x14ac:dyDescent="0.3">
      <c r="A971" s="12" t="s">
        <v>91</v>
      </c>
      <c r="B971" s="12" t="s">
        <v>164</v>
      </c>
      <c r="C971" s="12" t="s">
        <v>123</v>
      </c>
      <c r="D971" s="12" t="s">
        <v>115</v>
      </c>
      <c r="J971" s="12">
        <v>1523.02</v>
      </c>
      <c r="K971" s="12">
        <v>-177.42</v>
      </c>
      <c r="L971" s="12">
        <v>-87.7</v>
      </c>
      <c r="M971" s="12">
        <v>277.17</v>
      </c>
      <c r="N971" s="12">
        <v>1535.07</v>
      </c>
    </row>
    <row r="972" spans="1:18" x14ac:dyDescent="0.3">
      <c r="A972" s="12" t="s">
        <v>91</v>
      </c>
      <c r="B972" s="12" t="s">
        <v>164</v>
      </c>
      <c r="C972" s="12" t="s">
        <v>123</v>
      </c>
      <c r="D972" s="12" t="s">
        <v>116</v>
      </c>
      <c r="N972" s="12">
        <v>168.73</v>
      </c>
    </row>
    <row r="973" spans="1:18" x14ac:dyDescent="0.3">
      <c r="A973" s="12" t="s">
        <v>91</v>
      </c>
      <c r="B973" s="12" t="s">
        <v>166</v>
      </c>
      <c r="N973" s="12">
        <v>1703.8</v>
      </c>
    </row>
    <row r="974" spans="1:18" x14ac:dyDescent="0.3">
      <c r="A974" s="12" t="s">
        <v>91</v>
      </c>
      <c r="B974" s="12" t="s">
        <v>167</v>
      </c>
      <c r="C974" s="12" t="s">
        <v>120</v>
      </c>
      <c r="D974" s="12" t="s">
        <v>100</v>
      </c>
      <c r="E974" s="12" t="s">
        <v>0</v>
      </c>
      <c r="F974" s="12" t="s">
        <v>168</v>
      </c>
      <c r="G974" s="12" t="s">
        <v>169</v>
      </c>
      <c r="H974" s="12" t="s">
        <v>170</v>
      </c>
      <c r="I974" s="12" t="s">
        <v>171</v>
      </c>
      <c r="J974" s="12" t="s">
        <v>172</v>
      </c>
      <c r="K974" s="12" t="s">
        <v>173</v>
      </c>
      <c r="L974" s="12" t="s">
        <v>174</v>
      </c>
      <c r="M974" s="12" t="s">
        <v>175</v>
      </c>
      <c r="N974" s="12" t="s">
        <v>176</v>
      </c>
      <c r="O974" s="12" t="s">
        <v>177</v>
      </c>
      <c r="P974" s="12" t="s">
        <v>178</v>
      </c>
      <c r="Q974" s="12" t="s">
        <v>97</v>
      </c>
      <c r="R974" s="12" t="s">
        <v>165</v>
      </c>
    </row>
    <row r="975" spans="1:18" x14ac:dyDescent="0.3">
      <c r="A975" s="12" t="s">
        <v>91</v>
      </c>
      <c r="B975" s="12" t="s">
        <v>167</v>
      </c>
      <c r="C975" s="12" t="s">
        <v>123</v>
      </c>
      <c r="D975" s="12" t="s">
        <v>110</v>
      </c>
      <c r="E975" s="12" t="s">
        <v>2</v>
      </c>
      <c r="F975" s="12">
        <v>0</v>
      </c>
      <c r="G975" s="12">
        <v>0</v>
      </c>
      <c r="H975" s="12">
        <v>0</v>
      </c>
      <c r="I975" s="12">
        <v>0</v>
      </c>
      <c r="J975" s="12">
        <v>0</v>
      </c>
      <c r="K975" s="12">
        <v>0</v>
      </c>
      <c r="L975" s="12">
        <v>0</v>
      </c>
      <c r="M975" s="12">
        <v>-439.92</v>
      </c>
      <c r="N975" s="12">
        <v>0</v>
      </c>
      <c r="O975" s="12">
        <v>0</v>
      </c>
      <c r="P975" s="12">
        <v>-439.92</v>
      </c>
      <c r="Q975" s="12">
        <v>-439.92</v>
      </c>
    </row>
    <row r="976" spans="1:18" x14ac:dyDescent="0.3">
      <c r="A976" s="12" t="s">
        <v>91</v>
      </c>
      <c r="B976" s="12" t="s">
        <v>167</v>
      </c>
      <c r="C976" s="12" t="s">
        <v>123</v>
      </c>
      <c r="D976" s="12" t="s">
        <v>110</v>
      </c>
      <c r="E976" s="12" t="s">
        <v>45</v>
      </c>
      <c r="F976" s="12">
        <v>0</v>
      </c>
      <c r="G976" s="12">
        <v>0</v>
      </c>
      <c r="H976" s="12">
        <v>0</v>
      </c>
      <c r="I976" s="12">
        <v>0</v>
      </c>
      <c r="J976" s="12">
        <v>0</v>
      </c>
      <c r="K976" s="12">
        <v>0</v>
      </c>
      <c r="L976" s="12">
        <v>139.44999999999999</v>
      </c>
      <c r="M976" s="12">
        <v>0</v>
      </c>
      <c r="N976" s="12">
        <v>0</v>
      </c>
      <c r="O976" s="12">
        <v>0</v>
      </c>
      <c r="P976" s="12">
        <v>139.44999999999999</v>
      </c>
      <c r="Q976" s="12">
        <v>139.44999999999999</v>
      </c>
    </row>
    <row r="977" spans="1:17" x14ac:dyDescent="0.3">
      <c r="A977" s="12" t="s">
        <v>91</v>
      </c>
      <c r="B977" s="12" t="s">
        <v>167</v>
      </c>
      <c r="C977" s="12" t="s">
        <v>123</v>
      </c>
      <c r="D977" s="12" t="s">
        <v>110</v>
      </c>
      <c r="E977" s="12" t="s">
        <v>5</v>
      </c>
      <c r="F977" s="12">
        <v>0</v>
      </c>
      <c r="G977" s="12">
        <v>0</v>
      </c>
      <c r="H977" s="12">
        <v>0</v>
      </c>
      <c r="I977" s="12">
        <v>0</v>
      </c>
      <c r="J977" s="12">
        <v>0</v>
      </c>
      <c r="K977" s="12">
        <v>0</v>
      </c>
      <c r="L977" s="12">
        <v>1896.345</v>
      </c>
      <c r="M977" s="12">
        <v>0</v>
      </c>
      <c r="N977" s="12">
        <v>0</v>
      </c>
      <c r="O977" s="12">
        <v>0</v>
      </c>
      <c r="P977" s="12">
        <v>1896.345</v>
      </c>
      <c r="Q977" s="12">
        <v>1896.345</v>
      </c>
    </row>
    <row r="978" spans="1:17" x14ac:dyDescent="0.3">
      <c r="A978" s="12" t="s">
        <v>91</v>
      </c>
      <c r="B978" s="12" t="s">
        <v>167</v>
      </c>
      <c r="C978" s="12" t="s">
        <v>123</v>
      </c>
      <c r="D978" s="12" t="s">
        <v>110</v>
      </c>
      <c r="E978" s="12" t="s">
        <v>6</v>
      </c>
      <c r="F978" s="12">
        <v>0</v>
      </c>
      <c r="G978" s="12">
        <v>0</v>
      </c>
      <c r="H978" s="12">
        <v>0</v>
      </c>
      <c r="I978" s="12">
        <v>0</v>
      </c>
      <c r="J978" s="12">
        <v>0</v>
      </c>
      <c r="K978" s="12">
        <v>0</v>
      </c>
      <c r="L978" s="12">
        <v>1146.889032</v>
      </c>
      <c r="M978" s="12">
        <v>0</v>
      </c>
      <c r="N978" s="12">
        <v>0</v>
      </c>
      <c r="O978" s="12">
        <v>0</v>
      </c>
      <c r="P978" s="12">
        <v>1146.889032</v>
      </c>
      <c r="Q978" s="12">
        <v>1146.889032</v>
      </c>
    </row>
    <row r="979" spans="1:17" x14ac:dyDescent="0.3">
      <c r="A979" s="12" t="s">
        <v>91</v>
      </c>
      <c r="B979" s="12" t="s">
        <v>167</v>
      </c>
      <c r="C979" s="12" t="s">
        <v>123</v>
      </c>
      <c r="D979" s="12" t="s">
        <v>110</v>
      </c>
      <c r="E979" s="12" t="s">
        <v>7</v>
      </c>
      <c r="F979" s="12">
        <v>0</v>
      </c>
      <c r="G979" s="12">
        <v>1372.94</v>
      </c>
      <c r="H979" s="12">
        <v>0</v>
      </c>
      <c r="I979" s="12">
        <v>0</v>
      </c>
      <c r="J979" s="12">
        <v>0</v>
      </c>
      <c r="K979" s="12">
        <v>1372.94</v>
      </c>
      <c r="L979" s="12">
        <v>77.28</v>
      </c>
      <c r="M979" s="12">
        <v>-210.42</v>
      </c>
      <c r="N979" s="12">
        <v>0</v>
      </c>
      <c r="O979" s="12">
        <v>0</v>
      </c>
      <c r="P979" s="12">
        <v>-133.13999999999999</v>
      </c>
      <c r="Q979" s="12">
        <v>1239.8</v>
      </c>
    </row>
    <row r="980" spans="1:17" x14ac:dyDescent="0.3">
      <c r="A980" s="12" t="s">
        <v>91</v>
      </c>
      <c r="B980" s="12" t="s">
        <v>167</v>
      </c>
      <c r="C980" s="12" t="s">
        <v>123</v>
      </c>
      <c r="D980" s="12" t="s">
        <v>110</v>
      </c>
      <c r="E980" s="12" t="s">
        <v>8</v>
      </c>
      <c r="F980" s="12">
        <v>0</v>
      </c>
      <c r="G980" s="12">
        <v>0</v>
      </c>
      <c r="H980" s="12">
        <v>0</v>
      </c>
      <c r="I980" s="12">
        <v>0</v>
      </c>
      <c r="J980" s="12">
        <v>0</v>
      </c>
      <c r="K980" s="12">
        <v>0</v>
      </c>
      <c r="L980" s="12">
        <v>1326.633</v>
      </c>
      <c r="M980" s="12">
        <v>0</v>
      </c>
      <c r="N980" s="12">
        <v>0</v>
      </c>
      <c r="O980" s="12">
        <v>0</v>
      </c>
      <c r="P980" s="12">
        <v>1326.633</v>
      </c>
      <c r="Q980" s="12">
        <v>1326.633</v>
      </c>
    </row>
    <row r="981" spans="1:17" x14ac:dyDescent="0.3">
      <c r="A981" s="12" t="s">
        <v>91</v>
      </c>
      <c r="B981" s="12" t="s">
        <v>167</v>
      </c>
      <c r="C981" s="12" t="s">
        <v>123</v>
      </c>
      <c r="D981" s="12" t="s">
        <v>110</v>
      </c>
      <c r="E981" s="12" t="s">
        <v>3</v>
      </c>
      <c r="F981" s="12">
        <v>0</v>
      </c>
      <c r="G981" s="12">
        <v>0</v>
      </c>
      <c r="H981" s="12">
        <v>0</v>
      </c>
      <c r="I981" s="12">
        <v>0</v>
      </c>
      <c r="J981" s="12">
        <v>0</v>
      </c>
      <c r="K981" s="12">
        <v>0</v>
      </c>
      <c r="L981" s="12">
        <v>1752.5</v>
      </c>
      <c r="M981" s="12">
        <v>0</v>
      </c>
      <c r="N981" s="12">
        <v>0</v>
      </c>
      <c r="O981" s="12">
        <v>0</v>
      </c>
      <c r="P981" s="12">
        <v>1752.5</v>
      </c>
      <c r="Q981" s="12">
        <v>1752.5</v>
      </c>
    </row>
    <row r="982" spans="1:17" x14ac:dyDescent="0.3">
      <c r="A982" s="12" t="s">
        <v>91</v>
      </c>
      <c r="B982" s="12" t="s">
        <v>167</v>
      </c>
      <c r="C982" s="12" t="s">
        <v>123</v>
      </c>
      <c r="D982" s="12" t="s">
        <v>110</v>
      </c>
      <c r="E982" s="12" t="s">
        <v>46</v>
      </c>
      <c r="F982" s="12">
        <v>0</v>
      </c>
      <c r="G982" s="12">
        <v>0</v>
      </c>
      <c r="H982" s="12">
        <v>0</v>
      </c>
      <c r="I982" s="12">
        <v>0</v>
      </c>
      <c r="J982" s="12">
        <v>0</v>
      </c>
      <c r="K982" s="12">
        <v>0</v>
      </c>
      <c r="L982" s="12">
        <v>268.39999999999998</v>
      </c>
      <c r="M982" s="12">
        <v>0</v>
      </c>
      <c r="N982" s="12">
        <v>0</v>
      </c>
      <c r="O982" s="12">
        <v>0</v>
      </c>
      <c r="P982" s="12">
        <v>268.39999999999998</v>
      </c>
      <c r="Q982" s="12">
        <v>268.39999999999998</v>
      </c>
    </row>
    <row r="983" spans="1:17" x14ac:dyDescent="0.3">
      <c r="A983" s="12" t="s">
        <v>91</v>
      </c>
      <c r="B983" s="12" t="s">
        <v>167</v>
      </c>
      <c r="C983" s="12" t="s">
        <v>123</v>
      </c>
      <c r="D983" s="12" t="s">
        <v>110</v>
      </c>
      <c r="E983" s="12" t="s">
        <v>11</v>
      </c>
      <c r="F983" s="12">
        <v>0</v>
      </c>
      <c r="G983" s="12">
        <v>830.43090909</v>
      </c>
      <c r="H983" s="12">
        <v>0</v>
      </c>
      <c r="I983" s="12">
        <v>0</v>
      </c>
      <c r="J983" s="12">
        <v>0</v>
      </c>
      <c r="K983" s="12">
        <v>830.43090909</v>
      </c>
      <c r="L983" s="12">
        <v>447.209091</v>
      </c>
      <c r="M983" s="12">
        <v>-99.65</v>
      </c>
      <c r="N983" s="12">
        <v>0</v>
      </c>
      <c r="O983" s="12">
        <v>0</v>
      </c>
      <c r="P983" s="12">
        <v>347.55909100000002</v>
      </c>
      <c r="Q983" s="12">
        <v>1177.99000009</v>
      </c>
    </row>
    <row r="984" spans="1:17" x14ac:dyDescent="0.3">
      <c r="A984" s="12" t="s">
        <v>91</v>
      </c>
      <c r="B984" s="12" t="s">
        <v>167</v>
      </c>
      <c r="C984" s="12" t="s">
        <v>123</v>
      </c>
      <c r="D984" s="12" t="s">
        <v>110</v>
      </c>
      <c r="E984" s="12" t="s">
        <v>47</v>
      </c>
      <c r="F984" s="12">
        <v>0</v>
      </c>
      <c r="G984" s="12">
        <v>0</v>
      </c>
      <c r="H984" s="12">
        <v>0</v>
      </c>
      <c r="I984" s="12">
        <v>0</v>
      </c>
      <c r="J984" s="12">
        <v>0</v>
      </c>
      <c r="K984" s="12">
        <v>0</v>
      </c>
      <c r="L984" s="12">
        <v>172.3</v>
      </c>
      <c r="M984" s="12">
        <v>0</v>
      </c>
      <c r="N984" s="12">
        <v>0</v>
      </c>
      <c r="O984" s="12">
        <v>0</v>
      </c>
      <c r="P984" s="12">
        <v>172.3</v>
      </c>
      <c r="Q984" s="12">
        <v>172.3</v>
      </c>
    </row>
    <row r="985" spans="1:17" x14ac:dyDescent="0.3">
      <c r="A985" s="12" t="s">
        <v>91</v>
      </c>
      <c r="B985" s="12" t="s">
        <v>167</v>
      </c>
      <c r="C985" s="12" t="s">
        <v>123</v>
      </c>
      <c r="D985" s="12" t="s">
        <v>110</v>
      </c>
      <c r="E985" s="12" t="s">
        <v>13</v>
      </c>
      <c r="F985" s="12">
        <v>0</v>
      </c>
      <c r="G985" s="12">
        <v>0.75</v>
      </c>
      <c r="H985" s="12">
        <v>-0.55000000000000004</v>
      </c>
      <c r="I985" s="12">
        <v>0</v>
      </c>
      <c r="J985" s="12">
        <v>0</v>
      </c>
      <c r="K985" s="12">
        <v>0.2</v>
      </c>
      <c r="L985" s="12">
        <v>0</v>
      </c>
      <c r="M985" s="12">
        <v>0</v>
      </c>
      <c r="N985" s="12">
        <v>0</v>
      </c>
      <c r="O985" s="12">
        <v>0</v>
      </c>
      <c r="P985" s="12">
        <v>0</v>
      </c>
      <c r="Q985" s="12">
        <v>0.2</v>
      </c>
    </row>
    <row r="986" spans="1:17" x14ac:dyDescent="0.3">
      <c r="A986" s="12" t="s">
        <v>91</v>
      </c>
      <c r="B986" s="12" t="s">
        <v>167</v>
      </c>
      <c r="C986" s="12" t="s">
        <v>123</v>
      </c>
      <c r="D986" s="12" t="s">
        <v>110</v>
      </c>
      <c r="E986" s="12" t="s">
        <v>18</v>
      </c>
      <c r="F986" s="12">
        <v>0</v>
      </c>
      <c r="G986" s="12">
        <v>0</v>
      </c>
      <c r="H986" s="12">
        <v>0</v>
      </c>
      <c r="I986" s="12">
        <v>0</v>
      </c>
      <c r="J986" s="12">
        <v>0</v>
      </c>
      <c r="K986" s="12">
        <v>0</v>
      </c>
      <c r="L986" s="12">
        <v>350.94</v>
      </c>
      <c r="M986" s="12">
        <v>0</v>
      </c>
      <c r="N986" s="12">
        <v>0</v>
      </c>
      <c r="O986" s="12">
        <v>0</v>
      </c>
      <c r="P986" s="12">
        <v>350.94</v>
      </c>
      <c r="Q986" s="12">
        <v>350.94</v>
      </c>
    </row>
    <row r="987" spans="1:17" x14ac:dyDescent="0.3">
      <c r="A987" s="12" t="s">
        <v>91</v>
      </c>
      <c r="B987" s="12" t="s">
        <v>167</v>
      </c>
      <c r="C987" s="12" t="s">
        <v>123</v>
      </c>
      <c r="D987" s="12" t="s">
        <v>110</v>
      </c>
      <c r="E987" s="12" t="s">
        <v>48</v>
      </c>
      <c r="F987" s="12">
        <v>0</v>
      </c>
      <c r="G987" s="12">
        <v>0</v>
      </c>
      <c r="H987" s="12">
        <v>0</v>
      </c>
      <c r="I987" s="12">
        <v>0</v>
      </c>
      <c r="J987" s="12">
        <v>0</v>
      </c>
      <c r="K987" s="12">
        <v>0</v>
      </c>
      <c r="L987" s="12">
        <v>371.7</v>
      </c>
      <c r="M987" s="12">
        <v>0</v>
      </c>
      <c r="N987" s="12">
        <v>0</v>
      </c>
      <c r="O987" s="12">
        <v>0</v>
      </c>
      <c r="P987" s="12">
        <v>371.7</v>
      </c>
      <c r="Q987" s="12">
        <v>371.7</v>
      </c>
    </row>
    <row r="988" spans="1:17" x14ac:dyDescent="0.3">
      <c r="A988" s="12" t="s">
        <v>91</v>
      </c>
      <c r="B988" s="12" t="s">
        <v>167</v>
      </c>
      <c r="C988" s="12" t="s">
        <v>123</v>
      </c>
      <c r="D988" s="12" t="s">
        <v>110</v>
      </c>
      <c r="E988" s="12" t="s">
        <v>19</v>
      </c>
      <c r="F988" s="12">
        <v>0</v>
      </c>
      <c r="G988" s="12">
        <v>321.64626168000001</v>
      </c>
      <c r="H988" s="12">
        <v>0</v>
      </c>
      <c r="I988" s="12">
        <v>0</v>
      </c>
      <c r="J988" s="12">
        <v>0</v>
      </c>
      <c r="K988" s="12">
        <v>321.64626168000001</v>
      </c>
      <c r="L988" s="12">
        <v>971.52373799999998</v>
      </c>
      <c r="M988" s="12">
        <v>0</v>
      </c>
      <c r="N988" s="12">
        <v>0</v>
      </c>
      <c r="O988" s="12">
        <v>0</v>
      </c>
      <c r="P988" s="12">
        <v>971.52373799999998</v>
      </c>
      <c r="Q988" s="12">
        <v>1293.16999968</v>
      </c>
    </row>
    <row r="989" spans="1:17" x14ac:dyDescent="0.3">
      <c r="A989" s="12" t="s">
        <v>91</v>
      </c>
      <c r="B989" s="12" t="s">
        <v>167</v>
      </c>
      <c r="C989" s="12" t="s">
        <v>123</v>
      </c>
      <c r="D989" s="12" t="s">
        <v>110</v>
      </c>
      <c r="E989" s="12" t="s">
        <v>20</v>
      </c>
      <c r="F989" s="12">
        <v>0</v>
      </c>
      <c r="G989" s="12">
        <v>0</v>
      </c>
      <c r="H989" s="12">
        <v>0</v>
      </c>
      <c r="I989" s="12">
        <v>0</v>
      </c>
      <c r="J989" s="12">
        <v>0</v>
      </c>
      <c r="K989" s="12">
        <v>0</v>
      </c>
      <c r="L989" s="12">
        <v>489.63</v>
      </c>
      <c r="M989" s="12">
        <v>0</v>
      </c>
      <c r="N989" s="12">
        <v>0</v>
      </c>
      <c r="O989" s="12">
        <v>0</v>
      </c>
      <c r="P989" s="12">
        <v>489.63</v>
      </c>
      <c r="Q989" s="12">
        <v>489.63</v>
      </c>
    </row>
    <row r="990" spans="1:17" x14ac:dyDescent="0.3">
      <c r="A990" s="12" t="s">
        <v>91</v>
      </c>
      <c r="B990" s="12" t="s">
        <v>167</v>
      </c>
      <c r="C990" s="12" t="s">
        <v>123</v>
      </c>
      <c r="D990" s="12" t="s">
        <v>110</v>
      </c>
      <c r="E990" s="12" t="s">
        <v>22</v>
      </c>
      <c r="F990" s="12">
        <v>0</v>
      </c>
      <c r="G990" s="12">
        <v>0</v>
      </c>
      <c r="H990" s="12">
        <v>0</v>
      </c>
      <c r="I990" s="12">
        <v>0</v>
      </c>
      <c r="J990" s="12">
        <v>0</v>
      </c>
      <c r="K990" s="12">
        <v>0</v>
      </c>
      <c r="L990" s="12">
        <v>644.66099999999994</v>
      </c>
      <c r="M990" s="12">
        <v>0</v>
      </c>
      <c r="N990" s="12">
        <v>0</v>
      </c>
      <c r="O990" s="12">
        <v>0</v>
      </c>
      <c r="P990" s="12">
        <v>644.66099999999994</v>
      </c>
      <c r="Q990" s="12">
        <v>644.66099999999994</v>
      </c>
    </row>
    <row r="991" spans="1:17" x14ac:dyDescent="0.3">
      <c r="A991" s="12" t="s">
        <v>91</v>
      </c>
      <c r="B991" s="12" t="s">
        <v>167</v>
      </c>
      <c r="C991" s="12" t="s">
        <v>123</v>
      </c>
      <c r="D991" s="12" t="s">
        <v>110</v>
      </c>
      <c r="E991" s="12" t="s">
        <v>37</v>
      </c>
      <c r="F991" s="12">
        <v>0</v>
      </c>
      <c r="G991" s="12">
        <v>0</v>
      </c>
      <c r="H991" s="12">
        <v>0</v>
      </c>
      <c r="I991" s="12">
        <v>0</v>
      </c>
      <c r="J991" s="12">
        <v>0</v>
      </c>
      <c r="K991" s="12">
        <v>0</v>
      </c>
      <c r="L991" s="12">
        <v>122.3</v>
      </c>
      <c r="M991" s="12">
        <v>0</v>
      </c>
      <c r="N991" s="12">
        <v>0</v>
      </c>
      <c r="O991" s="12">
        <v>0</v>
      </c>
      <c r="P991" s="12">
        <v>122.3</v>
      </c>
      <c r="Q991" s="12">
        <v>122.3</v>
      </c>
    </row>
    <row r="992" spans="1:17" x14ac:dyDescent="0.3">
      <c r="A992" s="12" t="s">
        <v>91</v>
      </c>
      <c r="B992" s="12" t="s">
        <v>167</v>
      </c>
      <c r="C992" s="12" t="s">
        <v>123</v>
      </c>
      <c r="D992" s="12" t="s">
        <v>110</v>
      </c>
      <c r="E992" s="12" t="s">
        <v>24</v>
      </c>
      <c r="F992" s="12">
        <v>0</v>
      </c>
      <c r="G992" s="12">
        <v>0</v>
      </c>
      <c r="H992" s="12">
        <v>0</v>
      </c>
      <c r="I992" s="12">
        <v>0</v>
      </c>
      <c r="J992" s="12">
        <v>0</v>
      </c>
      <c r="K992" s="12">
        <v>0</v>
      </c>
      <c r="L992" s="12">
        <v>714.21249999999998</v>
      </c>
      <c r="M992" s="12">
        <v>0</v>
      </c>
      <c r="N992" s="12">
        <v>0</v>
      </c>
      <c r="O992" s="12">
        <v>0</v>
      </c>
      <c r="P992" s="12">
        <v>714.21249999999998</v>
      </c>
      <c r="Q992" s="12">
        <v>714.21249999999998</v>
      </c>
    </row>
    <row r="993" spans="1:17" x14ac:dyDescent="0.3">
      <c r="A993" s="12" t="s">
        <v>91</v>
      </c>
      <c r="B993" s="12" t="s">
        <v>167</v>
      </c>
      <c r="C993" s="12" t="s">
        <v>123</v>
      </c>
      <c r="D993" s="12" t="s">
        <v>110</v>
      </c>
      <c r="E993" s="12" t="s">
        <v>49</v>
      </c>
      <c r="F993" s="12">
        <v>0</v>
      </c>
      <c r="G993" s="12">
        <v>0</v>
      </c>
      <c r="H993" s="12">
        <v>0</v>
      </c>
      <c r="I993" s="12">
        <v>0</v>
      </c>
      <c r="J993" s="12">
        <v>0</v>
      </c>
      <c r="K993" s="12">
        <v>0</v>
      </c>
      <c r="L993" s="12">
        <v>0</v>
      </c>
      <c r="M993" s="12">
        <v>-33.4</v>
      </c>
      <c r="N993" s="12">
        <v>0</v>
      </c>
      <c r="O993" s="12">
        <v>0</v>
      </c>
      <c r="P993" s="12">
        <v>-33.4</v>
      </c>
      <c r="Q993" s="12">
        <v>-33.4</v>
      </c>
    </row>
    <row r="994" spans="1:17" x14ac:dyDescent="0.3">
      <c r="A994" s="12" t="s">
        <v>91</v>
      </c>
      <c r="B994" s="12" t="s">
        <v>167</v>
      </c>
      <c r="C994" s="12" t="s">
        <v>123</v>
      </c>
      <c r="D994" s="12" t="s">
        <v>110</v>
      </c>
      <c r="E994" s="12" t="s">
        <v>25</v>
      </c>
      <c r="F994" s="12">
        <v>0</v>
      </c>
      <c r="G994" s="12">
        <v>28.14</v>
      </c>
      <c r="H994" s="12">
        <v>-201.8</v>
      </c>
      <c r="I994" s="12">
        <v>0</v>
      </c>
      <c r="J994" s="12">
        <v>0</v>
      </c>
      <c r="K994" s="12">
        <v>-173.66</v>
      </c>
      <c r="L994" s="12">
        <v>0</v>
      </c>
      <c r="M994" s="12">
        <v>0</v>
      </c>
      <c r="N994" s="12">
        <v>0</v>
      </c>
      <c r="O994" s="12">
        <v>0</v>
      </c>
      <c r="P994" s="12">
        <v>0</v>
      </c>
      <c r="Q994" s="12">
        <v>-173.66</v>
      </c>
    </row>
    <row r="995" spans="1:17" x14ac:dyDescent="0.3">
      <c r="A995" s="12" t="s">
        <v>91</v>
      </c>
      <c r="B995" s="12" t="s">
        <v>167</v>
      </c>
      <c r="C995" s="12" t="s">
        <v>123</v>
      </c>
      <c r="D995" s="12" t="s">
        <v>110</v>
      </c>
      <c r="E995" s="12" t="s">
        <v>26</v>
      </c>
      <c r="F995" s="12">
        <v>0</v>
      </c>
      <c r="G995" s="12">
        <v>0</v>
      </c>
      <c r="H995" s="12">
        <v>0</v>
      </c>
      <c r="I995" s="12">
        <v>0</v>
      </c>
      <c r="J995" s="12">
        <v>0</v>
      </c>
      <c r="K995" s="12">
        <v>0</v>
      </c>
      <c r="L995" s="12">
        <v>183.37777800000001</v>
      </c>
      <c r="M995" s="12">
        <v>0</v>
      </c>
      <c r="N995" s="12">
        <v>0</v>
      </c>
      <c r="O995" s="12">
        <v>0</v>
      </c>
      <c r="P995" s="12">
        <v>183.37777800000001</v>
      </c>
      <c r="Q995" s="12">
        <v>183.37777800000001</v>
      </c>
    </row>
    <row r="996" spans="1:17" x14ac:dyDescent="0.3">
      <c r="A996" s="12" t="s">
        <v>91</v>
      </c>
      <c r="B996" s="12" t="s">
        <v>167</v>
      </c>
      <c r="C996" s="12" t="s">
        <v>123</v>
      </c>
      <c r="D996" s="12" t="s">
        <v>110</v>
      </c>
      <c r="E996" s="12" t="s">
        <v>27</v>
      </c>
      <c r="F996" s="12">
        <v>0</v>
      </c>
      <c r="G996" s="12">
        <v>0</v>
      </c>
      <c r="H996" s="12">
        <v>0</v>
      </c>
      <c r="I996" s="12">
        <v>0</v>
      </c>
      <c r="J996" s="12">
        <v>0</v>
      </c>
      <c r="K996" s="12">
        <v>0</v>
      </c>
      <c r="L996" s="12">
        <v>1574.9590479999999</v>
      </c>
      <c r="M996" s="12">
        <v>0</v>
      </c>
      <c r="N996" s="12">
        <v>0</v>
      </c>
      <c r="O996" s="12">
        <v>0</v>
      </c>
      <c r="P996" s="12">
        <v>1574.9590479999999</v>
      </c>
      <c r="Q996" s="12">
        <v>1574.9590479999999</v>
      </c>
    </row>
    <row r="997" spans="1:17" x14ac:dyDescent="0.3">
      <c r="A997" s="12" t="s">
        <v>91</v>
      </c>
      <c r="B997" s="12" t="s">
        <v>167</v>
      </c>
      <c r="C997" s="12" t="s">
        <v>123</v>
      </c>
      <c r="D997" s="12" t="s">
        <v>110</v>
      </c>
      <c r="E997" s="12" t="s">
        <v>28</v>
      </c>
      <c r="F997" s="12">
        <v>0</v>
      </c>
      <c r="G997" s="12">
        <v>768.25204082000005</v>
      </c>
      <c r="H997" s="12">
        <v>0</v>
      </c>
      <c r="I997" s="12">
        <v>0</v>
      </c>
      <c r="J997" s="12">
        <v>0</v>
      </c>
      <c r="K997" s="12">
        <v>768.25204082000005</v>
      </c>
      <c r="L997" s="12">
        <v>1810.6179589999999</v>
      </c>
      <c r="M997" s="12">
        <v>0</v>
      </c>
      <c r="N997" s="12">
        <v>0</v>
      </c>
      <c r="O997" s="12">
        <v>0</v>
      </c>
      <c r="P997" s="12">
        <v>1810.6179589999999</v>
      </c>
      <c r="Q997" s="12">
        <v>2578.86999982</v>
      </c>
    </row>
    <row r="998" spans="1:17" x14ac:dyDescent="0.3">
      <c r="A998" s="12" t="s">
        <v>91</v>
      </c>
      <c r="B998" s="12" t="s">
        <v>167</v>
      </c>
      <c r="C998" s="12" t="s">
        <v>123</v>
      </c>
      <c r="D998" s="12" t="s">
        <v>110</v>
      </c>
      <c r="E998" s="12" t="s">
        <v>50</v>
      </c>
      <c r="F998" s="12">
        <v>0</v>
      </c>
      <c r="G998" s="12">
        <v>0</v>
      </c>
      <c r="H998" s="12">
        <v>0</v>
      </c>
      <c r="I998" s="12">
        <v>0</v>
      </c>
      <c r="J998" s="12">
        <v>0</v>
      </c>
      <c r="K998" s="12">
        <v>0</v>
      </c>
      <c r="L998" s="12">
        <v>109.7</v>
      </c>
      <c r="M998" s="12">
        <v>0</v>
      </c>
      <c r="N998" s="12">
        <v>0</v>
      </c>
      <c r="O998" s="12">
        <v>0</v>
      </c>
      <c r="P998" s="12">
        <v>109.7</v>
      </c>
      <c r="Q998" s="12">
        <v>109.7</v>
      </c>
    </row>
    <row r="999" spans="1:17" x14ac:dyDescent="0.3">
      <c r="A999" s="12" t="s">
        <v>91</v>
      </c>
      <c r="B999" s="12" t="s">
        <v>167</v>
      </c>
      <c r="C999" s="12" t="s">
        <v>123</v>
      </c>
      <c r="D999" s="12" t="s">
        <v>110</v>
      </c>
      <c r="E999" s="12" t="s">
        <v>29</v>
      </c>
      <c r="F999" s="12">
        <v>0</v>
      </c>
      <c r="G999" s="12">
        <v>393</v>
      </c>
      <c r="H999" s="12">
        <v>0</v>
      </c>
      <c r="I999" s="12">
        <v>0</v>
      </c>
      <c r="J999" s="12">
        <v>0</v>
      </c>
      <c r="K999" s="12">
        <v>393</v>
      </c>
      <c r="L999" s="12">
        <v>12.35</v>
      </c>
      <c r="M999" s="12">
        <v>0</v>
      </c>
      <c r="N999" s="12">
        <v>0</v>
      </c>
      <c r="O999" s="12">
        <v>0</v>
      </c>
      <c r="P999" s="12">
        <v>12.35</v>
      </c>
      <c r="Q999" s="12">
        <v>405.35</v>
      </c>
    </row>
    <row r="1000" spans="1:17" x14ac:dyDescent="0.3">
      <c r="A1000" s="12" t="s">
        <v>91</v>
      </c>
      <c r="B1000" s="12" t="s">
        <v>167</v>
      </c>
      <c r="C1000" s="12" t="s">
        <v>123</v>
      </c>
      <c r="D1000" s="12" t="s">
        <v>110</v>
      </c>
      <c r="E1000" s="12" t="s">
        <v>39</v>
      </c>
      <c r="F1000" s="12">
        <v>0</v>
      </c>
      <c r="G1000" s="12">
        <v>0</v>
      </c>
      <c r="H1000" s="12">
        <v>0</v>
      </c>
      <c r="I1000" s="12">
        <v>0</v>
      </c>
      <c r="J1000" s="12">
        <v>0</v>
      </c>
      <c r="K1000" s="12">
        <v>0</v>
      </c>
      <c r="L1000" s="12">
        <v>585</v>
      </c>
      <c r="M1000" s="12">
        <v>0</v>
      </c>
      <c r="N1000" s="12">
        <v>0</v>
      </c>
      <c r="O1000" s="12">
        <v>0</v>
      </c>
      <c r="P1000" s="12">
        <v>585</v>
      </c>
      <c r="Q1000" s="12">
        <v>585</v>
      </c>
    </row>
    <row r="1001" spans="1:17" x14ac:dyDescent="0.3">
      <c r="A1001" s="12" t="s">
        <v>91</v>
      </c>
      <c r="B1001" s="12" t="s">
        <v>167</v>
      </c>
      <c r="C1001" s="12" t="s">
        <v>123</v>
      </c>
      <c r="D1001" s="12" t="s">
        <v>110</v>
      </c>
      <c r="E1001" s="12" t="s">
        <v>30</v>
      </c>
      <c r="F1001" s="12">
        <v>0</v>
      </c>
      <c r="G1001" s="12">
        <v>182.01</v>
      </c>
      <c r="H1001" s="12">
        <v>0</v>
      </c>
      <c r="I1001" s="12">
        <v>0</v>
      </c>
      <c r="J1001" s="12">
        <v>0</v>
      </c>
      <c r="K1001" s="12">
        <v>182.01</v>
      </c>
      <c r="L1001" s="12">
        <v>191.75</v>
      </c>
      <c r="M1001" s="12">
        <v>0</v>
      </c>
      <c r="N1001" s="12">
        <v>0</v>
      </c>
      <c r="O1001" s="12">
        <v>0</v>
      </c>
      <c r="P1001" s="12">
        <v>191.75</v>
      </c>
      <c r="Q1001" s="12">
        <v>373.76</v>
      </c>
    </row>
    <row r="1002" spans="1:17" x14ac:dyDescent="0.3">
      <c r="A1002" s="12" t="s">
        <v>91</v>
      </c>
      <c r="B1002" s="12" t="s">
        <v>167</v>
      </c>
      <c r="C1002" s="12" t="s">
        <v>123</v>
      </c>
      <c r="D1002" s="12" t="s">
        <v>110</v>
      </c>
      <c r="E1002" s="12" t="s">
        <v>51</v>
      </c>
      <c r="F1002" s="12">
        <v>0</v>
      </c>
      <c r="G1002" s="12">
        <v>0</v>
      </c>
      <c r="H1002" s="12">
        <v>-285.07</v>
      </c>
      <c r="I1002" s="12">
        <v>0</v>
      </c>
      <c r="J1002" s="12">
        <v>0</v>
      </c>
      <c r="K1002" s="12">
        <v>-285.07</v>
      </c>
      <c r="L1002" s="12">
        <v>0</v>
      </c>
      <c r="M1002" s="12">
        <v>-13.39</v>
      </c>
      <c r="N1002" s="12">
        <v>0</v>
      </c>
      <c r="O1002" s="12">
        <v>0</v>
      </c>
      <c r="P1002" s="12">
        <v>-13.39</v>
      </c>
      <c r="Q1002" s="12">
        <v>-298.45999999999998</v>
      </c>
    </row>
    <row r="1003" spans="1:17" x14ac:dyDescent="0.3">
      <c r="A1003" s="12" t="s">
        <v>91</v>
      </c>
      <c r="B1003" s="12" t="s">
        <v>167</v>
      </c>
      <c r="C1003" s="12" t="s">
        <v>123</v>
      </c>
      <c r="D1003" s="12" t="s">
        <v>110</v>
      </c>
      <c r="E1003" s="12" t="s">
        <v>31</v>
      </c>
      <c r="F1003" s="12">
        <v>0</v>
      </c>
      <c r="G1003" s="12">
        <v>0</v>
      </c>
      <c r="H1003" s="12">
        <v>-105.87</v>
      </c>
      <c r="I1003" s="12">
        <v>0</v>
      </c>
      <c r="J1003" s="12">
        <v>0</v>
      </c>
      <c r="K1003" s="12">
        <v>-105.87</v>
      </c>
      <c r="L1003" s="12">
        <v>0</v>
      </c>
      <c r="M1003" s="12">
        <v>0</v>
      </c>
      <c r="N1003" s="12">
        <v>0</v>
      </c>
      <c r="O1003" s="12">
        <v>0</v>
      </c>
      <c r="P1003" s="12">
        <v>0</v>
      </c>
      <c r="Q1003" s="12">
        <v>-105.87</v>
      </c>
    </row>
    <row r="1004" spans="1:17" x14ac:dyDescent="0.3">
      <c r="A1004" s="12" t="s">
        <v>91</v>
      </c>
      <c r="B1004" s="12" t="s">
        <v>167</v>
      </c>
      <c r="C1004" s="12" t="s">
        <v>123</v>
      </c>
      <c r="D1004" s="12" t="s">
        <v>110</v>
      </c>
      <c r="E1004" s="12" t="s">
        <v>32</v>
      </c>
      <c r="F1004" s="12">
        <v>0</v>
      </c>
      <c r="G1004" s="12">
        <v>0</v>
      </c>
      <c r="H1004" s="12">
        <v>0</v>
      </c>
      <c r="I1004" s="12">
        <v>0</v>
      </c>
      <c r="J1004" s="12">
        <v>0</v>
      </c>
      <c r="K1004" s="12">
        <v>0</v>
      </c>
      <c r="L1004" s="12">
        <v>842.691509</v>
      </c>
      <c r="M1004" s="12">
        <v>0</v>
      </c>
      <c r="N1004" s="12">
        <v>0</v>
      </c>
      <c r="O1004" s="12">
        <v>0</v>
      </c>
      <c r="P1004" s="12">
        <v>842.691509</v>
      </c>
      <c r="Q1004" s="12">
        <v>842.691509</v>
      </c>
    </row>
    <row r="1005" spans="1:17" x14ac:dyDescent="0.3">
      <c r="A1005" s="12" t="s">
        <v>91</v>
      </c>
      <c r="B1005" s="12" t="s">
        <v>167</v>
      </c>
      <c r="C1005" s="12" t="s">
        <v>123</v>
      </c>
      <c r="D1005" s="12" t="s">
        <v>110</v>
      </c>
      <c r="E1005" s="12" t="s">
        <v>40</v>
      </c>
      <c r="F1005" s="12">
        <v>0</v>
      </c>
      <c r="G1005" s="12">
        <v>0</v>
      </c>
      <c r="H1005" s="12">
        <v>0</v>
      </c>
      <c r="I1005" s="12">
        <v>0</v>
      </c>
      <c r="J1005" s="12">
        <v>0</v>
      </c>
      <c r="K1005" s="12">
        <v>0</v>
      </c>
      <c r="L1005" s="12">
        <v>0</v>
      </c>
      <c r="M1005" s="12">
        <v>-17.350000000000001</v>
      </c>
      <c r="N1005" s="12">
        <v>0</v>
      </c>
      <c r="O1005" s="12">
        <v>0</v>
      </c>
      <c r="P1005" s="12">
        <v>-17.350000000000001</v>
      </c>
      <c r="Q1005" s="12">
        <v>-17.350000000000001</v>
      </c>
    </row>
    <row r="1006" spans="1:17" x14ac:dyDescent="0.3">
      <c r="A1006" s="12" t="s">
        <v>91</v>
      </c>
      <c r="B1006" s="12" t="s">
        <v>167</v>
      </c>
      <c r="C1006" s="12" t="s">
        <v>123</v>
      </c>
      <c r="D1006" s="12" t="s">
        <v>110</v>
      </c>
      <c r="E1006" s="12" t="s">
        <v>34</v>
      </c>
      <c r="F1006" s="12">
        <v>0</v>
      </c>
      <c r="G1006" s="12">
        <v>0</v>
      </c>
      <c r="H1006" s="12">
        <v>0</v>
      </c>
      <c r="I1006" s="12">
        <v>0</v>
      </c>
      <c r="J1006" s="12">
        <v>0</v>
      </c>
      <c r="K1006" s="12">
        <v>0</v>
      </c>
      <c r="L1006" s="12">
        <v>54.08</v>
      </c>
      <c r="M1006" s="12">
        <v>-15.78</v>
      </c>
      <c r="N1006" s="12">
        <v>0</v>
      </c>
      <c r="O1006" s="12">
        <v>0</v>
      </c>
      <c r="P1006" s="12">
        <v>38.299999999999997</v>
      </c>
      <c r="Q1006" s="12">
        <v>38.299999999999997</v>
      </c>
    </row>
    <row r="1007" spans="1:17" x14ac:dyDescent="0.3">
      <c r="A1007" s="12" t="s">
        <v>91</v>
      </c>
      <c r="B1007" s="12" t="s">
        <v>167</v>
      </c>
      <c r="C1007" s="12" t="s">
        <v>123</v>
      </c>
      <c r="D1007" s="12" t="s">
        <v>110</v>
      </c>
      <c r="E1007" s="12" t="s">
        <v>41</v>
      </c>
      <c r="F1007" s="12">
        <v>0</v>
      </c>
      <c r="G1007" s="12">
        <v>0</v>
      </c>
      <c r="H1007" s="12">
        <v>0</v>
      </c>
      <c r="I1007" s="12">
        <v>0</v>
      </c>
      <c r="J1007" s="12">
        <v>0</v>
      </c>
      <c r="K1007" s="12">
        <v>0</v>
      </c>
      <c r="L1007" s="12">
        <v>1141.8</v>
      </c>
      <c r="M1007" s="12">
        <v>0</v>
      </c>
      <c r="N1007" s="12">
        <v>0</v>
      </c>
      <c r="O1007" s="12">
        <v>0</v>
      </c>
      <c r="P1007" s="12">
        <v>1141.8</v>
      </c>
      <c r="Q1007" s="12">
        <v>1141.8</v>
      </c>
    </row>
    <row r="1008" spans="1:17" x14ac:dyDescent="0.3">
      <c r="A1008" s="12" t="s">
        <v>91</v>
      </c>
      <c r="B1008" s="12" t="s">
        <v>167</v>
      </c>
      <c r="C1008" s="12" t="s">
        <v>123</v>
      </c>
      <c r="D1008" s="12" t="s">
        <v>110</v>
      </c>
      <c r="E1008" s="12" t="s">
        <v>42</v>
      </c>
      <c r="F1008" s="12">
        <v>0</v>
      </c>
      <c r="G1008" s="12">
        <v>0</v>
      </c>
      <c r="H1008" s="12">
        <v>0</v>
      </c>
      <c r="I1008" s="12">
        <v>0</v>
      </c>
      <c r="J1008" s="12">
        <v>0</v>
      </c>
      <c r="K1008" s="12">
        <v>0</v>
      </c>
      <c r="L1008" s="12">
        <v>384.2</v>
      </c>
      <c r="M1008" s="12">
        <v>0</v>
      </c>
      <c r="N1008" s="12">
        <v>0</v>
      </c>
      <c r="O1008" s="12">
        <v>0</v>
      </c>
      <c r="P1008" s="12">
        <v>384.2</v>
      </c>
      <c r="Q1008" s="12">
        <v>384.2</v>
      </c>
    </row>
    <row r="1009" spans="1:17" x14ac:dyDescent="0.3">
      <c r="A1009" s="12" t="s">
        <v>91</v>
      </c>
      <c r="B1009" s="12" t="s">
        <v>167</v>
      </c>
      <c r="C1009" s="12" t="s">
        <v>123</v>
      </c>
      <c r="D1009" s="12" t="s">
        <v>110</v>
      </c>
      <c r="E1009" s="12" t="s">
        <v>43</v>
      </c>
      <c r="F1009" s="12">
        <v>0</v>
      </c>
      <c r="G1009" s="12">
        <v>0</v>
      </c>
      <c r="H1009" s="12">
        <v>0</v>
      </c>
      <c r="I1009" s="12">
        <v>0</v>
      </c>
      <c r="J1009" s="12">
        <v>0</v>
      </c>
      <c r="K1009" s="12">
        <v>0</v>
      </c>
      <c r="L1009" s="12">
        <v>362.7</v>
      </c>
      <c r="M1009" s="12">
        <v>0</v>
      </c>
      <c r="N1009" s="12">
        <v>0</v>
      </c>
      <c r="O1009" s="12">
        <v>0</v>
      </c>
      <c r="P1009" s="12">
        <v>362.7</v>
      </c>
      <c r="Q1009" s="12">
        <v>362.7</v>
      </c>
    </row>
    <row r="1010" spans="1:17" x14ac:dyDescent="0.3">
      <c r="A1010" s="12" t="s">
        <v>91</v>
      </c>
      <c r="B1010" s="12" t="s">
        <v>167</v>
      </c>
      <c r="C1010" s="12" t="s">
        <v>123</v>
      </c>
      <c r="D1010" s="12" t="s">
        <v>110</v>
      </c>
      <c r="E1010" s="12" t="s">
        <v>44</v>
      </c>
      <c r="F1010" s="12">
        <v>0</v>
      </c>
      <c r="G1010" s="12">
        <v>0</v>
      </c>
      <c r="H1010" s="12">
        <v>0</v>
      </c>
      <c r="I1010" s="12">
        <v>0</v>
      </c>
      <c r="J1010" s="12">
        <v>0</v>
      </c>
      <c r="K1010" s="12">
        <v>0</v>
      </c>
      <c r="L1010" s="12">
        <v>77.3</v>
      </c>
      <c r="M1010" s="12">
        <v>0</v>
      </c>
      <c r="N1010" s="12">
        <v>0</v>
      </c>
      <c r="O1010" s="12">
        <v>0</v>
      </c>
      <c r="P1010" s="12">
        <v>77.3</v>
      </c>
      <c r="Q1010" s="12">
        <v>77.3</v>
      </c>
    </row>
    <row r="1011" spans="1:17" x14ac:dyDescent="0.3">
      <c r="A1011" s="12" t="s">
        <v>91</v>
      </c>
      <c r="B1011" s="12" t="s">
        <v>167</v>
      </c>
      <c r="C1011" s="12" t="s">
        <v>123</v>
      </c>
      <c r="D1011" s="12" t="s">
        <v>110</v>
      </c>
      <c r="E1011" s="12" t="s">
        <v>35</v>
      </c>
      <c r="F1011" s="12">
        <v>0</v>
      </c>
      <c r="G1011" s="12">
        <v>0</v>
      </c>
      <c r="H1011" s="12">
        <v>0</v>
      </c>
      <c r="I1011" s="12">
        <v>0</v>
      </c>
      <c r="J1011" s="12">
        <v>0</v>
      </c>
      <c r="K1011" s="12">
        <v>0</v>
      </c>
      <c r="L1011" s="12">
        <v>1371.7</v>
      </c>
      <c r="M1011" s="12">
        <v>0</v>
      </c>
      <c r="N1011" s="12">
        <v>0</v>
      </c>
      <c r="O1011" s="12">
        <v>0</v>
      </c>
      <c r="P1011" s="12">
        <v>1371.7</v>
      </c>
      <c r="Q1011" s="12">
        <v>1371.7</v>
      </c>
    </row>
    <row r="1012" spans="1:17" x14ac:dyDescent="0.3">
      <c r="A1012" s="12" t="s">
        <v>91</v>
      </c>
      <c r="B1012" s="12" t="s">
        <v>167</v>
      </c>
      <c r="C1012" s="12" t="s">
        <v>123</v>
      </c>
      <c r="D1012" s="12" t="s">
        <v>97</v>
      </c>
      <c r="F1012" s="12">
        <v>0</v>
      </c>
      <c r="G1012" s="12">
        <v>3897.16921159</v>
      </c>
      <c r="H1012" s="12">
        <v>-593.29</v>
      </c>
      <c r="I1012" s="12">
        <v>0</v>
      </c>
      <c r="J1012" s="12">
        <v>0</v>
      </c>
      <c r="K1012" s="12">
        <v>3303.8792115900001</v>
      </c>
      <c r="L1012" s="12">
        <v>19594.199655</v>
      </c>
      <c r="M1012" s="12">
        <v>-829.91</v>
      </c>
      <c r="N1012" s="12">
        <v>0</v>
      </c>
      <c r="O1012" s="12">
        <v>0</v>
      </c>
      <c r="P1012" s="12">
        <v>18764.289655</v>
      </c>
      <c r="Q1012" s="12">
        <v>22068.16886659</v>
      </c>
    </row>
    <row r="1013" spans="1:17" x14ac:dyDescent="0.3">
      <c r="A1013" s="12" t="s">
        <v>91</v>
      </c>
      <c r="B1013" s="12" t="s">
        <v>167</v>
      </c>
      <c r="C1013" s="12" t="s">
        <v>123</v>
      </c>
      <c r="D1013" s="12" t="s">
        <v>112</v>
      </c>
      <c r="E1013" s="12" t="s">
        <v>36</v>
      </c>
      <c r="F1013" s="12">
        <v>0</v>
      </c>
      <c r="G1013" s="12">
        <v>89</v>
      </c>
      <c r="H1013" s="12">
        <v>-12188.25</v>
      </c>
      <c r="I1013" s="12">
        <v>0</v>
      </c>
      <c r="J1013" s="12">
        <v>0</v>
      </c>
      <c r="K1013" s="12">
        <v>-12099.25</v>
      </c>
      <c r="L1013" s="12">
        <v>0</v>
      </c>
      <c r="M1013" s="12">
        <v>0</v>
      </c>
      <c r="N1013" s="12">
        <v>0</v>
      </c>
      <c r="O1013" s="12">
        <v>0</v>
      </c>
      <c r="P1013" s="12">
        <v>0</v>
      </c>
      <c r="Q1013" s="12">
        <v>-12099.25</v>
      </c>
    </row>
    <row r="1014" spans="1:17" x14ac:dyDescent="0.3">
      <c r="A1014" s="12" t="s">
        <v>91</v>
      </c>
      <c r="B1014" s="12" t="s">
        <v>167</v>
      </c>
      <c r="C1014" s="12" t="s">
        <v>123</v>
      </c>
      <c r="D1014" s="12" t="s">
        <v>112</v>
      </c>
      <c r="E1014" s="12" t="s">
        <v>52</v>
      </c>
      <c r="F1014" s="12">
        <v>0</v>
      </c>
      <c r="G1014" s="12">
        <v>0</v>
      </c>
      <c r="H1014" s="12">
        <v>0</v>
      </c>
      <c r="I1014" s="12">
        <v>0</v>
      </c>
      <c r="J1014" s="12">
        <v>0</v>
      </c>
      <c r="K1014" s="12">
        <v>0</v>
      </c>
      <c r="L1014" s="12">
        <v>0</v>
      </c>
      <c r="M1014" s="12">
        <v>-6114</v>
      </c>
      <c r="N1014" s="12">
        <v>0</v>
      </c>
      <c r="O1014" s="12">
        <v>0</v>
      </c>
      <c r="P1014" s="12">
        <v>-6114</v>
      </c>
      <c r="Q1014" s="12">
        <v>-6114</v>
      </c>
    </row>
    <row r="1015" spans="1:17" x14ac:dyDescent="0.3">
      <c r="A1015" s="12" t="s">
        <v>91</v>
      </c>
      <c r="B1015" s="12" t="s">
        <v>167</v>
      </c>
      <c r="C1015" s="12" t="s">
        <v>123</v>
      </c>
      <c r="D1015" s="12" t="s">
        <v>112</v>
      </c>
      <c r="E1015" s="12" t="s">
        <v>53</v>
      </c>
      <c r="F1015" s="12">
        <v>0</v>
      </c>
      <c r="G1015" s="12">
        <v>0</v>
      </c>
      <c r="H1015" s="12">
        <v>0</v>
      </c>
      <c r="I1015" s="12">
        <v>0</v>
      </c>
      <c r="J1015" s="12">
        <v>0</v>
      </c>
      <c r="K1015" s="12">
        <v>0</v>
      </c>
      <c r="L1015" s="12">
        <v>148.5</v>
      </c>
      <c r="M1015" s="12">
        <v>0</v>
      </c>
      <c r="N1015" s="12">
        <v>0</v>
      </c>
      <c r="O1015" s="12">
        <v>0</v>
      </c>
      <c r="P1015" s="12">
        <v>148.5</v>
      </c>
      <c r="Q1015" s="12">
        <v>148.5</v>
      </c>
    </row>
    <row r="1016" spans="1:17" x14ac:dyDescent="0.3">
      <c r="A1016" s="12" t="s">
        <v>91</v>
      </c>
      <c r="B1016" s="12" t="s">
        <v>167</v>
      </c>
      <c r="C1016" s="12" t="s">
        <v>123</v>
      </c>
      <c r="D1016" s="12" t="s">
        <v>97</v>
      </c>
      <c r="F1016" s="12">
        <v>0</v>
      </c>
      <c r="G1016" s="12">
        <v>89</v>
      </c>
      <c r="H1016" s="12">
        <v>-12188.25</v>
      </c>
      <c r="I1016" s="12">
        <v>0</v>
      </c>
      <c r="J1016" s="12">
        <v>0</v>
      </c>
      <c r="K1016" s="12">
        <v>-12099.25</v>
      </c>
      <c r="L1016" s="12">
        <v>148.5</v>
      </c>
      <c r="M1016" s="12">
        <v>-6114</v>
      </c>
      <c r="N1016" s="12">
        <v>0</v>
      </c>
      <c r="O1016" s="12">
        <v>0</v>
      </c>
      <c r="P1016" s="12">
        <v>-5965.5</v>
      </c>
      <c r="Q1016" s="12">
        <v>-18064.75</v>
      </c>
    </row>
    <row r="1017" spans="1:17" x14ac:dyDescent="0.3">
      <c r="A1017" s="12" t="s">
        <v>91</v>
      </c>
      <c r="B1017" s="12" t="s">
        <v>167</v>
      </c>
      <c r="C1017" s="12" t="s">
        <v>123</v>
      </c>
      <c r="D1017" s="12" t="s">
        <v>115</v>
      </c>
      <c r="F1017" s="12">
        <v>0</v>
      </c>
      <c r="G1017" s="12">
        <v>3986.16921159</v>
      </c>
      <c r="H1017" s="12">
        <v>-12781.54</v>
      </c>
      <c r="I1017" s="12">
        <v>0</v>
      </c>
      <c r="J1017" s="12">
        <v>0</v>
      </c>
      <c r="K1017" s="12">
        <v>-8795.3707884100004</v>
      </c>
      <c r="L1017" s="12">
        <v>19742.699655</v>
      </c>
      <c r="M1017" s="12">
        <v>-6943.91</v>
      </c>
      <c r="N1017" s="12">
        <v>0</v>
      </c>
      <c r="O1017" s="12">
        <v>0</v>
      </c>
      <c r="P1017" s="12">
        <v>12798.789655</v>
      </c>
      <c r="Q1017" s="12">
        <v>4003.4188665900001</v>
      </c>
    </row>
    <row r="1018" spans="1:17" x14ac:dyDescent="0.3">
      <c r="A1018" s="12" t="s">
        <v>91</v>
      </c>
      <c r="B1018" s="12" t="s">
        <v>179</v>
      </c>
      <c r="C1018" s="12" t="s">
        <v>120</v>
      </c>
      <c r="D1018" s="12" t="s">
        <v>180</v>
      </c>
      <c r="E1018" s="12" t="s">
        <v>181</v>
      </c>
      <c r="F1018" s="12" t="s">
        <v>97</v>
      </c>
      <c r="G1018" s="12" t="s">
        <v>182</v>
      </c>
      <c r="H1018" s="12" t="s">
        <v>112</v>
      </c>
    </row>
    <row r="1019" spans="1:17" x14ac:dyDescent="0.3">
      <c r="A1019" s="12" t="s">
        <v>91</v>
      </c>
      <c r="B1019" s="12" t="s">
        <v>179</v>
      </c>
      <c r="C1019" s="12" t="s">
        <v>123</v>
      </c>
      <c r="D1019" s="12" t="s">
        <v>183</v>
      </c>
      <c r="E1019" s="12" t="s">
        <v>184</v>
      </c>
      <c r="F1019" s="12">
        <v>49395.222999999998</v>
      </c>
      <c r="G1019" s="12">
        <v>39279.373</v>
      </c>
      <c r="H1019" s="12">
        <v>10115.85</v>
      </c>
    </row>
    <row r="1020" spans="1:17" x14ac:dyDescent="0.3">
      <c r="A1020" s="12" t="s">
        <v>91</v>
      </c>
      <c r="B1020" s="12" t="s">
        <v>179</v>
      </c>
      <c r="C1020" s="12" t="s">
        <v>123</v>
      </c>
      <c r="D1020" s="12" t="s">
        <v>162</v>
      </c>
      <c r="E1020" s="12" t="s">
        <v>184</v>
      </c>
      <c r="F1020" s="12">
        <v>-87.7</v>
      </c>
      <c r="G1020" s="12">
        <v>-36.700000000000003</v>
      </c>
      <c r="H1020" s="12">
        <v>-51</v>
      </c>
    </row>
    <row r="1021" spans="1:17" x14ac:dyDescent="0.3">
      <c r="A1021" s="12" t="s">
        <v>91</v>
      </c>
      <c r="B1021" s="12" t="s">
        <v>179</v>
      </c>
      <c r="C1021" s="12" t="s">
        <v>123</v>
      </c>
      <c r="D1021" s="12" t="s">
        <v>185</v>
      </c>
      <c r="E1021" s="12" t="s">
        <v>184</v>
      </c>
      <c r="F1021" s="12">
        <v>0</v>
      </c>
      <c r="G1021" s="12">
        <v>-8325.39</v>
      </c>
      <c r="H1021" s="12">
        <v>8325.39</v>
      </c>
    </row>
    <row r="1022" spans="1:17" x14ac:dyDescent="0.3">
      <c r="A1022" s="12" t="s">
        <v>91</v>
      </c>
      <c r="B1022" s="12" t="s">
        <v>179</v>
      </c>
      <c r="C1022" s="12" t="s">
        <v>123</v>
      </c>
      <c r="D1022" s="12" t="s">
        <v>157</v>
      </c>
      <c r="E1022" s="12" t="s">
        <v>184</v>
      </c>
      <c r="F1022" s="12">
        <v>369.58</v>
      </c>
      <c r="G1022" s="12">
        <v>369.58</v>
      </c>
      <c r="H1022" s="12">
        <v>0</v>
      </c>
    </row>
    <row r="1023" spans="1:17" x14ac:dyDescent="0.3">
      <c r="A1023" s="12" t="s">
        <v>91</v>
      </c>
      <c r="B1023" s="12" t="s">
        <v>179</v>
      </c>
      <c r="C1023" s="12" t="s">
        <v>123</v>
      </c>
      <c r="D1023" s="12" t="s">
        <v>116</v>
      </c>
      <c r="E1023" s="12" t="s">
        <v>184</v>
      </c>
      <c r="F1023" s="12">
        <v>168.73</v>
      </c>
      <c r="G1023" s="12">
        <v>168.73</v>
      </c>
      <c r="H1023" s="12">
        <v>0</v>
      </c>
    </row>
    <row r="1024" spans="1:17" x14ac:dyDescent="0.3">
      <c r="A1024" s="12" t="s">
        <v>91</v>
      </c>
      <c r="B1024" s="12" t="s">
        <v>179</v>
      </c>
      <c r="C1024" s="12" t="s">
        <v>123</v>
      </c>
      <c r="D1024" s="12" t="s">
        <v>186</v>
      </c>
      <c r="E1024" s="12" t="s">
        <v>184</v>
      </c>
      <c r="F1024" s="12">
        <v>-5827.25</v>
      </c>
      <c r="G1024" s="12">
        <v>0</v>
      </c>
      <c r="H1024" s="12">
        <v>-5827.25</v>
      </c>
    </row>
    <row r="1025" spans="1:15" x14ac:dyDescent="0.3">
      <c r="A1025" s="12" t="s">
        <v>91</v>
      </c>
      <c r="B1025" s="12" t="s">
        <v>179</v>
      </c>
      <c r="C1025" s="12" t="s">
        <v>123</v>
      </c>
      <c r="D1025" s="12" t="s">
        <v>187</v>
      </c>
      <c r="E1025" s="12" t="s">
        <v>184</v>
      </c>
      <c r="F1025" s="12">
        <v>81611.63</v>
      </c>
      <c r="G1025" s="12">
        <v>81611.63</v>
      </c>
      <c r="H1025" s="12">
        <v>0</v>
      </c>
    </row>
    <row r="1026" spans="1:15" x14ac:dyDescent="0.3">
      <c r="A1026" s="12" t="s">
        <v>91</v>
      </c>
      <c r="B1026" s="12" t="s">
        <v>179</v>
      </c>
      <c r="C1026" s="12" t="s">
        <v>123</v>
      </c>
      <c r="D1026" s="12" t="s">
        <v>188</v>
      </c>
      <c r="E1026" s="12" t="s">
        <v>184</v>
      </c>
      <c r="F1026" s="12">
        <v>-115829.31</v>
      </c>
      <c r="G1026" s="12">
        <v>-115829.31</v>
      </c>
      <c r="H1026" s="12">
        <v>0</v>
      </c>
    </row>
    <row r="1027" spans="1:15" x14ac:dyDescent="0.3">
      <c r="A1027" s="12" t="s">
        <v>91</v>
      </c>
      <c r="B1027" s="12" t="s">
        <v>179</v>
      </c>
      <c r="C1027" s="12" t="s">
        <v>123</v>
      </c>
      <c r="D1027" s="12" t="s">
        <v>158</v>
      </c>
      <c r="E1027" s="12" t="s">
        <v>184</v>
      </c>
      <c r="F1027" s="12">
        <v>-92.41</v>
      </c>
      <c r="G1027" s="12">
        <v>-92.41</v>
      </c>
      <c r="H1027" s="12">
        <v>0</v>
      </c>
    </row>
    <row r="1028" spans="1:15" x14ac:dyDescent="0.3">
      <c r="A1028" s="12" t="s">
        <v>91</v>
      </c>
      <c r="B1028" s="12" t="s">
        <v>179</v>
      </c>
      <c r="C1028" s="12" t="s">
        <v>123</v>
      </c>
      <c r="D1028" s="12" t="s">
        <v>189</v>
      </c>
      <c r="E1028" s="12" t="s">
        <v>184</v>
      </c>
      <c r="F1028" s="12">
        <v>9708.4930000000004</v>
      </c>
      <c r="G1028" s="12">
        <v>-2854.4969999999998</v>
      </c>
      <c r="H1028" s="12">
        <v>12562.99</v>
      </c>
    </row>
    <row r="1029" spans="1:15" x14ac:dyDescent="0.3">
      <c r="A1029" s="12" t="s">
        <v>91</v>
      </c>
      <c r="B1029" s="12" t="s">
        <v>179</v>
      </c>
      <c r="C1029" s="12" t="s">
        <v>123</v>
      </c>
      <c r="D1029" s="12" t="s">
        <v>190</v>
      </c>
      <c r="E1029" s="12" t="s">
        <v>184</v>
      </c>
      <c r="F1029" s="12">
        <v>9660.9930000000004</v>
      </c>
      <c r="G1029" s="12">
        <v>-2854.4969999999998</v>
      </c>
      <c r="H1029" s="12">
        <v>12515.49</v>
      </c>
    </row>
    <row r="1030" spans="1:15" x14ac:dyDescent="0.3">
      <c r="A1030" s="12" t="s">
        <v>91</v>
      </c>
      <c r="B1030" s="12" t="s">
        <v>191</v>
      </c>
      <c r="C1030" s="12" t="s">
        <v>120</v>
      </c>
      <c r="D1030" s="12" t="s">
        <v>192</v>
      </c>
      <c r="E1030" s="12" t="s">
        <v>100</v>
      </c>
      <c r="F1030" s="12" t="s">
        <v>181</v>
      </c>
      <c r="G1030" s="12" t="s">
        <v>0</v>
      </c>
      <c r="H1030" s="12" t="s">
        <v>193</v>
      </c>
      <c r="I1030" s="12" t="s">
        <v>194</v>
      </c>
      <c r="J1030" s="12" t="s">
        <v>195</v>
      </c>
      <c r="K1030" s="12" t="s">
        <v>196</v>
      </c>
      <c r="L1030" s="12" t="s">
        <v>197</v>
      </c>
      <c r="M1030" s="12" t="s">
        <v>198</v>
      </c>
      <c r="N1030" s="12" t="s">
        <v>199</v>
      </c>
      <c r="O1030" s="12" t="s">
        <v>165</v>
      </c>
    </row>
    <row r="1031" spans="1:15" x14ac:dyDescent="0.3">
      <c r="A1031" s="12" t="s">
        <v>91</v>
      </c>
      <c r="B1031" s="12" t="s">
        <v>191</v>
      </c>
      <c r="C1031" s="12" t="s">
        <v>123</v>
      </c>
      <c r="D1031" s="12" t="s">
        <v>200</v>
      </c>
      <c r="E1031" s="12" t="s">
        <v>110</v>
      </c>
      <c r="F1031" s="12" t="s">
        <v>114</v>
      </c>
      <c r="G1031" s="12" t="s">
        <v>2</v>
      </c>
      <c r="H1031" s="12">
        <v>36</v>
      </c>
      <c r="I1031" s="12">
        <v>1</v>
      </c>
      <c r="J1031" s="12">
        <v>183.7</v>
      </c>
      <c r="K1031" s="12">
        <v>6613.2</v>
      </c>
      <c r="L1031" s="12">
        <v>171.48</v>
      </c>
      <c r="M1031" s="12">
        <v>6173.28</v>
      </c>
      <c r="N1031" s="12">
        <v>-439.92</v>
      </c>
    </row>
    <row r="1032" spans="1:15" x14ac:dyDescent="0.3">
      <c r="A1032" s="12" t="s">
        <v>91</v>
      </c>
      <c r="B1032" s="12" t="s">
        <v>191</v>
      </c>
      <c r="C1032" s="12" t="s">
        <v>123</v>
      </c>
      <c r="D1032" s="12" t="s">
        <v>200</v>
      </c>
      <c r="E1032" s="12" t="s">
        <v>110</v>
      </c>
      <c r="F1032" s="12" t="s">
        <v>114</v>
      </c>
      <c r="G1032" s="12" t="s">
        <v>45</v>
      </c>
      <c r="H1032" s="12">
        <v>25</v>
      </c>
      <c r="I1032" s="12">
        <v>1</v>
      </c>
      <c r="J1032" s="12">
        <v>174.91200000000001</v>
      </c>
      <c r="K1032" s="12">
        <v>4372.8</v>
      </c>
      <c r="L1032" s="12">
        <v>180.49</v>
      </c>
      <c r="M1032" s="12">
        <v>4512.25</v>
      </c>
      <c r="N1032" s="12">
        <v>139.44999999999999</v>
      </c>
    </row>
    <row r="1033" spans="1:15" x14ac:dyDescent="0.3">
      <c r="A1033" s="12" t="s">
        <v>91</v>
      </c>
      <c r="B1033" s="12" t="s">
        <v>191</v>
      </c>
      <c r="C1033" s="12" t="s">
        <v>123</v>
      </c>
      <c r="D1033" s="12" t="s">
        <v>200</v>
      </c>
      <c r="E1033" s="12" t="s">
        <v>110</v>
      </c>
      <c r="F1033" s="12" t="s">
        <v>114</v>
      </c>
      <c r="G1033" s="12" t="s">
        <v>5</v>
      </c>
      <c r="H1033" s="12">
        <v>54</v>
      </c>
      <c r="I1033" s="12">
        <v>1</v>
      </c>
      <c r="J1033" s="12">
        <v>145.26249999999999</v>
      </c>
      <c r="K1033" s="12">
        <v>7844.1750000000002</v>
      </c>
      <c r="L1033" s="12">
        <v>180.38</v>
      </c>
      <c r="M1033" s="12">
        <v>9740.52</v>
      </c>
      <c r="N1033" s="12">
        <v>1896.345</v>
      </c>
    </row>
    <row r="1034" spans="1:15" x14ac:dyDescent="0.3">
      <c r="A1034" s="12" t="s">
        <v>91</v>
      </c>
      <c r="B1034" s="12" t="s">
        <v>191</v>
      </c>
      <c r="C1034" s="12" t="s">
        <v>123</v>
      </c>
      <c r="D1034" s="12" t="s">
        <v>200</v>
      </c>
      <c r="E1034" s="12" t="s">
        <v>110</v>
      </c>
      <c r="F1034" s="12" t="s">
        <v>114</v>
      </c>
      <c r="G1034" s="12" t="s">
        <v>6</v>
      </c>
      <c r="H1034" s="12">
        <v>21</v>
      </c>
      <c r="I1034" s="12">
        <v>1</v>
      </c>
      <c r="J1034" s="12">
        <v>235.366236571</v>
      </c>
      <c r="K1034" s="12">
        <v>4942.6909679999999</v>
      </c>
      <c r="L1034" s="12">
        <v>289.98</v>
      </c>
      <c r="M1034" s="12">
        <v>6089.58</v>
      </c>
      <c r="N1034" s="12">
        <v>1146.889032</v>
      </c>
    </row>
    <row r="1035" spans="1:15" x14ac:dyDescent="0.3">
      <c r="A1035" s="12" t="s">
        <v>91</v>
      </c>
      <c r="B1035" s="12" t="s">
        <v>191</v>
      </c>
      <c r="C1035" s="12" t="s">
        <v>123</v>
      </c>
      <c r="D1035" s="12" t="s">
        <v>200</v>
      </c>
      <c r="E1035" s="12" t="s">
        <v>110</v>
      </c>
      <c r="F1035" s="12" t="s">
        <v>114</v>
      </c>
      <c r="G1035" s="12" t="s">
        <v>7</v>
      </c>
      <c r="H1035" s="12">
        <v>6</v>
      </c>
      <c r="I1035" s="12">
        <v>1</v>
      </c>
      <c r="J1035" s="12">
        <v>1347.6</v>
      </c>
      <c r="K1035" s="12">
        <v>8085.6</v>
      </c>
      <c r="L1035" s="12">
        <v>1325.41</v>
      </c>
      <c r="M1035" s="12">
        <v>7952.46</v>
      </c>
      <c r="N1035" s="12">
        <v>-133.13999999999999</v>
      </c>
    </row>
    <row r="1036" spans="1:15" x14ac:dyDescent="0.3">
      <c r="A1036" s="12" t="s">
        <v>91</v>
      </c>
      <c r="B1036" s="12" t="s">
        <v>191</v>
      </c>
      <c r="C1036" s="12" t="s">
        <v>123</v>
      </c>
      <c r="D1036" s="12" t="s">
        <v>200</v>
      </c>
      <c r="E1036" s="12" t="s">
        <v>110</v>
      </c>
      <c r="F1036" s="12" t="s">
        <v>114</v>
      </c>
      <c r="G1036" s="12" t="s">
        <v>8</v>
      </c>
      <c r="H1036" s="12">
        <v>231</v>
      </c>
      <c r="I1036" s="12">
        <v>1</v>
      </c>
      <c r="J1036" s="12">
        <v>32.177</v>
      </c>
      <c r="K1036" s="12">
        <v>7432.8869999999997</v>
      </c>
      <c r="L1036" s="12">
        <v>37.92</v>
      </c>
      <c r="M1036" s="12">
        <v>8759.52</v>
      </c>
      <c r="N1036" s="12">
        <v>1326.633</v>
      </c>
    </row>
    <row r="1037" spans="1:15" x14ac:dyDescent="0.3">
      <c r="A1037" s="12" t="s">
        <v>91</v>
      </c>
      <c r="B1037" s="12" t="s">
        <v>191</v>
      </c>
      <c r="C1037" s="12" t="s">
        <v>123</v>
      </c>
      <c r="D1037" s="12" t="s">
        <v>200</v>
      </c>
      <c r="E1037" s="12" t="s">
        <v>110</v>
      </c>
      <c r="F1037" s="12" t="s">
        <v>114</v>
      </c>
      <c r="G1037" s="12" t="s">
        <v>3</v>
      </c>
      <c r="H1037" s="12">
        <v>148</v>
      </c>
      <c r="I1037" s="12">
        <v>1</v>
      </c>
      <c r="J1037" s="12">
        <v>51.398783784000003</v>
      </c>
      <c r="K1037" s="12">
        <v>7607.02</v>
      </c>
      <c r="L1037" s="12">
        <v>63.24</v>
      </c>
      <c r="M1037" s="12">
        <v>9359.52</v>
      </c>
      <c r="N1037" s="12">
        <v>1752.5</v>
      </c>
    </row>
    <row r="1038" spans="1:15" x14ac:dyDescent="0.3">
      <c r="A1038" s="12" t="s">
        <v>91</v>
      </c>
      <c r="B1038" s="12" t="s">
        <v>191</v>
      </c>
      <c r="C1038" s="12" t="s">
        <v>123</v>
      </c>
      <c r="D1038" s="12" t="s">
        <v>200</v>
      </c>
      <c r="E1038" s="12" t="s">
        <v>110</v>
      </c>
      <c r="F1038" s="12" t="s">
        <v>114</v>
      </c>
      <c r="G1038" s="12" t="s">
        <v>46</v>
      </c>
      <c r="H1038" s="12">
        <v>10</v>
      </c>
      <c r="I1038" s="12">
        <v>1</v>
      </c>
      <c r="J1038" s="12">
        <v>339.59</v>
      </c>
      <c r="K1038" s="12">
        <v>3395.9</v>
      </c>
      <c r="L1038" s="12">
        <v>366.43</v>
      </c>
      <c r="M1038" s="12">
        <v>3664.3</v>
      </c>
      <c r="N1038" s="12">
        <v>268.39999999999998</v>
      </c>
    </row>
    <row r="1039" spans="1:15" x14ac:dyDescent="0.3">
      <c r="A1039" s="12" t="s">
        <v>91</v>
      </c>
      <c r="B1039" s="12" t="s">
        <v>191</v>
      </c>
      <c r="C1039" s="12" t="s">
        <v>123</v>
      </c>
      <c r="D1039" s="12" t="s">
        <v>200</v>
      </c>
      <c r="E1039" s="12" t="s">
        <v>110</v>
      </c>
      <c r="F1039" s="12" t="s">
        <v>114</v>
      </c>
      <c r="G1039" s="12" t="s">
        <v>11</v>
      </c>
      <c r="H1039" s="12">
        <v>10</v>
      </c>
      <c r="I1039" s="12">
        <v>1</v>
      </c>
      <c r="J1039" s="12">
        <v>697.87409090000006</v>
      </c>
      <c r="K1039" s="12">
        <v>6978.7409090000001</v>
      </c>
      <c r="L1039" s="12">
        <v>732.63</v>
      </c>
      <c r="M1039" s="12">
        <v>7326.3</v>
      </c>
      <c r="N1039" s="12">
        <v>347.55909100000002</v>
      </c>
    </row>
    <row r="1040" spans="1:15" x14ac:dyDescent="0.3">
      <c r="A1040" s="12" t="s">
        <v>91</v>
      </c>
      <c r="B1040" s="12" t="s">
        <v>191</v>
      </c>
      <c r="C1040" s="12" t="s">
        <v>123</v>
      </c>
      <c r="D1040" s="12" t="s">
        <v>200</v>
      </c>
      <c r="E1040" s="12" t="s">
        <v>110</v>
      </c>
      <c r="F1040" s="12" t="s">
        <v>114</v>
      </c>
      <c r="G1040" s="12" t="s">
        <v>47</v>
      </c>
      <c r="H1040" s="12">
        <v>16</v>
      </c>
      <c r="I1040" s="12">
        <v>1</v>
      </c>
      <c r="J1040" s="12">
        <v>260.18124999999998</v>
      </c>
      <c r="K1040" s="12">
        <v>4162.8999999999996</v>
      </c>
      <c r="L1040" s="12">
        <v>270.95</v>
      </c>
      <c r="M1040" s="12">
        <v>4335.2</v>
      </c>
      <c r="N1040" s="12">
        <v>172.3</v>
      </c>
    </row>
    <row r="1041" spans="1:14" x14ac:dyDescent="0.3">
      <c r="A1041" s="12" t="s">
        <v>91</v>
      </c>
      <c r="B1041" s="12" t="s">
        <v>191</v>
      </c>
      <c r="C1041" s="12" t="s">
        <v>123</v>
      </c>
      <c r="D1041" s="12" t="s">
        <v>200</v>
      </c>
      <c r="E1041" s="12" t="s">
        <v>110</v>
      </c>
      <c r="F1041" s="12" t="s">
        <v>114</v>
      </c>
      <c r="G1041" s="12" t="s">
        <v>18</v>
      </c>
      <c r="H1041" s="12">
        <v>14</v>
      </c>
      <c r="I1041" s="12">
        <v>1</v>
      </c>
      <c r="J1041" s="12">
        <v>257.42285714299999</v>
      </c>
      <c r="K1041" s="12">
        <v>3603.92</v>
      </c>
      <c r="L1041" s="12">
        <v>282.49</v>
      </c>
      <c r="M1041" s="12">
        <v>3954.86</v>
      </c>
      <c r="N1041" s="12">
        <v>350.94</v>
      </c>
    </row>
    <row r="1042" spans="1:14" x14ac:dyDescent="0.3">
      <c r="A1042" s="12" t="s">
        <v>91</v>
      </c>
      <c r="B1042" s="12" t="s">
        <v>191</v>
      </c>
      <c r="C1042" s="12" t="s">
        <v>123</v>
      </c>
      <c r="D1042" s="12" t="s">
        <v>200</v>
      </c>
      <c r="E1042" s="12" t="s">
        <v>110</v>
      </c>
      <c r="F1042" s="12" t="s">
        <v>114</v>
      </c>
      <c r="G1042" s="12" t="s">
        <v>48</v>
      </c>
      <c r="H1042" s="12">
        <v>25</v>
      </c>
      <c r="I1042" s="12">
        <v>1</v>
      </c>
      <c r="J1042" s="12">
        <v>160.66200000000001</v>
      </c>
      <c r="K1042" s="12">
        <v>4016.55</v>
      </c>
      <c r="L1042" s="12">
        <v>175.53</v>
      </c>
      <c r="M1042" s="12">
        <v>4388.25</v>
      </c>
      <c r="N1042" s="12">
        <v>371.7</v>
      </c>
    </row>
    <row r="1043" spans="1:14" x14ac:dyDescent="0.3">
      <c r="A1043" s="12" t="s">
        <v>91</v>
      </c>
      <c r="B1043" s="12" t="s">
        <v>191</v>
      </c>
      <c r="C1043" s="12" t="s">
        <v>123</v>
      </c>
      <c r="D1043" s="12" t="s">
        <v>200</v>
      </c>
      <c r="E1043" s="12" t="s">
        <v>110</v>
      </c>
      <c r="F1043" s="12" t="s">
        <v>114</v>
      </c>
      <c r="G1043" s="12" t="s">
        <v>19</v>
      </c>
      <c r="H1043" s="12">
        <v>82</v>
      </c>
      <c r="I1043" s="12">
        <v>1</v>
      </c>
      <c r="J1043" s="12">
        <v>139.08214953699999</v>
      </c>
      <c r="K1043" s="12">
        <v>11404.736262</v>
      </c>
      <c r="L1043" s="12">
        <v>150.93</v>
      </c>
      <c r="M1043" s="12">
        <v>12376.26</v>
      </c>
      <c r="N1043" s="12">
        <v>971.52373799999998</v>
      </c>
    </row>
    <row r="1044" spans="1:14" x14ac:dyDescent="0.3">
      <c r="A1044" s="12" t="s">
        <v>91</v>
      </c>
      <c r="B1044" s="12" t="s">
        <v>191</v>
      </c>
      <c r="C1044" s="12" t="s">
        <v>123</v>
      </c>
      <c r="D1044" s="12" t="s">
        <v>200</v>
      </c>
      <c r="E1044" s="12" t="s">
        <v>110</v>
      </c>
      <c r="F1044" s="12" t="s">
        <v>114</v>
      </c>
      <c r="G1044" s="12" t="s">
        <v>20</v>
      </c>
      <c r="H1044" s="12">
        <v>11</v>
      </c>
      <c r="I1044" s="12">
        <v>1</v>
      </c>
      <c r="J1044" s="12">
        <v>339.08818181800001</v>
      </c>
      <c r="K1044" s="12">
        <v>3729.97</v>
      </c>
      <c r="L1044" s="12">
        <v>383.6</v>
      </c>
      <c r="M1044" s="12">
        <v>4219.6000000000004</v>
      </c>
      <c r="N1044" s="12">
        <v>489.63</v>
      </c>
    </row>
    <row r="1045" spans="1:14" x14ac:dyDescent="0.3">
      <c r="A1045" s="12" t="s">
        <v>91</v>
      </c>
      <c r="B1045" s="12" t="s">
        <v>191</v>
      </c>
      <c r="C1045" s="12" t="s">
        <v>123</v>
      </c>
      <c r="D1045" s="12" t="s">
        <v>200</v>
      </c>
      <c r="E1045" s="12" t="s">
        <v>110</v>
      </c>
      <c r="F1045" s="12" t="s">
        <v>114</v>
      </c>
      <c r="G1045" s="12" t="s">
        <v>22</v>
      </c>
      <c r="H1045" s="12">
        <v>83</v>
      </c>
      <c r="I1045" s="12">
        <v>1</v>
      </c>
      <c r="J1045" s="12">
        <v>60.662999999999997</v>
      </c>
      <c r="K1045" s="12">
        <v>5035.0290000000005</v>
      </c>
      <c r="L1045" s="12">
        <v>68.430000000000007</v>
      </c>
      <c r="M1045" s="12">
        <v>5679.69</v>
      </c>
      <c r="N1045" s="12">
        <v>644.66099999999994</v>
      </c>
    </row>
    <row r="1046" spans="1:14" x14ac:dyDescent="0.3">
      <c r="A1046" s="12" t="s">
        <v>91</v>
      </c>
      <c r="B1046" s="12" t="s">
        <v>191</v>
      </c>
      <c r="C1046" s="12" t="s">
        <v>123</v>
      </c>
      <c r="D1046" s="12" t="s">
        <v>200</v>
      </c>
      <c r="E1046" s="12" t="s">
        <v>110</v>
      </c>
      <c r="F1046" s="12" t="s">
        <v>114</v>
      </c>
      <c r="G1046" s="12" t="s">
        <v>37</v>
      </c>
      <c r="H1046" s="12">
        <v>20</v>
      </c>
      <c r="I1046" s="12">
        <v>1</v>
      </c>
      <c r="J1046" s="12">
        <v>184.845</v>
      </c>
      <c r="K1046" s="12">
        <v>3696.9</v>
      </c>
      <c r="L1046" s="12">
        <v>190.96</v>
      </c>
      <c r="M1046" s="12">
        <v>3819.2</v>
      </c>
      <c r="N1046" s="12">
        <v>122.3</v>
      </c>
    </row>
    <row r="1047" spans="1:14" x14ac:dyDescent="0.3">
      <c r="A1047" s="12" t="s">
        <v>91</v>
      </c>
      <c r="B1047" s="12" t="s">
        <v>191</v>
      </c>
      <c r="C1047" s="12" t="s">
        <v>123</v>
      </c>
      <c r="D1047" s="12" t="s">
        <v>200</v>
      </c>
      <c r="E1047" s="12" t="s">
        <v>110</v>
      </c>
      <c r="F1047" s="12" t="s">
        <v>114</v>
      </c>
      <c r="G1047" s="12" t="s">
        <v>24</v>
      </c>
      <c r="H1047" s="12">
        <v>50</v>
      </c>
      <c r="I1047" s="12">
        <v>1</v>
      </c>
      <c r="J1047" s="12">
        <v>80.665750000000003</v>
      </c>
      <c r="K1047" s="12">
        <v>4033.2874999999999</v>
      </c>
      <c r="L1047" s="12">
        <v>94.95</v>
      </c>
      <c r="M1047" s="12">
        <v>4747.5</v>
      </c>
      <c r="N1047" s="12">
        <v>714.21249999999998</v>
      </c>
    </row>
    <row r="1048" spans="1:14" x14ac:dyDescent="0.3">
      <c r="A1048" s="12" t="s">
        <v>91</v>
      </c>
      <c r="B1048" s="12" t="s">
        <v>191</v>
      </c>
      <c r="C1048" s="12" t="s">
        <v>123</v>
      </c>
      <c r="D1048" s="12" t="s">
        <v>200</v>
      </c>
      <c r="E1048" s="12" t="s">
        <v>110</v>
      </c>
      <c r="F1048" s="12" t="s">
        <v>114</v>
      </c>
      <c r="G1048" s="12" t="s">
        <v>49</v>
      </c>
      <c r="H1048" s="12">
        <v>5</v>
      </c>
      <c r="I1048" s="12">
        <v>1</v>
      </c>
      <c r="J1048" s="12">
        <v>784.64</v>
      </c>
      <c r="K1048" s="12">
        <v>3923.2</v>
      </c>
      <c r="L1048" s="12">
        <v>777.96</v>
      </c>
      <c r="M1048" s="12">
        <v>3889.8</v>
      </c>
      <c r="N1048" s="12">
        <v>-33.4</v>
      </c>
    </row>
    <row r="1049" spans="1:14" x14ac:dyDescent="0.3">
      <c r="A1049" s="12" t="s">
        <v>91</v>
      </c>
      <c r="B1049" s="12" t="s">
        <v>191</v>
      </c>
      <c r="C1049" s="12" t="s">
        <v>123</v>
      </c>
      <c r="D1049" s="12" t="s">
        <v>200</v>
      </c>
      <c r="E1049" s="12" t="s">
        <v>110</v>
      </c>
      <c r="F1049" s="12" t="s">
        <v>114</v>
      </c>
      <c r="G1049" s="12" t="s">
        <v>26</v>
      </c>
      <c r="H1049" s="12">
        <v>10</v>
      </c>
      <c r="I1049" s="12">
        <v>1</v>
      </c>
      <c r="J1049" s="12">
        <v>374.6922222</v>
      </c>
      <c r="K1049" s="12">
        <v>3746.9222220000001</v>
      </c>
      <c r="L1049" s="12">
        <v>393.03</v>
      </c>
      <c r="M1049" s="12">
        <v>3930.3</v>
      </c>
      <c r="N1049" s="12">
        <v>183.37777800000001</v>
      </c>
    </row>
    <row r="1050" spans="1:14" x14ac:dyDescent="0.3">
      <c r="A1050" s="12" t="s">
        <v>91</v>
      </c>
      <c r="B1050" s="12" t="s">
        <v>191</v>
      </c>
      <c r="C1050" s="12" t="s">
        <v>123</v>
      </c>
      <c r="D1050" s="12" t="s">
        <v>200</v>
      </c>
      <c r="E1050" s="12" t="s">
        <v>110</v>
      </c>
      <c r="F1050" s="12" t="s">
        <v>114</v>
      </c>
      <c r="G1050" s="12" t="s">
        <v>27</v>
      </c>
      <c r="H1050" s="12">
        <v>11</v>
      </c>
      <c r="I1050" s="12">
        <v>1</v>
      </c>
      <c r="J1050" s="12">
        <v>342.40190472699999</v>
      </c>
      <c r="K1050" s="12">
        <v>3766.4209519999999</v>
      </c>
      <c r="L1050" s="12">
        <v>485.58</v>
      </c>
      <c r="M1050" s="12">
        <v>5341.38</v>
      </c>
      <c r="N1050" s="12">
        <v>1574.9590479999999</v>
      </c>
    </row>
    <row r="1051" spans="1:14" x14ac:dyDescent="0.3">
      <c r="A1051" s="12" t="s">
        <v>91</v>
      </c>
      <c r="B1051" s="12" t="s">
        <v>191</v>
      </c>
      <c r="C1051" s="12" t="s">
        <v>123</v>
      </c>
      <c r="D1051" s="12" t="s">
        <v>200</v>
      </c>
      <c r="E1051" s="12" t="s">
        <v>110</v>
      </c>
      <c r="F1051" s="12" t="s">
        <v>114</v>
      </c>
      <c r="G1051" s="12" t="s">
        <v>28</v>
      </c>
      <c r="H1051" s="12">
        <v>34</v>
      </c>
      <c r="I1051" s="12">
        <v>1</v>
      </c>
      <c r="J1051" s="12">
        <v>367.46653061799998</v>
      </c>
      <c r="K1051" s="12">
        <v>12493.862041</v>
      </c>
      <c r="L1051" s="12">
        <v>420.72</v>
      </c>
      <c r="M1051" s="12">
        <v>14304.48</v>
      </c>
      <c r="N1051" s="12">
        <v>1810.6179589999999</v>
      </c>
    </row>
    <row r="1052" spans="1:14" x14ac:dyDescent="0.3">
      <c r="A1052" s="12" t="s">
        <v>91</v>
      </c>
      <c r="B1052" s="12" t="s">
        <v>191</v>
      </c>
      <c r="C1052" s="12" t="s">
        <v>123</v>
      </c>
      <c r="D1052" s="12" t="s">
        <v>200</v>
      </c>
      <c r="E1052" s="12" t="s">
        <v>110</v>
      </c>
      <c r="F1052" s="12" t="s">
        <v>114</v>
      </c>
      <c r="G1052" s="12" t="s">
        <v>50</v>
      </c>
      <c r="H1052" s="12">
        <v>5</v>
      </c>
      <c r="I1052" s="12">
        <v>1</v>
      </c>
      <c r="J1052" s="12">
        <v>740.46</v>
      </c>
      <c r="K1052" s="12">
        <v>3702.3</v>
      </c>
      <c r="L1052" s="12">
        <v>762.4</v>
      </c>
      <c r="M1052" s="12">
        <v>3812</v>
      </c>
      <c r="N1052" s="12">
        <v>109.7</v>
      </c>
    </row>
    <row r="1053" spans="1:14" x14ac:dyDescent="0.3">
      <c r="A1053" s="12" t="s">
        <v>91</v>
      </c>
      <c r="B1053" s="12" t="s">
        <v>191</v>
      </c>
      <c r="C1053" s="12" t="s">
        <v>123</v>
      </c>
      <c r="D1053" s="12" t="s">
        <v>200</v>
      </c>
      <c r="E1053" s="12" t="s">
        <v>110</v>
      </c>
      <c r="F1053" s="12" t="s">
        <v>114</v>
      </c>
      <c r="G1053" s="12" t="s">
        <v>29</v>
      </c>
      <c r="H1053" s="12">
        <v>15</v>
      </c>
      <c r="I1053" s="12">
        <v>1</v>
      </c>
      <c r="J1053" s="12">
        <v>283.306666667</v>
      </c>
      <c r="K1053" s="12">
        <v>4249.6000000000004</v>
      </c>
      <c r="L1053" s="12">
        <v>284.13</v>
      </c>
      <c r="M1053" s="12">
        <v>4261.95</v>
      </c>
      <c r="N1053" s="12">
        <v>12.35</v>
      </c>
    </row>
    <row r="1054" spans="1:14" x14ac:dyDescent="0.3">
      <c r="A1054" s="12" t="s">
        <v>91</v>
      </c>
      <c r="B1054" s="12" t="s">
        <v>191</v>
      </c>
      <c r="C1054" s="12" t="s">
        <v>123</v>
      </c>
      <c r="D1054" s="12" t="s">
        <v>200</v>
      </c>
      <c r="E1054" s="12" t="s">
        <v>110</v>
      </c>
      <c r="F1054" s="12" t="s">
        <v>114</v>
      </c>
      <c r="G1054" s="12" t="s">
        <v>39</v>
      </c>
      <c r="H1054" s="12">
        <v>35</v>
      </c>
      <c r="I1054" s="12">
        <v>1</v>
      </c>
      <c r="J1054" s="12">
        <v>152.58571428600001</v>
      </c>
      <c r="K1054" s="12">
        <v>5340.5</v>
      </c>
      <c r="L1054" s="12">
        <v>169.3</v>
      </c>
      <c r="M1054" s="12">
        <v>5925.5</v>
      </c>
      <c r="N1054" s="12">
        <v>585</v>
      </c>
    </row>
    <row r="1055" spans="1:14" x14ac:dyDescent="0.3">
      <c r="A1055" s="12" t="s">
        <v>91</v>
      </c>
      <c r="B1055" s="12" t="s">
        <v>191</v>
      </c>
      <c r="C1055" s="12" t="s">
        <v>123</v>
      </c>
      <c r="D1055" s="12" t="s">
        <v>200</v>
      </c>
      <c r="E1055" s="12" t="s">
        <v>110</v>
      </c>
      <c r="F1055" s="12" t="s">
        <v>114</v>
      </c>
      <c r="G1055" s="12" t="s">
        <v>30</v>
      </c>
      <c r="H1055" s="12">
        <v>26</v>
      </c>
      <c r="I1055" s="12">
        <v>1</v>
      </c>
      <c r="J1055" s="12">
        <v>139.38499999999999</v>
      </c>
      <c r="K1055" s="12">
        <v>3624.01</v>
      </c>
      <c r="L1055" s="12">
        <v>146.76</v>
      </c>
      <c r="M1055" s="12">
        <v>3815.76</v>
      </c>
      <c r="N1055" s="12">
        <v>191.75</v>
      </c>
    </row>
    <row r="1056" spans="1:14" x14ac:dyDescent="0.3">
      <c r="A1056" s="12" t="s">
        <v>91</v>
      </c>
      <c r="B1056" s="12" t="s">
        <v>191</v>
      </c>
      <c r="C1056" s="12" t="s">
        <v>123</v>
      </c>
      <c r="D1056" s="12" t="s">
        <v>200</v>
      </c>
      <c r="E1056" s="12" t="s">
        <v>110</v>
      </c>
      <c r="F1056" s="12" t="s">
        <v>114</v>
      </c>
      <c r="G1056" s="12" t="s">
        <v>51</v>
      </c>
      <c r="H1056" s="12">
        <v>2</v>
      </c>
      <c r="I1056" s="12">
        <v>1</v>
      </c>
      <c r="J1056" s="12">
        <v>1016.725</v>
      </c>
      <c r="K1056" s="12">
        <v>2033.45</v>
      </c>
      <c r="L1056" s="12">
        <v>1010.03</v>
      </c>
      <c r="M1056" s="12">
        <v>2020.06</v>
      </c>
      <c r="N1056" s="12">
        <v>-13.39</v>
      </c>
    </row>
    <row r="1057" spans="1:17" x14ac:dyDescent="0.3">
      <c r="A1057" s="12" t="s">
        <v>91</v>
      </c>
      <c r="B1057" s="12" t="s">
        <v>191</v>
      </c>
      <c r="C1057" s="12" t="s">
        <v>123</v>
      </c>
      <c r="D1057" s="12" t="s">
        <v>200</v>
      </c>
      <c r="E1057" s="12" t="s">
        <v>110</v>
      </c>
      <c r="F1057" s="12" t="s">
        <v>114</v>
      </c>
      <c r="G1057" s="12" t="s">
        <v>32</v>
      </c>
      <c r="H1057" s="12">
        <v>70</v>
      </c>
      <c r="I1057" s="12">
        <v>1</v>
      </c>
      <c r="J1057" s="12">
        <v>64.951549870999997</v>
      </c>
      <c r="K1057" s="12">
        <v>4546.608491</v>
      </c>
      <c r="L1057" s="12">
        <v>76.989999999999995</v>
      </c>
      <c r="M1057" s="12">
        <v>5389.3</v>
      </c>
      <c r="N1057" s="12">
        <v>842.691509</v>
      </c>
    </row>
    <row r="1058" spans="1:17" x14ac:dyDescent="0.3">
      <c r="A1058" s="12" t="s">
        <v>91</v>
      </c>
      <c r="B1058" s="12" t="s">
        <v>191</v>
      </c>
      <c r="C1058" s="12" t="s">
        <v>123</v>
      </c>
      <c r="D1058" s="12" t="s">
        <v>200</v>
      </c>
      <c r="E1058" s="12" t="s">
        <v>110</v>
      </c>
      <c r="F1058" s="12" t="s">
        <v>114</v>
      </c>
      <c r="G1058" s="12" t="s">
        <v>40</v>
      </c>
      <c r="H1058" s="12">
        <v>15</v>
      </c>
      <c r="I1058" s="12">
        <v>1</v>
      </c>
      <c r="J1058" s="12">
        <v>247.086666667</v>
      </c>
      <c r="K1058" s="12">
        <v>3706.3</v>
      </c>
      <c r="L1058" s="12">
        <v>245.93</v>
      </c>
      <c r="M1058" s="12">
        <v>3688.95</v>
      </c>
      <c r="N1058" s="12">
        <v>-17.350000000000001</v>
      </c>
    </row>
    <row r="1059" spans="1:17" x14ac:dyDescent="0.3">
      <c r="A1059" s="12" t="s">
        <v>91</v>
      </c>
      <c r="B1059" s="12" t="s">
        <v>191</v>
      </c>
      <c r="C1059" s="12" t="s">
        <v>123</v>
      </c>
      <c r="D1059" s="12" t="s">
        <v>200</v>
      </c>
      <c r="E1059" s="12" t="s">
        <v>110</v>
      </c>
      <c r="F1059" s="12" t="s">
        <v>114</v>
      </c>
      <c r="G1059" s="12" t="s">
        <v>34</v>
      </c>
      <c r="H1059" s="12">
        <v>17</v>
      </c>
      <c r="I1059" s="12">
        <v>1</v>
      </c>
      <c r="J1059" s="12">
        <v>270.49705882400002</v>
      </c>
      <c r="K1059" s="12">
        <v>4598.45</v>
      </c>
      <c r="L1059" s="12">
        <v>272.75</v>
      </c>
      <c r="M1059" s="12">
        <v>4636.75</v>
      </c>
      <c r="N1059" s="12">
        <v>38.299999999999997</v>
      </c>
    </row>
    <row r="1060" spans="1:17" x14ac:dyDescent="0.3">
      <c r="A1060" s="12" t="s">
        <v>91</v>
      </c>
      <c r="B1060" s="12" t="s">
        <v>191</v>
      </c>
      <c r="C1060" s="12" t="s">
        <v>123</v>
      </c>
      <c r="D1060" s="12" t="s">
        <v>200</v>
      </c>
      <c r="E1060" s="12" t="s">
        <v>110</v>
      </c>
      <c r="F1060" s="12" t="s">
        <v>114</v>
      </c>
      <c r="G1060" s="12" t="s">
        <v>41</v>
      </c>
      <c r="H1060" s="12">
        <v>1200</v>
      </c>
      <c r="I1060" s="12">
        <v>1</v>
      </c>
      <c r="J1060" s="12">
        <v>41.1785</v>
      </c>
      <c r="K1060" s="12">
        <v>49414.2</v>
      </c>
      <c r="L1060" s="12">
        <v>42.13</v>
      </c>
      <c r="M1060" s="12">
        <v>50556</v>
      </c>
      <c r="N1060" s="12">
        <v>1141.8</v>
      </c>
    </row>
    <row r="1061" spans="1:17" x14ac:dyDescent="0.3">
      <c r="A1061" s="12" t="s">
        <v>91</v>
      </c>
      <c r="B1061" s="12" t="s">
        <v>191</v>
      </c>
      <c r="C1061" s="12" t="s">
        <v>123</v>
      </c>
      <c r="D1061" s="12" t="s">
        <v>200</v>
      </c>
      <c r="E1061" s="12" t="s">
        <v>110</v>
      </c>
      <c r="F1061" s="12" t="s">
        <v>114</v>
      </c>
      <c r="G1061" s="12" t="s">
        <v>42</v>
      </c>
      <c r="H1061" s="12">
        <v>50</v>
      </c>
      <c r="I1061" s="12">
        <v>1</v>
      </c>
      <c r="J1061" s="12">
        <v>200.58600000000001</v>
      </c>
      <c r="K1061" s="12">
        <v>10029.299999999999</v>
      </c>
      <c r="L1061" s="12">
        <v>208.27</v>
      </c>
      <c r="M1061" s="12">
        <v>10413.5</v>
      </c>
      <c r="N1061" s="12">
        <v>384.2</v>
      </c>
    </row>
    <row r="1062" spans="1:17" x14ac:dyDescent="0.3">
      <c r="A1062" s="12" t="s">
        <v>91</v>
      </c>
      <c r="B1062" s="12" t="s">
        <v>191</v>
      </c>
      <c r="C1062" s="12" t="s">
        <v>123</v>
      </c>
      <c r="D1062" s="12" t="s">
        <v>200</v>
      </c>
      <c r="E1062" s="12" t="s">
        <v>110</v>
      </c>
      <c r="F1062" s="12" t="s">
        <v>114</v>
      </c>
      <c r="G1062" s="12" t="s">
        <v>43</v>
      </c>
      <c r="H1062" s="12">
        <v>80</v>
      </c>
      <c r="I1062" s="12">
        <v>1</v>
      </c>
      <c r="J1062" s="12">
        <v>61.116250000000001</v>
      </c>
      <c r="K1062" s="12">
        <v>4889.3</v>
      </c>
      <c r="L1062" s="12">
        <v>65.650000000000006</v>
      </c>
      <c r="M1062" s="12">
        <v>5252</v>
      </c>
      <c r="N1062" s="12">
        <v>362.7</v>
      </c>
    </row>
    <row r="1063" spans="1:17" x14ac:dyDescent="0.3">
      <c r="A1063" s="12" t="s">
        <v>91</v>
      </c>
      <c r="B1063" s="12" t="s">
        <v>191</v>
      </c>
      <c r="C1063" s="12" t="s">
        <v>123</v>
      </c>
      <c r="D1063" s="12" t="s">
        <v>200</v>
      </c>
      <c r="E1063" s="12" t="s">
        <v>110</v>
      </c>
      <c r="F1063" s="12" t="s">
        <v>114</v>
      </c>
      <c r="G1063" s="12" t="s">
        <v>44</v>
      </c>
      <c r="H1063" s="12">
        <v>30</v>
      </c>
      <c r="I1063" s="12">
        <v>1</v>
      </c>
      <c r="J1063" s="12">
        <v>145.15333333300001</v>
      </c>
      <c r="K1063" s="12">
        <v>4354.6000000000004</v>
      </c>
      <c r="L1063" s="12">
        <v>147.72999999999999</v>
      </c>
      <c r="M1063" s="12">
        <v>4431.8999999999996</v>
      </c>
      <c r="N1063" s="12">
        <v>77.3</v>
      </c>
    </row>
    <row r="1064" spans="1:17" x14ac:dyDescent="0.3">
      <c r="A1064" s="12" t="s">
        <v>91</v>
      </c>
      <c r="B1064" s="12" t="s">
        <v>191</v>
      </c>
      <c r="C1064" s="12" t="s">
        <v>123</v>
      </c>
      <c r="D1064" s="12" t="s">
        <v>200</v>
      </c>
      <c r="E1064" s="12" t="s">
        <v>110</v>
      </c>
      <c r="F1064" s="12" t="s">
        <v>114</v>
      </c>
      <c r="G1064" s="12" t="s">
        <v>35</v>
      </c>
      <c r="H1064" s="12">
        <v>100</v>
      </c>
      <c r="I1064" s="12">
        <v>1</v>
      </c>
      <c r="J1064" s="12">
        <v>102.523</v>
      </c>
      <c r="K1064" s="12">
        <v>10252.299999999999</v>
      </c>
      <c r="L1064" s="12">
        <v>116.24</v>
      </c>
      <c r="M1064" s="12">
        <v>11624</v>
      </c>
      <c r="N1064" s="12">
        <v>1371.7</v>
      </c>
    </row>
    <row r="1065" spans="1:17" x14ac:dyDescent="0.3">
      <c r="A1065" s="12" t="s">
        <v>91</v>
      </c>
      <c r="B1065" s="12" t="s">
        <v>191</v>
      </c>
      <c r="C1065" s="12" t="s">
        <v>97</v>
      </c>
      <c r="E1065" s="12" t="s">
        <v>110</v>
      </c>
      <c r="F1065" s="12" t="s">
        <v>114</v>
      </c>
      <c r="K1065" s="12">
        <v>231627.63034500001</v>
      </c>
      <c r="M1065" s="12">
        <v>250391.92</v>
      </c>
      <c r="N1065" s="12">
        <v>18764.289655</v>
      </c>
    </row>
    <row r="1066" spans="1:17" x14ac:dyDescent="0.3">
      <c r="A1066" s="12" t="s">
        <v>91</v>
      </c>
      <c r="B1066" s="12" t="s">
        <v>191</v>
      </c>
      <c r="C1066" s="12" t="s">
        <v>120</v>
      </c>
      <c r="D1066" s="12" t="s">
        <v>192</v>
      </c>
      <c r="E1066" s="12" t="s">
        <v>100</v>
      </c>
      <c r="F1066" s="12" t="s">
        <v>181</v>
      </c>
      <c r="G1066" s="12" t="s">
        <v>0</v>
      </c>
      <c r="H1066" s="12" t="s">
        <v>193</v>
      </c>
      <c r="I1066" s="12" t="s">
        <v>194</v>
      </c>
      <c r="J1066" s="12" t="s">
        <v>195</v>
      </c>
      <c r="K1066" s="12" t="s">
        <v>196</v>
      </c>
      <c r="L1066" s="12" t="s">
        <v>197</v>
      </c>
      <c r="M1066" s="12" t="s">
        <v>198</v>
      </c>
      <c r="N1066" s="12" t="s">
        <v>199</v>
      </c>
      <c r="O1066" s="12" t="s">
        <v>165</v>
      </c>
    </row>
    <row r="1067" spans="1:17" x14ac:dyDescent="0.3">
      <c r="A1067" s="12" t="s">
        <v>91</v>
      </c>
      <c r="B1067" s="12" t="s">
        <v>191</v>
      </c>
      <c r="C1067" s="12" t="s">
        <v>123</v>
      </c>
      <c r="D1067" s="12" t="s">
        <v>200</v>
      </c>
      <c r="E1067" s="12" t="s">
        <v>112</v>
      </c>
      <c r="F1067" s="12" t="s">
        <v>114</v>
      </c>
      <c r="G1067" s="12" t="s">
        <v>52</v>
      </c>
      <c r="H1067" s="12">
        <v>-8</v>
      </c>
      <c r="I1067" s="12">
        <v>5</v>
      </c>
      <c r="J1067" s="12">
        <v>5155.6499999999996</v>
      </c>
      <c r="K1067" s="12">
        <v>-206226</v>
      </c>
      <c r="L1067" s="12">
        <v>5308.5</v>
      </c>
      <c r="M1067" s="12">
        <v>-212340</v>
      </c>
      <c r="N1067" s="12">
        <v>-6114</v>
      </c>
    </row>
    <row r="1068" spans="1:17" x14ac:dyDescent="0.3">
      <c r="A1068" s="12" t="s">
        <v>91</v>
      </c>
      <c r="B1068" s="12" t="s">
        <v>191</v>
      </c>
      <c r="C1068" s="12" t="s">
        <v>123</v>
      </c>
      <c r="D1068" s="12" t="s">
        <v>200</v>
      </c>
      <c r="E1068" s="12" t="s">
        <v>112</v>
      </c>
      <c r="F1068" s="12" t="s">
        <v>114</v>
      </c>
      <c r="G1068" s="12" t="s">
        <v>53</v>
      </c>
      <c r="H1068" s="12">
        <v>-1</v>
      </c>
      <c r="I1068" s="12">
        <v>2</v>
      </c>
      <c r="J1068" s="12">
        <v>18549.25</v>
      </c>
      <c r="K1068" s="12">
        <v>-37098.5</v>
      </c>
      <c r="L1068" s="12">
        <v>18475</v>
      </c>
      <c r="M1068" s="12">
        <v>-36950</v>
      </c>
      <c r="N1068" s="12">
        <v>148.5</v>
      </c>
    </row>
    <row r="1069" spans="1:17" x14ac:dyDescent="0.3">
      <c r="A1069" s="12" t="s">
        <v>91</v>
      </c>
      <c r="B1069" s="12" t="s">
        <v>191</v>
      </c>
      <c r="C1069" s="12" t="s">
        <v>97</v>
      </c>
      <c r="E1069" s="12" t="s">
        <v>112</v>
      </c>
      <c r="F1069" s="12" t="s">
        <v>114</v>
      </c>
      <c r="K1069" s="12">
        <v>-243324.5</v>
      </c>
      <c r="M1069" s="12">
        <v>-249290</v>
      </c>
      <c r="N1069" s="12">
        <v>-5965.5</v>
      </c>
    </row>
    <row r="1070" spans="1:17" x14ac:dyDescent="0.3">
      <c r="A1070" s="12" t="s">
        <v>91</v>
      </c>
      <c r="B1070" s="12" t="s">
        <v>201</v>
      </c>
      <c r="C1070" s="12" t="s">
        <v>120</v>
      </c>
      <c r="D1070" s="12" t="s">
        <v>192</v>
      </c>
      <c r="E1070" s="12" t="s">
        <v>100</v>
      </c>
      <c r="F1070" s="12" t="s">
        <v>181</v>
      </c>
      <c r="G1070" s="12" t="s">
        <v>0</v>
      </c>
      <c r="H1070" s="12" t="s">
        <v>202</v>
      </c>
      <c r="I1070" s="12" t="s">
        <v>193</v>
      </c>
      <c r="J1070" s="12" t="s">
        <v>203</v>
      </c>
      <c r="K1070" s="12" t="s">
        <v>204</v>
      </c>
      <c r="L1070" s="12" t="s">
        <v>205</v>
      </c>
      <c r="M1070" s="12" t="s">
        <v>206</v>
      </c>
      <c r="N1070" s="12" t="s">
        <v>1</v>
      </c>
      <c r="O1070" s="12" t="s">
        <v>207</v>
      </c>
      <c r="P1070" s="12" t="s">
        <v>208</v>
      </c>
      <c r="Q1070" s="12" t="s">
        <v>165</v>
      </c>
    </row>
    <row r="1071" spans="1:17" x14ac:dyDescent="0.3">
      <c r="A1071" s="12" t="s">
        <v>91</v>
      </c>
      <c r="B1071" s="12" t="s">
        <v>201</v>
      </c>
      <c r="C1071" s="12" t="s">
        <v>123</v>
      </c>
      <c r="D1071" s="12" t="s">
        <v>209</v>
      </c>
      <c r="E1071" s="12" t="s">
        <v>110</v>
      </c>
      <c r="F1071" s="12" t="s">
        <v>114</v>
      </c>
      <c r="G1071" s="12" t="s">
        <v>45</v>
      </c>
      <c r="H1071" s="12" t="s">
        <v>633</v>
      </c>
      <c r="I1071" s="12">
        <v>25</v>
      </c>
      <c r="J1071" s="12">
        <v>174.86</v>
      </c>
      <c r="K1071" s="12">
        <v>179.73</v>
      </c>
      <c r="L1071" s="12">
        <v>-4371.5</v>
      </c>
      <c r="M1071" s="12">
        <v>-1.3</v>
      </c>
      <c r="N1071" s="12">
        <v>4372.8</v>
      </c>
      <c r="O1071" s="12">
        <v>0</v>
      </c>
      <c r="P1071" s="12">
        <v>121.75</v>
      </c>
      <c r="Q1071" s="12" t="s">
        <v>215</v>
      </c>
    </row>
    <row r="1072" spans="1:17" x14ac:dyDescent="0.3">
      <c r="A1072" s="12" t="s">
        <v>91</v>
      </c>
      <c r="B1072" s="12" t="s">
        <v>201</v>
      </c>
      <c r="C1072" s="12" t="s">
        <v>213</v>
      </c>
      <c r="E1072" s="12" t="s">
        <v>110</v>
      </c>
      <c r="F1072" s="12" t="s">
        <v>114</v>
      </c>
      <c r="G1072" s="12" t="s">
        <v>45</v>
      </c>
      <c r="I1072" s="12">
        <v>25</v>
      </c>
      <c r="L1072" s="12">
        <v>-4371.5</v>
      </c>
      <c r="M1072" s="12">
        <v>-1.3</v>
      </c>
      <c r="N1072" s="12">
        <v>4372.8</v>
      </c>
      <c r="O1072" s="12">
        <v>0</v>
      </c>
      <c r="P1072" s="12">
        <v>121.75</v>
      </c>
    </row>
    <row r="1073" spans="1:17" x14ac:dyDescent="0.3">
      <c r="A1073" s="12" t="s">
        <v>91</v>
      </c>
      <c r="B1073" s="12" t="s">
        <v>201</v>
      </c>
      <c r="C1073" s="12" t="s">
        <v>123</v>
      </c>
      <c r="D1073" s="12" t="s">
        <v>209</v>
      </c>
      <c r="E1073" s="12" t="s">
        <v>110</v>
      </c>
      <c r="F1073" s="12" t="s">
        <v>114</v>
      </c>
      <c r="G1073" s="12" t="s">
        <v>7</v>
      </c>
      <c r="H1073" s="12" t="s">
        <v>634</v>
      </c>
      <c r="I1073" s="12">
        <v>-4</v>
      </c>
      <c r="J1073" s="12">
        <v>1402</v>
      </c>
      <c r="K1073" s="12">
        <v>1342.75</v>
      </c>
      <c r="L1073" s="12">
        <v>5608</v>
      </c>
      <c r="M1073" s="12">
        <v>-1.3</v>
      </c>
      <c r="N1073" s="12">
        <v>-4233.76</v>
      </c>
      <c r="O1073" s="12">
        <v>1372.94</v>
      </c>
      <c r="P1073" s="12">
        <v>237</v>
      </c>
      <c r="Q1073" s="12" t="s">
        <v>3</v>
      </c>
    </row>
    <row r="1074" spans="1:17" x14ac:dyDescent="0.3">
      <c r="A1074" s="12" t="s">
        <v>91</v>
      </c>
      <c r="B1074" s="12" t="s">
        <v>201</v>
      </c>
      <c r="C1074" s="12" t="s">
        <v>123</v>
      </c>
      <c r="D1074" s="12" t="s">
        <v>209</v>
      </c>
      <c r="E1074" s="12" t="s">
        <v>110</v>
      </c>
      <c r="F1074" s="12" t="s">
        <v>114</v>
      </c>
      <c r="G1074" s="12" t="s">
        <v>7</v>
      </c>
      <c r="H1074" s="12" t="s">
        <v>635</v>
      </c>
      <c r="I1074" s="12">
        <v>4</v>
      </c>
      <c r="J1074" s="12">
        <v>1377.69</v>
      </c>
      <c r="K1074" s="12">
        <v>1308.72</v>
      </c>
      <c r="L1074" s="12">
        <v>-5510.76</v>
      </c>
      <c r="M1074" s="12">
        <v>-1.3</v>
      </c>
      <c r="N1074" s="12">
        <v>5512.06</v>
      </c>
      <c r="O1074" s="12">
        <v>0</v>
      </c>
      <c r="P1074" s="12">
        <v>-275.88</v>
      </c>
      <c r="Q1074" s="12" t="s">
        <v>215</v>
      </c>
    </row>
    <row r="1075" spans="1:17" x14ac:dyDescent="0.3">
      <c r="A1075" s="12" t="s">
        <v>91</v>
      </c>
      <c r="B1075" s="12" t="s">
        <v>201</v>
      </c>
      <c r="C1075" s="12" t="s">
        <v>123</v>
      </c>
      <c r="D1075" s="12" t="s">
        <v>209</v>
      </c>
      <c r="E1075" s="12" t="s">
        <v>110</v>
      </c>
      <c r="F1075" s="12" t="s">
        <v>114</v>
      </c>
      <c r="G1075" s="12" t="s">
        <v>7</v>
      </c>
      <c r="H1075" s="12" t="s">
        <v>636</v>
      </c>
      <c r="I1075" s="12">
        <v>2</v>
      </c>
      <c r="J1075" s="12">
        <v>1286.1199999999999</v>
      </c>
      <c r="K1075" s="12">
        <v>1291.8800000000001</v>
      </c>
      <c r="L1075" s="12">
        <v>-2572.2399999999998</v>
      </c>
      <c r="M1075" s="12">
        <v>-1.3</v>
      </c>
      <c r="N1075" s="12">
        <v>2573.54</v>
      </c>
      <c r="O1075" s="12">
        <v>0</v>
      </c>
      <c r="P1075" s="12">
        <v>11.52</v>
      </c>
      <c r="Q1075" s="12" t="s">
        <v>215</v>
      </c>
    </row>
    <row r="1076" spans="1:17" x14ac:dyDescent="0.3">
      <c r="A1076" s="12" t="s">
        <v>91</v>
      </c>
      <c r="B1076" s="12" t="s">
        <v>201</v>
      </c>
      <c r="C1076" s="12" t="s">
        <v>213</v>
      </c>
      <c r="E1076" s="12" t="s">
        <v>110</v>
      </c>
      <c r="F1076" s="12" t="s">
        <v>114</v>
      </c>
      <c r="G1076" s="12" t="s">
        <v>7</v>
      </c>
      <c r="I1076" s="12">
        <v>2</v>
      </c>
      <c r="L1076" s="12">
        <v>-2475</v>
      </c>
      <c r="M1076" s="12">
        <v>-3.9</v>
      </c>
      <c r="N1076" s="12">
        <v>3851.84</v>
      </c>
      <c r="O1076" s="12">
        <v>1372.94</v>
      </c>
      <c r="P1076" s="12">
        <v>-27.36</v>
      </c>
    </row>
    <row r="1077" spans="1:17" x14ac:dyDescent="0.3">
      <c r="A1077" s="12" t="s">
        <v>91</v>
      </c>
      <c r="B1077" s="12" t="s">
        <v>201</v>
      </c>
      <c r="C1077" s="12" t="s">
        <v>123</v>
      </c>
      <c r="D1077" s="12" t="s">
        <v>209</v>
      </c>
      <c r="E1077" s="12" t="s">
        <v>110</v>
      </c>
      <c r="F1077" s="12" t="s">
        <v>114</v>
      </c>
      <c r="G1077" s="12" t="s">
        <v>46</v>
      </c>
      <c r="H1077" s="12" t="s">
        <v>637</v>
      </c>
      <c r="I1077" s="12">
        <v>10</v>
      </c>
      <c r="J1077" s="12">
        <v>339.46</v>
      </c>
      <c r="K1077" s="12">
        <v>338.65</v>
      </c>
      <c r="L1077" s="12">
        <v>-3394.6</v>
      </c>
      <c r="M1077" s="12">
        <v>-1.3</v>
      </c>
      <c r="N1077" s="12">
        <v>3395.9</v>
      </c>
      <c r="O1077" s="12">
        <v>0</v>
      </c>
      <c r="P1077" s="12">
        <v>-8.1</v>
      </c>
      <c r="Q1077" s="12" t="s">
        <v>215</v>
      </c>
    </row>
    <row r="1078" spans="1:17" x14ac:dyDescent="0.3">
      <c r="A1078" s="12" t="s">
        <v>91</v>
      </c>
      <c r="B1078" s="12" t="s">
        <v>201</v>
      </c>
      <c r="C1078" s="12" t="s">
        <v>213</v>
      </c>
      <c r="E1078" s="12" t="s">
        <v>110</v>
      </c>
      <c r="F1078" s="12" t="s">
        <v>114</v>
      </c>
      <c r="G1078" s="12" t="s">
        <v>46</v>
      </c>
      <c r="I1078" s="12">
        <v>10</v>
      </c>
      <c r="L1078" s="12">
        <v>-3394.6</v>
      </c>
      <c r="M1078" s="12">
        <v>-1.3</v>
      </c>
      <c r="N1078" s="12">
        <v>3395.9</v>
      </c>
      <c r="O1078" s="12">
        <v>0</v>
      </c>
      <c r="P1078" s="12">
        <v>-8.1</v>
      </c>
    </row>
    <row r="1079" spans="1:17" x14ac:dyDescent="0.3">
      <c r="A1079" s="12" t="s">
        <v>91</v>
      </c>
      <c r="B1079" s="12" t="s">
        <v>201</v>
      </c>
      <c r="C1079" s="12" t="s">
        <v>123</v>
      </c>
      <c r="D1079" s="12" t="s">
        <v>209</v>
      </c>
      <c r="E1079" s="12" t="s">
        <v>110</v>
      </c>
      <c r="F1079" s="12" t="s">
        <v>114</v>
      </c>
      <c r="G1079" s="12" t="s">
        <v>11</v>
      </c>
      <c r="H1079" s="12" t="s">
        <v>638</v>
      </c>
      <c r="I1079" s="12">
        <v>-6</v>
      </c>
      <c r="J1079" s="12">
        <v>781.81</v>
      </c>
      <c r="K1079" s="12">
        <v>785.59</v>
      </c>
      <c r="L1079" s="12">
        <v>4690.8599999999997</v>
      </c>
      <c r="M1079" s="12">
        <v>-1.3</v>
      </c>
      <c r="N1079" s="12">
        <v>-3859.1290909999998</v>
      </c>
      <c r="O1079" s="12">
        <v>830.43090900000004</v>
      </c>
      <c r="P1079" s="12">
        <v>-22.68</v>
      </c>
      <c r="Q1079" s="12" t="s">
        <v>3</v>
      </c>
    </row>
    <row r="1080" spans="1:17" x14ac:dyDescent="0.3">
      <c r="A1080" s="12" t="s">
        <v>91</v>
      </c>
      <c r="B1080" s="12" t="s">
        <v>201</v>
      </c>
      <c r="C1080" s="12" t="s">
        <v>123</v>
      </c>
      <c r="D1080" s="12" t="s">
        <v>209</v>
      </c>
      <c r="E1080" s="12" t="s">
        <v>110</v>
      </c>
      <c r="F1080" s="12" t="s">
        <v>114</v>
      </c>
      <c r="G1080" s="12" t="s">
        <v>11</v>
      </c>
      <c r="H1080" s="12" t="s">
        <v>639</v>
      </c>
      <c r="I1080" s="12">
        <v>5</v>
      </c>
      <c r="J1080" s="12">
        <v>752.3</v>
      </c>
      <c r="K1080" s="12">
        <v>725.56</v>
      </c>
      <c r="L1080" s="12">
        <v>-3761.5</v>
      </c>
      <c r="M1080" s="12">
        <v>-1.3</v>
      </c>
      <c r="N1080" s="12">
        <v>3762.8</v>
      </c>
      <c r="O1080" s="12">
        <v>0</v>
      </c>
      <c r="P1080" s="12">
        <v>-133.69999999999999</v>
      </c>
      <c r="Q1080" s="12" t="s">
        <v>211</v>
      </c>
    </row>
    <row r="1081" spans="1:17" x14ac:dyDescent="0.3">
      <c r="A1081" s="12" t="s">
        <v>91</v>
      </c>
      <c r="B1081" s="12" t="s">
        <v>201</v>
      </c>
      <c r="C1081" s="12" t="s">
        <v>213</v>
      </c>
      <c r="E1081" s="12" t="s">
        <v>110</v>
      </c>
      <c r="F1081" s="12" t="s">
        <v>114</v>
      </c>
      <c r="G1081" s="12" t="s">
        <v>11</v>
      </c>
      <c r="I1081" s="12">
        <v>-1</v>
      </c>
      <c r="L1081" s="12">
        <v>929.36</v>
      </c>
      <c r="M1081" s="12">
        <v>-2.6</v>
      </c>
      <c r="N1081" s="12">
        <v>-96.329091000000005</v>
      </c>
      <c r="O1081" s="12">
        <v>830.43090900000004</v>
      </c>
      <c r="P1081" s="12">
        <v>-156.38</v>
      </c>
    </row>
    <row r="1082" spans="1:17" x14ac:dyDescent="0.3">
      <c r="A1082" s="12" t="s">
        <v>91</v>
      </c>
      <c r="B1082" s="12" t="s">
        <v>201</v>
      </c>
      <c r="C1082" s="12" t="s">
        <v>123</v>
      </c>
      <c r="D1082" s="12" t="s">
        <v>209</v>
      </c>
      <c r="E1082" s="12" t="s">
        <v>110</v>
      </c>
      <c r="F1082" s="12" t="s">
        <v>114</v>
      </c>
      <c r="G1082" s="12" t="s">
        <v>47</v>
      </c>
      <c r="H1082" s="12" t="s">
        <v>640</v>
      </c>
      <c r="I1082" s="12">
        <v>16</v>
      </c>
      <c r="J1082" s="12">
        <v>260.10000000000002</v>
      </c>
      <c r="K1082" s="12">
        <v>258.92</v>
      </c>
      <c r="L1082" s="12">
        <v>-4161.6000000000004</v>
      </c>
      <c r="M1082" s="12">
        <v>-1.3</v>
      </c>
      <c r="N1082" s="12">
        <v>4162.8999999999996</v>
      </c>
      <c r="O1082" s="12">
        <v>0</v>
      </c>
      <c r="P1082" s="12">
        <v>-18.88</v>
      </c>
      <c r="Q1082" s="12" t="s">
        <v>215</v>
      </c>
    </row>
    <row r="1083" spans="1:17" x14ac:dyDescent="0.3">
      <c r="A1083" s="12" t="s">
        <v>91</v>
      </c>
      <c r="B1083" s="12" t="s">
        <v>201</v>
      </c>
      <c r="C1083" s="12" t="s">
        <v>213</v>
      </c>
      <c r="E1083" s="12" t="s">
        <v>110</v>
      </c>
      <c r="F1083" s="12" t="s">
        <v>114</v>
      </c>
      <c r="G1083" s="12" t="s">
        <v>47</v>
      </c>
      <c r="I1083" s="12">
        <v>16</v>
      </c>
      <c r="L1083" s="12">
        <v>-4161.6000000000004</v>
      </c>
      <c r="M1083" s="12">
        <v>-1.3</v>
      </c>
      <c r="N1083" s="12">
        <v>4162.8999999999996</v>
      </c>
      <c r="O1083" s="12">
        <v>0</v>
      </c>
      <c r="P1083" s="12">
        <v>-18.88</v>
      </c>
    </row>
    <row r="1084" spans="1:17" x14ac:dyDescent="0.3">
      <c r="A1084" s="12" t="s">
        <v>91</v>
      </c>
      <c r="B1084" s="12" t="s">
        <v>201</v>
      </c>
      <c r="C1084" s="12" t="s">
        <v>123</v>
      </c>
      <c r="D1084" s="12" t="s">
        <v>209</v>
      </c>
      <c r="E1084" s="12" t="s">
        <v>110</v>
      </c>
      <c r="F1084" s="12" t="s">
        <v>114</v>
      </c>
      <c r="G1084" s="12" t="s">
        <v>13</v>
      </c>
      <c r="H1084" s="12" t="s">
        <v>641</v>
      </c>
      <c r="I1084" s="12">
        <v>-10</v>
      </c>
      <c r="J1084" s="12">
        <v>363.52</v>
      </c>
      <c r="K1084" s="12">
        <v>364.42</v>
      </c>
      <c r="L1084" s="12">
        <v>3635.2</v>
      </c>
      <c r="M1084" s="12">
        <v>-1.3</v>
      </c>
      <c r="N1084" s="12">
        <v>-3633.7</v>
      </c>
      <c r="O1084" s="12">
        <v>0.2</v>
      </c>
      <c r="P1084" s="12">
        <v>-9</v>
      </c>
      <c r="Q1084" s="12" t="s">
        <v>230</v>
      </c>
    </row>
    <row r="1085" spans="1:17" x14ac:dyDescent="0.3">
      <c r="A1085" s="12" t="s">
        <v>91</v>
      </c>
      <c r="B1085" s="12" t="s">
        <v>201</v>
      </c>
      <c r="C1085" s="12" t="s">
        <v>213</v>
      </c>
      <c r="E1085" s="12" t="s">
        <v>110</v>
      </c>
      <c r="F1085" s="12" t="s">
        <v>114</v>
      </c>
      <c r="G1085" s="12" t="s">
        <v>13</v>
      </c>
      <c r="I1085" s="12">
        <v>-10</v>
      </c>
      <c r="L1085" s="12">
        <v>3635.2</v>
      </c>
      <c r="M1085" s="12">
        <v>-1.3</v>
      </c>
      <c r="N1085" s="12">
        <v>-3633.7</v>
      </c>
      <c r="O1085" s="12">
        <v>0.2</v>
      </c>
      <c r="P1085" s="12">
        <v>-9</v>
      </c>
    </row>
    <row r="1086" spans="1:17" x14ac:dyDescent="0.3">
      <c r="A1086" s="12" t="s">
        <v>91</v>
      </c>
      <c r="B1086" s="12" t="s">
        <v>201</v>
      </c>
      <c r="C1086" s="12" t="s">
        <v>123</v>
      </c>
      <c r="D1086" s="12" t="s">
        <v>209</v>
      </c>
      <c r="E1086" s="12" t="s">
        <v>110</v>
      </c>
      <c r="F1086" s="12" t="s">
        <v>114</v>
      </c>
      <c r="G1086" s="12" t="s">
        <v>48</v>
      </c>
      <c r="H1086" s="12" t="s">
        <v>642</v>
      </c>
      <c r="I1086" s="12">
        <v>25</v>
      </c>
      <c r="J1086" s="12">
        <v>160.61000000000001</v>
      </c>
      <c r="K1086" s="12">
        <v>161.01</v>
      </c>
      <c r="L1086" s="12">
        <v>-4015.25</v>
      </c>
      <c r="M1086" s="12">
        <v>-1.3</v>
      </c>
      <c r="N1086" s="12">
        <v>4016.55</v>
      </c>
      <c r="O1086" s="12">
        <v>0</v>
      </c>
      <c r="P1086" s="12">
        <v>10</v>
      </c>
      <c r="Q1086" s="12" t="s">
        <v>215</v>
      </c>
    </row>
    <row r="1087" spans="1:17" x14ac:dyDescent="0.3">
      <c r="A1087" s="12" t="s">
        <v>91</v>
      </c>
      <c r="B1087" s="12" t="s">
        <v>201</v>
      </c>
      <c r="C1087" s="12" t="s">
        <v>213</v>
      </c>
      <c r="E1087" s="12" t="s">
        <v>110</v>
      </c>
      <c r="F1087" s="12" t="s">
        <v>114</v>
      </c>
      <c r="G1087" s="12" t="s">
        <v>48</v>
      </c>
      <c r="I1087" s="12">
        <v>25</v>
      </c>
      <c r="L1087" s="12">
        <v>-4015.25</v>
      </c>
      <c r="M1087" s="12">
        <v>-1.3</v>
      </c>
      <c r="N1087" s="12">
        <v>4016.55</v>
      </c>
      <c r="O1087" s="12">
        <v>0</v>
      </c>
      <c r="P1087" s="12">
        <v>10</v>
      </c>
    </row>
    <row r="1088" spans="1:17" x14ac:dyDescent="0.3">
      <c r="A1088" s="12" t="s">
        <v>91</v>
      </c>
      <c r="B1088" s="12" t="s">
        <v>201</v>
      </c>
      <c r="C1088" s="12" t="s">
        <v>123</v>
      </c>
      <c r="D1088" s="12" t="s">
        <v>209</v>
      </c>
      <c r="E1088" s="12" t="s">
        <v>110</v>
      </c>
      <c r="F1088" s="12" t="s">
        <v>114</v>
      </c>
      <c r="G1088" s="12" t="s">
        <v>19</v>
      </c>
      <c r="H1088" s="12" t="s">
        <v>643</v>
      </c>
      <c r="I1088" s="12">
        <v>-25</v>
      </c>
      <c r="J1088" s="12">
        <v>152</v>
      </c>
      <c r="K1088" s="12">
        <v>147.68</v>
      </c>
      <c r="L1088" s="12">
        <v>3800</v>
      </c>
      <c r="M1088" s="12">
        <v>-1.3</v>
      </c>
      <c r="N1088" s="12">
        <v>-3477.0537380000001</v>
      </c>
      <c r="O1088" s="12">
        <v>321.64626199999998</v>
      </c>
      <c r="P1088" s="12">
        <v>108</v>
      </c>
      <c r="Q1088" s="12" t="s">
        <v>3</v>
      </c>
    </row>
    <row r="1089" spans="1:17" x14ac:dyDescent="0.3">
      <c r="A1089" s="12" t="s">
        <v>91</v>
      </c>
      <c r="B1089" s="12" t="s">
        <v>201</v>
      </c>
      <c r="C1089" s="12" t="s">
        <v>213</v>
      </c>
      <c r="E1089" s="12" t="s">
        <v>110</v>
      </c>
      <c r="F1089" s="12" t="s">
        <v>114</v>
      </c>
      <c r="G1089" s="12" t="s">
        <v>19</v>
      </c>
      <c r="I1089" s="12">
        <v>-25</v>
      </c>
      <c r="L1089" s="12">
        <v>3800</v>
      </c>
      <c r="M1089" s="12">
        <v>-1.3</v>
      </c>
      <c r="N1089" s="12">
        <v>-3477.0537380000001</v>
      </c>
      <c r="O1089" s="12">
        <v>321.64626199999998</v>
      </c>
      <c r="P1089" s="12">
        <v>108</v>
      </c>
    </row>
    <row r="1090" spans="1:17" x14ac:dyDescent="0.3">
      <c r="A1090" s="12" t="s">
        <v>91</v>
      </c>
      <c r="B1090" s="12" t="s">
        <v>201</v>
      </c>
      <c r="C1090" s="12" t="s">
        <v>123</v>
      </c>
      <c r="D1090" s="12" t="s">
        <v>209</v>
      </c>
      <c r="E1090" s="12" t="s">
        <v>110</v>
      </c>
      <c r="F1090" s="12" t="s">
        <v>114</v>
      </c>
      <c r="G1090" s="12" t="s">
        <v>49</v>
      </c>
      <c r="H1090" s="12" t="s">
        <v>644</v>
      </c>
      <c r="I1090" s="12">
        <v>5</v>
      </c>
      <c r="J1090" s="12">
        <v>784.38</v>
      </c>
      <c r="K1090" s="12">
        <v>777.59</v>
      </c>
      <c r="L1090" s="12">
        <v>-3921.9</v>
      </c>
      <c r="M1090" s="12">
        <v>-1.3</v>
      </c>
      <c r="N1090" s="12">
        <v>3923.2</v>
      </c>
      <c r="O1090" s="12">
        <v>0</v>
      </c>
      <c r="P1090" s="12">
        <v>-33.950000000000003</v>
      </c>
      <c r="Q1090" s="12" t="s">
        <v>215</v>
      </c>
    </row>
    <row r="1091" spans="1:17" x14ac:dyDescent="0.3">
      <c r="A1091" s="12" t="s">
        <v>91</v>
      </c>
      <c r="B1091" s="12" t="s">
        <v>201</v>
      </c>
      <c r="C1091" s="12" t="s">
        <v>213</v>
      </c>
      <c r="E1091" s="12" t="s">
        <v>110</v>
      </c>
      <c r="F1091" s="12" t="s">
        <v>114</v>
      </c>
      <c r="G1091" s="12" t="s">
        <v>49</v>
      </c>
      <c r="I1091" s="12">
        <v>5</v>
      </c>
      <c r="L1091" s="12">
        <v>-3921.9</v>
      </c>
      <c r="M1091" s="12">
        <v>-1.3</v>
      </c>
      <c r="N1091" s="12">
        <v>3923.2</v>
      </c>
      <c r="O1091" s="12">
        <v>0</v>
      </c>
      <c r="P1091" s="12">
        <v>-33.950000000000003</v>
      </c>
    </row>
    <row r="1092" spans="1:17" x14ac:dyDescent="0.3">
      <c r="A1092" s="12" t="s">
        <v>91</v>
      </c>
      <c r="B1092" s="12" t="s">
        <v>201</v>
      </c>
      <c r="C1092" s="12" t="s">
        <v>123</v>
      </c>
      <c r="D1092" s="12" t="s">
        <v>209</v>
      </c>
      <c r="E1092" s="12" t="s">
        <v>110</v>
      </c>
      <c r="F1092" s="12" t="s">
        <v>114</v>
      </c>
      <c r="G1092" s="12" t="s">
        <v>25</v>
      </c>
      <c r="H1092" s="12" t="s">
        <v>645</v>
      </c>
      <c r="I1092" s="12">
        <v>-100</v>
      </c>
      <c r="J1092" s="12">
        <v>453.22</v>
      </c>
      <c r="K1092" s="12">
        <v>450.79</v>
      </c>
      <c r="L1092" s="12">
        <v>45322</v>
      </c>
      <c r="M1092" s="12">
        <v>-1.3</v>
      </c>
      <c r="N1092" s="12">
        <v>-45522.5</v>
      </c>
      <c r="O1092" s="12">
        <v>-201.8</v>
      </c>
      <c r="P1092" s="12">
        <v>243</v>
      </c>
      <c r="Q1092" s="12" t="s">
        <v>646</v>
      </c>
    </row>
    <row r="1093" spans="1:17" x14ac:dyDescent="0.3">
      <c r="A1093" s="12" t="s">
        <v>91</v>
      </c>
      <c r="B1093" s="12" t="s">
        <v>201</v>
      </c>
      <c r="C1093" s="12" t="s">
        <v>123</v>
      </c>
      <c r="D1093" s="12" t="s">
        <v>209</v>
      </c>
      <c r="E1093" s="12" t="s">
        <v>110</v>
      </c>
      <c r="F1093" s="12" t="s">
        <v>114</v>
      </c>
      <c r="G1093" s="12" t="s">
        <v>25</v>
      </c>
      <c r="H1093" s="12" t="s">
        <v>647</v>
      </c>
      <c r="I1093" s="12">
        <v>92</v>
      </c>
      <c r="J1093" s="12">
        <v>452.9</v>
      </c>
      <c r="K1093" s="12">
        <v>450.79</v>
      </c>
      <c r="L1093" s="12">
        <v>-41666.800000000003</v>
      </c>
      <c r="M1093" s="12">
        <v>-1.3</v>
      </c>
      <c r="N1093" s="12">
        <v>41696.239999999998</v>
      </c>
      <c r="O1093" s="12">
        <v>28.14</v>
      </c>
      <c r="P1093" s="12">
        <v>-194.12</v>
      </c>
      <c r="Q1093" s="12" t="s">
        <v>230</v>
      </c>
    </row>
    <row r="1094" spans="1:17" x14ac:dyDescent="0.3">
      <c r="A1094" s="12" t="s">
        <v>91</v>
      </c>
      <c r="B1094" s="12" t="s">
        <v>201</v>
      </c>
      <c r="C1094" s="12" t="s">
        <v>213</v>
      </c>
      <c r="E1094" s="12" t="s">
        <v>110</v>
      </c>
      <c r="F1094" s="12" t="s">
        <v>114</v>
      </c>
      <c r="G1094" s="12" t="s">
        <v>25</v>
      </c>
      <c r="I1094" s="12">
        <v>-8</v>
      </c>
      <c r="L1094" s="12">
        <v>3655.2</v>
      </c>
      <c r="M1094" s="12">
        <v>-2.6</v>
      </c>
      <c r="N1094" s="12">
        <v>-3826.26</v>
      </c>
      <c r="O1094" s="12">
        <v>-173.66</v>
      </c>
      <c r="P1094" s="12">
        <v>48.88</v>
      </c>
    </row>
    <row r="1095" spans="1:17" x14ac:dyDescent="0.3">
      <c r="A1095" s="12" t="s">
        <v>91</v>
      </c>
      <c r="B1095" s="12" t="s">
        <v>201</v>
      </c>
      <c r="C1095" s="12" t="s">
        <v>123</v>
      </c>
      <c r="D1095" s="12" t="s">
        <v>209</v>
      </c>
      <c r="E1095" s="12" t="s">
        <v>110</v>
      </c>
      <c r="F1095" s="12" t="s">
        <v>114</v>
      </c>
      <c r="G1095" s="12" t="s">
        <v>28</v>
      </c>
      <c r="H1095" s="12" t="s">
        <v>648</v>
      </c>
      <c r="I1095" s="12">
        <v>-15</v>
      </c>
      <c r="J1095" s="12">
        <v>418.77</v>
      </c>
      <c r="K1095" s="12">
        <v>425.22</v>
      </c>
      <c r="L1095" s="12">
        <v>6281.55</v>
      </c>
      <c r="M1095" s="12">
        <v>-1.3</v>
      </c>
      <c r="N1095" s="12">
        <v>-5511.9979590000003</v>
      </c>
      <c r="O1095" s="12">
        <v>768.25204099999996</v>
      </c>
      <c r="P1095" s="12">
        <v>-96.75</v>
      </c>
      <c r="Q1095" s="12" t="s">
        <v>3</v>
      </c>
    </row>
    <row r="1096" spans="1:17" x14ac:dyDescent="0.3">
      <c r="A1096" s="12" t="s">
        <v>91</v>
      </c>
      <c r="B1096" s="12" t="s">
        <v>201</v>
      </c>
      <c r="C1096" s="12" t="s">
        <v>213</v>
      </c>
      <c r="E1096" s="12" t="s">
        <v>110</v>
      </c>
      <c r="F1096" s="12" t="s">
        <v>114</v>
      </c>
      <c r="G1096" s="12" t="s">
        <v>28</v>
      </c>
      <c r="I1096" s="12">
        <v>-15</v>
      </c>
      <c r="L1096" s="12">
        <v>6281.55</v>
      </c>
      <c r="M1096" s="12">
        <v>-1.3</v>
      </c>
      <c r="N1096" s="12">
        <v>-5511.9979590000003</v>
      </c>
      <c r="O1096" s="12">
        <v>768.25204099999996</v>
      </c>
      <c r="P1096" s="12">
        <v>-96.75</v>
      </c>
    </row>
    <row r="1097" spans="1:17" x14ac:dyDescent="0.3">
      <c r="A1097" s="12" t="s">
        <v>91</v>
      </c>
      <c r="B1097" s="12" t="s">
        <v>201</v>
      </c>
      <c r="C1097" s="12" t="s">
        <v>123</v>
      </c>
      <c r="D1097" s="12" t="s">
        <v>209</v>
      </c>
      <c r="E1097" s="12" t="s">
        <v>110</v>
      </c>
      <c r="F1097" s="12" t="s">
        <v>114</v>
      </c>
      <c r="G1097" s="12" t="s">
        <v>50</v>
      </c>
      <c r="H1097" s="12" t="s">
        <v>649</v>
      </c>
      <c r="I1097" s="12">
        <v>5</v>
      </c>
      <c r="J1097" s="12">
        <v>740.2</v>
      </c>
      <c r="K1097" s="12">
        <v>741.06</v>
      </c>
      <c r="L1097" s="12">
        <v>-3701</v>
      </c>
      <c r="M1097" s="12">
        <v>-1.3</v>
      </c>
      <c r="N1097" s="12">
        <v>3702.3</v>
      </c>
      <c r="O1097" s="12">
        <v>0</v>
      </c>
      <c r="P1097" s="12">
        <v>4.3</v>
      </c>
      <c r="Q1097" s="12" t="s">
        <v>215</v>
      </c>
    </row>
    <row r="1098" spans="1:17" x14ac:dyDescent="0.3">
      <c r="A1098" s="12" t="s">
        <v>91</v>
      </c>
      <c r="B1098" s="12" t="s">
        <v>201</v>
      </c>
      <c r="C1098" s="12" t="s">
        <v>213</v>
      </c>
      <c r="E1098" s="12" t="s">
        <v>110</v>
      </c>
      <c r="F1098" s="12" t="s">
        <v>114</v>
      </c>
      <c r="G1098" s="12" t="s">
        <v>50</v>
      </c>
      <c r="I1098" s="12">
        <v>5</v>
      </c>
      <c r="L1098" s="12">
        <v>-3701</v>
      </c>
      <c r="M1098" s="12">
        <v>-1.3</v>
      </c>
      <c r="N1098" s="12">
        <v>3702.3</v>
      </c>
      <c r="O1098" s="12">
        <v>0</v>
      </c>
      <c r="P1098" s="12">
        <v>4.3</v>
      </c>
    </row>
    <row r="1099" spans="1:17" x14ac:dyDescent="0.3">
      <c r="A1099" s="12" t="s">
        <v>91</v>
      </c>
      <c r="B1099" s="12" t="s">
        <v>201</v>
      </c>
      <c r="C1099" s="12" t="s">
        <v>123</v>
      </c>
      <c r="D1099" s="12" t="s">
        <v>209</v>
      </c>
      <c r="E1099" s="12" t="s">
        <v>110</v>
      </c>
      <c r="F1099" s="12" t="s">
        <v>114</v>
      </c>
      <c r="G1099" s="12" t="s">
        <v>29</v>
      </c>
      <c r="H1099" s="12" t="s">
        <v>650</v>
      </c>
      <c r="I1099" s="12">
        <v>-18</v>
      </c>
      <c r="J1099" s="12">
        <v>300</v>
      </c>
      <c r="K1099" s="12">
        <v>291.13</v>
      </c>
      <c r="L1099" s="12">
        <v>5400</v>
      </c>
      <c r="M1099" s="12">
        <v>-1.3</v>
      </c>
      <c r="N1099" s="12">
        <v>-5005.7</v>
      </c>
      <c r="O1099" s="12">
        <v>393</v>
      </c>
      <c r="P1099" s="12">
        <v>159.66</v>
      </c>
      <c r="Q1099" s="12" t="s">
        <v>3</v>
      </c>
    </row>
    <row r="1100" spans="1:17" x14ac:dyDescent="0.3">
      <c r="A1100" s="12" t="s">
        <v>91</v>
      </c>
      <c r="B1100" s="12" t="s">
        <v>201</v>
      </c>
      <c r="C1100" s="12" t="s">
        <v>123</v>
      </c>
      <c r="D1100" s="12" t="s">
        <v>209</v>
      </c>
      <c r="E1100" s="12" t="s">
        <v>110</v>
      </c>
      <c r="F1100" s="12" t="s">
        <v>114</v>
      </c>
      <c r="G1100" s="12" t="s">
        <v>29</v>
      </c>
      <c r="H1100" s="12" t="s">
        <v>651</v>
      </c>
      <c r="I1100" s="12">
        <v>15</v>
      </c>
      <c r="J1100" s="12">
        <v>283.22000000000003</v>
      </c>
      <c r="K1100" s="12">
        <v>280.58</v>
      </c>
      <c r="L1100" s="12">
        <v>-4248.3</v>
      </c>
      <c r="M1100" s="12">
        <v>-1.3</v>
      </c>
      <c r="N1100" s="12">
        <v>4249.6000000000004</v>
      </c>
      <c r="O1100" s="12">
        <v>0</v>
      </c>
      <c r="P1100" s="12">
        <v>-39.6</v>
      </c>
      <c r="Q1100" s="12" t="s">
        <v>215</v>
      </c>
    </row>
    <row r="1101" spans="1:17" x14ac:dyDescent="0.3">
      <c r="A1101" s="12" t="s">
        <v>91</v>
      </c>
      <c r="B1101" s="12" t="s">
        <v>201</v>
      </c>
      <c r="C1101" s="12" t="s">
        <v>213</v>
      </c>
      <c r="E1101" s="12" t="s">
        <v>110</v>
      </c>
      <c r="F1101" s="12" t="s">
        <v>114</v>
      </c>
      <c r="G1101" s="12" t="s">
        <v>29</v>
      </c>
      <c r="I1101" s="12">
        <v>-3</v>
      </c>
      <c r="L1101" s="12">
        <v>1151.7</v>
      </c>
      <c r="M1101" s="12">
        <v>-2.6</v>
      </c>
      <c r="N1101" s="12">
        <v>-756.1</v>
      </c>
      <c r="O1101" s="12">
        <v>393</v>
      </c>
      <c r="P1101" s="12">
        <v>120.06</v>
      </c>
    </row>
    <row r="1102" spans="1:17" x14ac:dyDescent="0.3">
      <c r="A1102" s="12" t="s">
        <v>91</v>
      </c>
      <c r="B1102" s="12" t="s">
        <v>201</v>
      </c>
      <c r="C1102" s="12" t="s">
        <v>123</v>
      </c>
      <c r="D1102" s="12" t="s">
        <v>209</v>
      </c>
      <c r="E1102" s="12" t="s">
        <v>110</v>
      </c>
      <c r="F1102" s="12" t="s">
        <v>114</v>
      </c>
      <c r="G1102" s="12" t="s">
        <v>39</v>
      </c>
      <c r="H1102" s="12" t="s">
        <v>652</v>
      </c>
      <c r="I1102" s="12">
        <v>15</v>
      </c>
      <c r="J1102" s="12">
        <v>167.18</v>
      </c>
      <c r="K1102" s="12">
        <v>166.56</v>
      </c>
      <c r="L1102" s="12">
        <v>-2507.6999999999998</v>
      </c>
      <c r="M1102" s="12">
        <v>-1.3</v>
      </c>
      <c r="N1102" s="12">
        <v>2509</v>
      </c>
      <c r="O1102" s="12">
        <v>0</v>
      </c>
      <c r="P1102" s="12">
        <v>-9.3000000000000007</v>
      </c>
      <c r="Q1102" s="12" t="s">
        <v>211</v>
      </c>
    </row>
    <row r="1103" spans="1:17" x14ac:dyDescent="0.3">
      <c r="A1103" s="12" t="s">
        <v>91</v>
      </c>
      <c r="B1103" s="12" t="s">
        <v>201</v>
      </c>
      <c r="C1103" s="12" t="s">
        <v>213</v>
      </c>
      <c r="E1103" s="12" t="s">
        <v>110</v>
      </c>
      <c r="F1103" s="12" t="s">
        <v>114</v>
      </c>
      <c r="G1103" s="12" t="s">
        <v>39</v>
      </c>
      <c r="I1103" s="12">
        <v>15</v>
      </c>
      <c r="L1103" s="12">
        <v>-2507.6999999999998</v>
      </c>
      <c r="M1103" s="12">
        <v>-1.3</v>
      </c>
      <c r="N1103" s="12">
        <v>2509</v>
      </c>
      <c r="O1103" s="12">
        <v>0</v>
      </c>
      <c r="P1103" s="12">
        <v>-9.3000000000000007</v>
      </c>
    </row>
    <row r="1104" spans="1:17" x14ac:dyDescent="0.3">
      <c r="A1104" s="12" t="s">
        <v>91</v>
      </c>
      <c r="B1104" s="12" t="s">
        <v>201</v>
      </c>
      <c r="C1104" s="12" t="s">
        <v>123</v>
      </c>
      <c r="D1104" s="12" t="s">
        <v>209</v>
      </c>
      <c r="E1104" s="12" t="s">
        <v>110</v>
      </c>
      <c r="F1104" s="12" t="s">
        <v>114</v>
      </c>
      <c r="G1104" s="12" t="s">
        <v>30</v>
      </c>
      <c r="H1104" s="12" t="s">
        <v>653</v>
      </c>
      <c r="I1104" s="12">
        <v>-13</v>
      </c>
      <c r="J1104" s="12">
        <v>149.38</v>
      </c>
      <c r="K1104" s="12">
        <v>149.96</v>
      </c>
      <c r="L1104" s="12">
        <v>1941.94</v>
      </c>
      <c r="M1104" s="12">
        <v>-1.3</v>
      </c>
      <c r="N1104" s="12">
        <v>-1758.63</v>
      </c>
      <c r="O1104" s="12">
        <v>182.01</v>
      </c>
      <c r="P1104" s="12">
        <v>-7.54</v>
      </c>
      <c r="Q1104" s="12" t="s">
        <v>3</v>
      </c>
    </row>
    <row r="1105" spans="1:17" x14ac:dyDescent="0.3">
      <c r="A1105" s="12" t="s">
        <v>91</v>
      </c>
      <c r="B1105" s="12" t="s">
        <v>201</v>
      </c>
      <c r="C1105" s="12" t="s">
        <v>123</v>
      </c>
      <c r="D1105" s="12" t="s">
        <v>209</v>
      </c>
      <c r="E1105" s="12" t="s">
        <v>110</v>
      </c>
      <c r="F1105" s="12" t="s">
        <v>114</v>
      </c>
      <c r="G1105" s="12" t="s">
        <v>30</v>
      </c>
      <c r="H1105" s="12" t="s">
        <v>654</v>
      </c>
      <c r="I1105" s="12">
        <v>13</v>
      </c>
      <c r="J1105" s="12">
        <v>143.56</v>
      </c>
      <c r="K1105" s="12">
        <v>148.12</v>
      </c>
      <c r="L1105" s="12">
        <v>-1866.28</v>
      </c>
      <c r="M1105" s="12">
        <v>-1.3</v>
      </c>
      <c r="N1105" s="12">
        <v>1867.58</v>
      </c>
      <c r="O1105" s="12">
        <v>0</v>
      </c>
      <c r="P1105" s="12">
        <v>59.28</v>
      </c>
      <c r="Q1105" s="12" t="s">
        <v>215</v>
      </c>
    </row>
    <row r="1106" spans="1:17" x14ac:dyDescent="0.3">
      <c r="A1106" s="12" t="s">
        <v>91</v>
      </c>
      <c r="B1106" s="12" t="s">
        <v>201</v>
      </c>
      <c r="C1106" s="12" t="s">
        <v>213</v>
      </c>
      <c r="E1106" s="12" t="s">
        <v>110</v>
      </c>
      <c r="F1106" s="12" t="s">
        <v>114</v>
      </c>
      <c r="G1106" s="12" t="s">
        <v>30</v>
      </c>
      <c r="I1106" s="12">
        <v>0</v>
      </c>
      <c r="L1106" s="12">
        <v>75.66</v>
      </c>
      <c r="M1106" s="12">
        <v>-2.6</v>
      </c>
      <c r="N1106" s="12">
        <v>108.95</v>
      </c>
      <c r="O1106" s="12">
        <v>182.01</v>
      </c>
      <c r="P1106" s="12">
        <v>51.74</v>
      </c>
    </row>
    <row r="1107" spans="1:17" x14ac:dyDescent="0.3">
      <c r="A1107" s="12" t="s">
        <v>91</v>
      </c>
      <c r="B1107" s="12" t="s">
        <v>201</v>
      </c>
      <c r="C1107" s="12" t="s">
        <v>123</v>
      </c>
      <c r="D1107" s="12" t="s">
        <v>209</v>
      </c>
      <c r="E1107" s="12" t="s">
        <v>110</v>
      </c>
      <c r="F1107" s="12" t="s">
        <v>114</v>
      </c>
      <c r="G1107" s="12" t="s">
        <v>51</v>
      </c>
      <c r="H1107" s="12" t="s">
        <v>655</v>
      </c>
      <c r="I1107" s="12">
        <v>4</v>
      </c>
      <c r="J1107" s="12">
        <v>1016.4</v>
      </c>
      <c r="K1107" s="12">
        <v>1000.68</v>
      </c>
      <c r="L1107" s="12">
        <v>-4065.6</v>
      </c>
      <c r="M1107" s="12">
        <v>-1.3</v>
      </c>
      <c r="N1107" s="12">
        <v>4066.9</v>
      </c>
      <c r="O1107" s="12">
        <v>0</v>
      </c>
      <c r="P1107" s="12">
        <v>-62.88</v>
      </c>
      <c r="Q1107" s="12" t="s">
        <v>215</v>
      </c>
    </row>
    <row r="1108" spans="1:17" x14ac:dyDescent="0.3">
      <c r="A1108" s="12" t="s">
        <v>91</v>
      </c>
      <c r="B1108" s="12" t="s">
        <v>201</v>
      </c>
      <c r="C1108" s="12" t="s">
        <v>123</v>
      </c>
      <c r="D1108" s="12" t="s">
        <v>209</v>
      </c>
      <c r="E1108" s="12" t="s">
        <v>110</v>
      </c>
      <c r="F1108" s="12" t="s">
        <v>114</v>
      </c>
      <c r="G1108" s="12" t="s">
        <v>51</v>
      </c>
      <c r="H1108" s="12" t="s">
        <v>656</v>
      </c>
      <c r="I1108" s="12">
        <v>-2</v>
      </c>
      <c r="J1108" s="12">
        <v>874.84</v>
      </c>
      <c r="K1108" s="12">
        <v>896.47</v>
      </c>
      <c r="L1108" s="12">
        <v>1749.68</v>
      </c>
      <c r="M1108" s="12">
        <v>-1.3</v>
      </c>
      <c r="N1108" s="12">
        <v>-2033.45</v>
      </c>
      <c r="O1108" s="12">
        <v>-285.07</v>
      </c>
      <c r="P1108" s="12">
        <v>-43.26</v>
      </c>
      <c r="Q1108" s="12" t="s">
        <v>3</v>
      </c>
    </row>
    <row r="1109" spans="1:17" x14ac:dyDescent="0.3">
      <c r="A1109" s="12" t="s">
        <v>91</v>
      </c>
      <c r="B1109" s="12" t="s">
        <v>201</v>
      </c>
      <c r="C1109" s="12" t="s">
        <v>213</v>
      </c>
      <c r="E1109" s="12" t="s">
        <v>110</v>
      </c>
      <c r="F1109" s="12" t="s">
        <v>114</v>
      </c>
      <c r="G1109" s="12" t="s">
        <v>51</v>
      </c>
      <c r="I1109" s="12">
        <v>2</v>
      </c>
      <c r="L1109" s="12">
        <v>-2315.92</v>
      </c>
      <c r="M1109" s="12">
        <v>-2.6</v>
      </c>
      <c r="N1109" s="12">
        <v>2033.45</v>
      </c>
      <c r="O1109" s="12">
        <v>-285.07</v>
      </c>
      <c r="P1109" s="12">
        <v>-106.14</v>
      </c>
    </row>
    <row r="1110" spans="1:17" x14ac:dyDescent="0.3">
      <c r="A1110" s="12" t="s">
        <v>91</v>
      </c>
      <c r="B1110" s="12" t="s">
        <v>201</v>
      </c>
      <c r="C1110" s="12" t="s">
        <v>123</v>
      </c>
      <c r="D1110" s="12" t="s">
        <v>209</v>
      </c>
      <c r="E1110" s="12" t="s">
        <v>110</v>
      </c>
      <c r="F1110" s="12" t="s">
        <v>114</v>
      </c>
      <c r="G1110" s="12" t="s">
        <v>31</v>
      </c>
      <c r="H1110" s="12" t="s">
        <v>657</v>
      </c>
      <c r="I1110" s="12">
        <v>-18</v>
      </c>
      <c r="J1110" s="12">
        <v>176.8</v>
      </c>
      <c r="K1110" s="12">
        <v>177.93</v>
      </c>
      <c r="L1110" s="12">
        <v>3182.4</v>
      </c>
      <c r="M1110" s="12">
        <v>-1.3</v>
      </c>
      <c r="N1110" s="12">
        <v>-3286.97</v>
      </c>
      <c r="O1110" s="12">
        <v>-105.87</v>
      </c>
      <c r="P1110" s="12">
        <v>-20.34</v>
      </c>
      <c r="Q1110" s="12" t="s">
        <v>3</v>
      </c>
    </row>
    <row r="1111" spans="1:17" x14ac:dyDescent="0.3">
      <c r="A1111" s="12" t="s">
        <v>91</v>
      </c>
      <c r="B1111" s="12" t="s">
        <v>201</v>
      </c>
      <c r="C1111" s="12" t="s">
        <v>213</v>
      </c>
      <c r="E1111" s="12" t="s">
        <v>110</v>
      </c>
      <c r="F1111" s="12" t="s">
        <v>114</v>
      </c>
      <c r="G1111" s="12" t="s">
        <v>31</v>
      </c>
      <c r="I1111" s="12">
        <v>-18</v>
      </c>
      <c r="L1111" s="12">
        <v>3182.4</v>
      </c>
      <c r="M1111" s="12">
        <v>-1.3</v>
      </c>
      <c r="N1111" s="12">
        <v>-3286.97</v>
      </c>
      <c r="O1111" s="12">
        <v>-105.87</v>
      </c>
      <c r="P1111" s="12">
        <v>-20.34</v>
      </c>
    </row>
    <row r="1112" spans="1:17" x14ac:dyDescent="0.3">
      <c r="A1112" s="12" t="s">
        <v>91</v>
      </c>
      <c r="B1112" s="12" t="s">
        <v>201</v>
      </c>
      <c r="C1112" s="12" t="s">
        <v>123</v>
      </c>
      <c r="D1112" s="12" t="s">
        <v>209</v>
      </c>
      <c r="E1112" s="12" t="s">
        <v>110</v>
      </c>
      <c r="F1112" s="12" t="s">
        <v>114</v>
      </c>
      <c r="G1112" s="12" t="s">
        <v>34</v>
      </c>
      <c r="H1112" s="12" t="s">
        <v>658</v>
      </c>
      <c r="I1112" s="12">
        <v>4</v>
      </c>
      <c r="J1112" s="12">
        <v>276.37</v>
      </c>
      <c r="K1112" s="12">
        <v>273.02</v>
      </c>
      <c r="L1112" s="12">
        <v>-1105.48</v>
      </c>
      <c r="M1112" s="12">
        <v>-1.3</v>
      </c>
      <c r="N1112" s="12">
        <v>1106.78</v>
      </c>
      <c r="O1112" s="12">
        <v>0</v>
      </c>
      <c r="P1112" s="12">
        <v>-13.4</v>
      </c>
      <c r="Q1112" s="12" t="s">
        <v>215</v>
      </c>
    </row>
    <row r="1113" spans="1:17" x14ac:dyDescent="0.3">
      <c r="A1113" s="12" t="s">
        <v>91</v>
      </c>
      <c r="B1113" s="12" t="s">
        <v>201</v>
      </c>
      <c r="C1113" s="12" t="s">
        <v>213</v>
      </c>
      <c r="E1113" s="12" t="s">
        <v>110</v>
      </c>
      <c r="F1113" s="12" t="s">
        <v>114</v>
      </c>
      <c r="G1113" s="12" t="s">
        <v>34</v>
      </c>
      <c r="I1113" s="12">
        <v>4</v>
      </c>
      <c r="L1113" s="12">
        <v>-1105.48</v>
      </c>
      <c r="M1113" s="12">
        <v>-1.3</v>
      </c>
      <c r="N1113" s="12">
        <v>1106.78</v>
      </c>
      <c r="O1113" s="12">
        <v>0</v>
      </c>
      <c r="P1113" s="12">
        <v>-13.4</v>
      </c>
    </row>
    <row r="1114" spans="1:17" x14ac:dyDescent="0.3">
      <c r="A1114" s="12" t="s">
        <v>91</v>
      </c>
      <c r="B1114" s="12" t="s">
        <v>201</v>
      </c>
      <c r="C1114" s="12" t="s">
        <v>123</v>
      </c>
      <c r="D1114" s="12" t="s">
        <v>209</v>
      </c>
      <c r="E1114" s="12" t="s">
        <v>110</v>
      </c>
      <c r="F1114" s="12" t="s">
        <v>114</v>
      </c>
      <c r="G1114" s="12" t="s">
        <v>41</v>
      </c>
      <c r="H1114" s="12" t="s">
        <v>659</v>
      </c>
      <c r="I1114" s="12">
        <v>600</v>
      </c>
      <c r="J1114" s="12">
        <v>41.597999999999999</v>
      </c>
      <c r="K1114" s="12">
        <v>41.53</v>
      </c>
      <c r="L1114" s="12">
        <v>-24958.799999999999</v>
      </c>
      <c r="M1114" s="12">
        <v>-4.2</v>
      </c>
      <c r="N1114" s="12">
        <v>24963</v>
      </c>
      <c r="O1114" s="12">
        <v>0</v>
      </c>
      <c r="P1114" s="12">
        <v>-40.799999999999997</v>
      </c>
      <c r="Q1114" s="12" t="s">
        <v>215</v>
      </c>
    </row>
    <row r="1115" spans="1:17" x14ac:dyDescent="0.3">
      <c r="A1115" s="12" t="s">
        <v>91</v>
      </c>
      <c r="B1115" s="12" t="s">
        <v>201</v>
      </c>
      <c r="C1115" s="12" t="s">
        <v>213</v>
      </c>
      <c r="E1115" s="12" t="s">
        <v>110</v>
      </c>
      <c r="F1115" s="12" t="s">
        <v>114</v>
      </c>
      <c r="G1115" s="12" t="s">
        <v>41</v>
      </c>
      <c r="I1115" s="12">
        <v>600</v>
      </c>
      <c r="L1115" s="12">
        <v>-24958.799999999999</v>
      </c>
      <c r="M1115" s="12">
        <v>-4.2</v>
      </c>
      <c r="N1115" s="12">
        <v>24963</v>
      </c>
      <c r="O1115" s="12">
        <v>0</v>
      </c>
      <c r="P1115" s="12">
        <v>-40.799999999999997</v>
      </c>
    </row>
    <row r="1116" spans="1:17" x14ac:dyDescent="0.3">
      <c r="A1116" s="12" t="s">
        <v>91</v>
      </c>
      <c r="B1116" s="12" t="s">
        <v>201</v>
      </c>
      <c r="C1116" s="12" t="s">
        <v>97</v>
      </c>
      <c r="E1116" s="12" t="s">
        <v>110</v>
      </c>
      <c r="F1116" s="12" t="s">
        <v>114</v>
      </c>
      <c r="L1116" s="12">
        <v>-34217.68</v>
      </c>
      <c r="M1116" s="12">
        <v>-36.700000000000003</v>
      </c>
      <c r="N1116" s="12">
        <v>37558.259211999997</v>
      </c>
      <c r="O1116" s="12">
        <v>3303.8792119999998</v>
      </c>
      <c r="P1116" s="12">
        <v>-75.67</v>
      </c>
      <c r="Q1116" s="12" t="s">
        <v>257</v>
      </c>
    </row>
    <row r="1117" spans="1:17" x14ac:dyDescent="0.3">
      <c r="A1117" s="12" t="s">
        <v>91</v>
      </c>
      <c r="B1117" s="12" t="s">
        <v>201</v>
      </c>
      <c r="C1117" s="12" t="s">
        <v>120</v>
      </c>
      <c r="D1117" s="12" t="s">
        <v>192</v>
      </c>
      <c r="E1117" s="12" t="s">
        <v>100</v>
      </c>
      <c r="F1117" s="12" t="s">
        <v>181</v>
      </c>
      <c r="G1117" s="12" t="s">
        <v>0</v>
      </c>
      <c r="H1117" s="12" t="s">
        <v>202</v>
      </c>
      <c r="I1117" s="12" t="s">
        <v>193</v>
      </c>
      <c r="J1117" s="12" t="s">
        <v>203</v>
      </c>
      <c r="K1117" s="12" t="s">
        <v>204</v>
      </c>
      <c r="L1117" s="12" t="s">
        <v>258</v>
      </c>
      <c r="M1117" s="12" t="s">
        <v>206</v>
      </c>
      <c r="N1117" s="12" t="s">
        <v>1</v>
      </c>
      <c r="O1117" s="12" t="s">
        <v>207</v>
      </c>
      <c r="P1117" s="12" t="s">
        <v>208</v>
      </c>
      <c r="Q1117" s="12" t="s">
        <v>165</v>
      </c>
    </row>
    <row r="1118" spans="1:17" x14ac:dyDescent="0.3">
      <c r="A1118" s="12" t="s">
        <v>91</v>
      </c>
      <c r="B1118" s="12" t="s">
        <v>201</v>
      </c>
      <c r="C1118" s="12" t="s">
        <v>123</v>
      </c>
      <c r="D1118" s="12" t="s">
        <v>209</v>
      </c>
      <c r="E1118" s="12" t="s">
        <v>112</v>
      </c>
      <c r="F1118" s="12" t="s">
        <v>114</v>
      </c>
      <c r="G1118" s="12" t="s">
        <v>36</v>
      </c>
      <c r="H1118" s="12" t="s">
        <v>660</v>
      </c>
      <c r="I1118" s="12">
        <v>2</v>
      </c>
      <c r="J1118" s="12">
        <v>5144.75</v>
      </c>
      <c r="K1118" s="12">
        <v>5138.25</v>
      </c>
      <c r="L1118" s="12">
        <v>-51447.5</v>
      </c>
      <c r="M1118" s="12">
        <v>-6</v>
      </c>
      <c r="N1118" s="12">
        <v>47466.5</v>
      </c>
      <c r="O1118" s="12">
        <v>-3987</v>
      </c>
      <c r="P1118" s="12">
        <v>-65</v>
      </c>
      <c r="Q1118" s="12" t="s">
        <v>230</v>
      </c>
    </row>
    <row r="1119" spans="1:17" x14ac:dyDescent="0.3">
      <c r="A1119" s="12" t="s">
        <v>91</v>
      </c>
      <c r="B1119" s="12" t="s">
        <v>201</v>
      </c>
      <c r="C1119" s="12" t="s">
        <v>123</v>
      </c>
      <c r="D1119" s="12" t="s">
        <v>209</v>
      </c>
      <c r="E1119" s="12" t="s">
        <v>112</v>
      </c>
      <c r="F1119" s="12" t="s">
        <v>114</v>
      </c>
      <c r="G1119" s="12" t="s">
        <v>36</v>
      </c>
      <c r="H1119" s="12" t="s">
        <v>661</v>
      </c>
      <c r="I1119" s="12">
        <v>3</v>
      </c>
      <c r="J1119" s="12">
        <v>5088.75</v>
      </c>
      <c r="K1119" s="12">
        <v>5085.75</v>
      </c>
      <c r="L1119" s="12">
        <v>-76331.25</v>
      </c>
      <c r="M1119" s="12">
        <v>-9</v>
      </c>
      <c r="N1119" s="12">
        <v>71293.5</v>
      </c>
      <c r="O1119" s="12">
        <v>-5046.75</v>
      </c>
      <c r="P1119" s="12">
        <v>-45</v>
      </c>
      <c r="Q1119" s="12" t="s">
        <v>230</v>
      </c>
    </row>
    <row r="1120" spans="1:17" x14ac:dyDescent="0.3">
      <c r="A1120" s="12" t="s">
        <v>91</v>
      </c>
      <c r="B1120" s="12" t="s">
        <v>201</v>
      </c>
      <c r="C1120" s="12" t="s">
        <v>123</v>
      </c>
      <c r="D1120" s="12" t="s">
        <v>209</v>
      </c>
      <c r="E1120" s="12" t="s">
        <v>112</v>
      </c>
      <c r="F1120" s="12" t="s">
        <v>114</v>
      </c>
      <c r="G1120" s="12" t="s">
        <v>36</v>
      </c>
      <c r="H1120" s="12" t="s">
        <v>662</v>
      </c>
      <c r="I1120" s="12">
        <v>3</v>
      </c>
      <c r="J1120" s="12">
        <v>5084</v>
      </c>
      <c r="K1120" s="12">
        <v>5085.75</v>
      </c>
      <c r="L1120" s="12">
        <v>-76260</v>
      </c>
      <c r="M1120" s="12">
        <v>-9</v>
      </c>
      <c r="N1120" s="12">
        <v>73203.5</v>
      </c>
      <c r="O1120" s="12">
        <v>-3065.5</v>
      </c>
      <c r="P1120" s="12">
        <v>26.25</v>
      </c>
      <c r="Q1120" s="12" t="s">
        <v>3</v>
      </c>
    </row>
    <row r="1121" spans="1:17" x14ac:dyDescent="0.3">
      <c r="A1121" s="12" t="s">
        <v>91</v>
      </c>
      <c r="B1121" s="12" t="s">
        <v>201</v>
      </c>
      <c r="C1121" s="12" t="s">
        <v>213</v>
      </c>
      <c r="E1121" s="12" t="s">
        <v>112</v>
      </c>
      <c r="F1121" s="12" t="s">
        <v>114</v>
      </c>
      <c r="G1121" s="12" t="s">
        <v>36</v>
      </c>
      <c r="I1121" s="12">
        <v>8</v>
      </c>
      <c r="L1121" s="12">
        <v>-204038.75</v>
      </c>
      <c r="M1121" s="12">
        <v>-24</v>
      </c>
      <c r="N1121" s="12">
        <v>191963.5</v>
      </c>
      <c r="O1121" s="12">
        <v>-12099.25</v>
      </c>
      <c r="P1121" s="12">
        <v>-83.75</v>
      </c>
    </row>
    <row r="1122" spans="1:17" x14ac:dyDescent="0.3">
      <c r="A1122" s="12" t="s">
        <v>91</v>
      </c>
      <c r="B1122" s="12" t="s">
        <v>201</v>
      </c>
      <c r="C1122" s="12" t="s">
        <v>123</v>
      </c>
      <c r="D1122" s="12" t="s">
        <v>209</v>
      </c>
      <c r="E1122" s="12" t="s">
        <v>112</v>
      </c>
      <c r="F1122" s="12" t="s">
        <v>114</v>
      </c>
      <c r="G1122" s="12" t="s">
        <v>52</v>
      </c>
      <c r="H1122" s="12" t="s">
        <v>663</v>
      </c>
      <c r="I1122" s="12">
        <v>-1</v>
      </c>
      <c r="J1122" s="12">
        <v>5208</v>
      </c>
      <c r="K1122" s="12">
        <v>5200.75</v>
      </c>
      <c r="L1122" s="12">
        <v>26040</v>
      </c>
      <c r="M1122" s="12">
        <v>-3</v>
      </c>
      <c r="N1122" s="12">
        <v>-26037</v>
      </c>
      <c r="O1122" s="12">
        <v>0</v>
      </c>
      <c r="P1122" s="12">
        <v>36.25</v>
      </c>
      <c r="Q1122" s="12" t="s">
        <v>215</v>
      </c>
    </row>
    <row r="1123" spans="1:17" x14ac:dyDescent="0.3">
      <c r="A1123" s="12" t="s">
        <v>91</v>
      </c>
      <c r="B1123" s="12" t="s">
        <v>201</v>
      </c>
      <c r="C1123" s="12" t="s">
        <v>123</v>
      </c>
      <c r="D1123" s="12" t="s">
        <v>209</v>
      </c>
      <c r="E1123" s="12" t="s">
        <v>112</v>
      </c>
      <c r="F1123" s="12" t="s">
        <v>114</v>
      </c>
      <c r="G1123" s="12" t="s">
        <v>52</v>
      </c>
      <c r="H1123" s="12" t="s">
        <v>664</v>
      </c>
      <c r="I1123" s="12">
        <v>-3</v>
      </c>
      <c r="J1123" s="12">
        <v>5156.1666666669998</v>
      </c>
      <c r="K1123" s="12">
        <v>5147.25</v>
      </c>
      <c r="L1123" s="12">
        <v>77342.5</v>
      </c>
      <c r="M1123" s="12">
        <v>-9</v>
      </c>
      <c r="N1123" s="12">
        <v>-77333.5</v>
      </c>
      <c r="O1123" s="12">
        <v>0</v>
      </c>
      <c r="P1123" s="12">
        <v>133.75</v>
      </c>
      <c r="Q1123" s="12" t="s">
        <v>211</v>
      </c>
    </row>
    <row r="1124" spans="1:17" x14ac:dyDescent="0.3">
      <c r="A1124" s="12" t="s">
        <v>91</v>
      </c>
      <c r="B1124" s="12" t="s">
        <v>201</v>
      </c>
      <c r="C1124" s="12" t="s">
        <v>123</v>
      </c>
      <c r="D1124" s="12" t="s">
        <v>209</v>
      </c>
      <c r="E1124" s="12" t="s">
        <v>112</v>
      </c>
      <c r="F1124" s="12" t="s">
        <v>114</v>
      </c>
      <c r="G1124" s="12" t="s">
        <v>52</v>
      </c>
      <c r="H1124" s="12" t="s">
        <v>665</v>
      </c>
      <c r="I1124" s="12">
        <v>-1</v>
      </c>
      <c r="J1124" s="12">
        <v>5129.25</v>
      </c>
      <c r="K1124" s="12">
        <v>5147.25</v>
      </c>
      <c r="L1124" s="12">
        <v>25646.25</v>
      </c>
      <c r="M1124" s="12">
        <v>-3</v>
      </c>
      <c r="N1124" s="12">
        <v>-25643.25</v>
      </c>
      <c r="O1124" s="12">
        <v>0</v>
      </c>
      <c r="P1124" s="12">
        <v>-90</v>
      </c>
      <c r="Q1124" s="12" t="s">
        <v>215</v>
      </c>
    </row>
    <row r="1125" spans="1:17" x14ac:dyDescent="0.3">
      <c r="A1125" s="12" t="s">
        <v>91</v>
      </c>
      <c r="B1125" s="12" t="s">
        <v>201</v>
      </c>
      <c r="C1125" s="12" t="s">
        <v>123</v>
      </c>
      <c r="D1125" s="12" t="s">
        <v>209</v>
      </c>
      <c r="E1125" s="12" t="s">
        <v>112</v>
      </c>
      <c r="F1125" s="12" t="s">
        <v>114</v>
      </c>
      <c r="G1125" s="12" t="s">
        <v>52</v>
      </c>
      <c r="H1125" s="12" t="s">
        <v>666</v>
      </c>
      <c r="I1125" s="12">
        <v>-2</v>
      </c>
      <c r="J1125" s="12">
        <v>5136.75</v>
      </c>
      <c r="K1125" s="12">
        <v>5147.25</v>
      </c>
      <c r="L1125" s="12">
        <v>51367.5</v>
      </c>
      <c r="M1125" s="12">
        <v>-6</v>
      </c>
      <c r="N1125" s="12">
        <v>-51361.5</v>
      </c>
      <c r="O1125" s="12">
        <v>0</v>
      </c>
      <c r="P1125" s="12">
        <v>-105</v>
      </c>
      <c r="Q1125" s="12" t="s">
        <v>215</v>
      </c>
    </row>
    <row r="1126" spans="1:17" x14ac:dyDescent="0.3">
      <c r="A1126" s="12" t="s">
        <v>91</v>
      </c>
      <c r="B1126" s="12" t="s">
        <v>201</v>
      </c>
      <c r="C1126" s="12" t="s">
        <v>123</v>
      </c>
      <c r="D1126" s="12" t="s">
        <v>209</v>
      </c>
      <c r="E1126" s="12" t="s">
        <v>112</v>
      </c>
      <c r="F1126" s="12" t="s">
        <v>114</v>
      </c>
      <c r="G1126" s="12" t="s">
        <v>52</v>
      </c>
      <c r="H1126" s="12" t="s">
        <v>667</v>
      </c>
      <c r="I1126" s="12">
        <v>-1</v>
      </c>
      <c r="J1126" s="12">
        <v>5170.75</v>
      </c>
      <c r="K1126" s="12">
        <v>5185.75</v>
      </c>
      <c r="L1126" s="12">
        <v>25853.75</v>
      </c>
      <c r="M1126" s="12">
        <v>-3</v>
      </c>
      <c r="N1126" s="12">
        <v>-25850.75</v>
      </c>
      <c r="O1126" s="12">
        <v>0</v>
      </c>
      <c r="P1126" s="12">
        <v>-75</v>
      </c>
      <c r="Q1126" s="12" t="s">
        <v>215</v>
      </c>
    </row>
    <row r="1127" spans="1:17" x14ac:dyDescent="0.3">
      <c r="A1127" s="12" t="s">
        <v>91</v>
      </c>
      <c r="B1127" s="12" t="s">
        <v>201</v>
      </c>
      <c r="C1127" s="12" t="s">
        <v>213</v>
      </c>
      <c r="E1127" s="12" t="s">
        <v>112</v>
      </c>
      <c r="F1127" s="12" t="s">
        <v>114</v>
      </c>
      <c r="G1127" s="12" t="s">
        <v>52</v>
      </c>
      <c r="I1127" s="12">
        <v>-8</v>
      </c>
      <c r="L1127" s="12">
        <v>206250</v>
      </c>
      <c r="M1127" s="12">
        <v>-24</v>
      </c>
      <c r="N1127" s="12">
        <v>-206226</v>
      </c>
      <c r="O1127" s="12">
        <v>0</v>
      </c>
      <c r="P1127" s="12">
        <v>-100</v>
      </c>
    </row>
    <row r="1128" spans="1:17" x14ac:dyDescent="0.3">
      <c r="A1128" s="12" t="s">
        <v>91</v>
      </c>
      <c r="B1128" s="12" t="s">
        <v>201</v>
      </c>
      <c r="C1128" s="12" t="s">
        <v>123</v>
      </c>
      <c r="D1128" s="12" t="s">
        <v>209</v>
      </c>
      <c r="E1128" s="12" t="s">
        <v>112</v>
      </c>
      <c r="F1128" s="12" t="s">
        <v>114</v>
      </c>
      <c r="G1128" s="12" t="s">
        <v>53</v>
      </c>
      <c r="H1128" s="12" t="s">
        <v>668</v>
      </c>
      <c r="I1128" s="12">
        <v>-1</v>
      </c>
      <c r="J1128" s="12">
        <v>18550.75</v>
      </c>
      <c r="K1128" s="12">
        <v>18509.75</v>
      </c>
      <c r="L1128" s="12">
        <v>37101.5</v>
      </c>
      <c r="M1128" s="12">
        <v>-3</v>
      </c>
      <c r="N1128" s="12">
        <v>-37098.5</v>
      </c>
      <c r="O1128" s="12">
        <v>0</v>
      </c>
      <c r="P1128" s="12">
        <v>82</v>
      </c>
      <c r="Q1128" s="12" t="s">
        <v>215</v>
      </c>
    </row>
    <row r="1129" spans="1:17" x14ac:dyDescent="0.3">
      <c r="A1129" s="12" t="s">
        <v>91</v>
      </c>
      <c r="B1129" s="12" t="s">
        <v>201</v>
      </c>
      <c r="C1129" s="12" t="s">
        <v>213</v>
      </c>
      <c r="E1129" s="12" t="s">
        <v>112</v>
      </c>
      <c r="F1129" s="12" t="s">
        <v>114</v>
      </c>
      <c r="G1129" s="12" t="s">
        <v>53</v>
      </c>
      <c r="I1129" s="12">
        <v>-1</v>
      </c>
      <c r="L1129" s="12">
        <v>37101.5</v>
      </c>
      <c r="M1129" s="12">
        <v>-3</v>
      </c>
      <c r="N1129" s="12">
        <v>-37098.5</v>
      </c>
      <c r="O1129" s="12">
        <v>0</v>
      </c>
      <c r="P1129" s="12">
        <v>82</v>
      </c>
    </row>
    <row r="1130" spans="1:17" x14ac:dyDescent="0.3">
      <c r="A1130" s="12" t="s">
        <v>91</v>
      </c>
      <c r="B1130" s="12" t="s">
        <v>201</v>
      </c>
      <c r="C1130" s="12" t="s">
        <v>97</v>
      </c>
      <c r="E1130" s="12" t="s">
        <v>112</v>
      </c>
      <c r="F1130" s="12" t="s">
        <v>114</v>
      </c>
      <c r="L1130" s="12">
        <v>39312.75</v>
      </c>
      <c r="M1130" s="12">
        <v>-51</v>
      </c>
      <c r="N1130" s="12">
        <v>-51361</v>
      </c>
      <c r="O1130" s="12">
        <v>-12099.25</v>
      </c>
      <c r="P1130" s="12">
        <v>-101.75</v>
      </c>
      <c r="Q1130" s="12" t="s">
        <v>257</v>
      </c>
    </row>
    <row r="1131" spans="1:17" x14ac:dyDescent="0.3">
      <c r="A1131" s="12" t="s">
        <v>91</v>
      </c>
      <c r="B1131" s="12" t="s">
        <v>157</v>
      </c>
      <c r="C1131" s="12" t="s">
        <v>120</v>
      </c>
      <c r="D1131" s="12" t="s">
        <v>181</v>
      </c>
      <c r="E1131" s="12" t="s">
        <v>268</v>
      </c>
      <c r="F1131" s="12" t="s">
        <v>269</v>
      </c>
      <c r="G1131" s="12" t="s">
        <v>270</v>
      </c>
    </row>
    <row r="1132" spans="1:17" x14ac:dyDescent="0.3">
      <c r="A1132" s="12" t="s">
        <v>91</v>
      </c>
      <c r="B1132" s="12" t="s">
        <v>157</v>
      </c>
      <c r="C1132" s="12" t="s">
        <v>123</v>
      </c>
      <c r="D1132" s="12" t="s">
        <v>114</v>
      </c>
      <c r="E1132" s="20">
        <v>45362</v>
      </c>
      <c r="F1132" s="12" t="s">
        <v>669</v>
      </c>
      <c r="G1132" s="12">
        <v>95</v>
      </c>
    </row>
    <row r="1133" spans="1:17" x14ac:dyDescent="0.3">
      <c r="A1133" s="12" t="s">
        <v>91</v>
      </c>
      <c r="B1133" s="12" t="s">
        <v>157</v>
      </c>
      <c r="C1133" s="12" t="s">
        <v>123</v>
      </c>
      <c r="D1133" s="12" t="s">
        <v>114</v>
      </c>
      <c r="E1133" s="20">
        <v>45365</v>
      </c>
      <c r="F1133" s="12" t="s">
        <v>670</v>
      </c>
      <c r="G1133" s="12">
        <v>36.75</v>
      </c>
    </row>
    <row r="1134" spans="1:17" x14ac:dyDescent="0.3">
      <c r="A1134" s="12" t="s">
        <v>91</v>
      </c>
      <c r="B1134" s="12" t="s">
        <v>157</v>
      </c>
      <c r="C1134" s="12" t="s">
        <v>123</v>
      </c>
      <c r="D1134" s="12" t="s">
        <v>114</v>
      </c>
      <c r="E1134" s="20">
        <v>45366</v>
      </c>
      <c r="F1134" s="12" t="s">
        <v>671</v>
      </c>
      <c r="G1134" s="12">
        <v>8.5</v>
      </c>
    </row>
    <row r="1135" spans="1:17" x14ac:dyDescent="0.3">
      <c r="A1135" s="12" t="s">
        <v>91</v>
      </c>
      <c r="B1135" s="12" t="s">
        <v>157</v>
      </c>
      <c r="C1135" s="12" t="s">
        <v>123</v>
      </c>
      <c r="D1135" s="12" t="s">
        <v>114</v>
      </c>
      <c r="E1135" s="20">
        <v>45372</v>
      </c>
      <c r="F1135" s="12" t="s">
        <v>672</v>
      </c>
      <c r="G1135" s="12">
        <v>24.75</v>
      </c>
    </row>
    <row r="1136" spans="1:17" x14ac:dyDescent="0.3">
      <c r="A1136" s="12" t="s">
        <v>91</v>
      </c>
      <c r="B1136" s="12" t="s">
        <v>157</v>
      </c>
      <c r="C1136" s="12" t="s">
        <v>123</v>
      </c>
      <c r="D1136" s="12" t="s">
        <v>114</v>
      </c>
      <c r="E1136" s="20">
        <v>45372</v>
      </c>
      <c r="F1136" s="12" t="s">
        <v>673</v>
      </c>
      <c r="G1136" s="12">
        <v>16</v>
      </c>
    </row>
    <row r="1137" spans="1:8" x14ac:dyDescent="0.3">
      <c r="A1137" s="12" t="s">
        <v>91</v>
      </c>
      <c r="B1137" s="12" t="s">
        <v>157</v>
      </c>
      <c r="C1137" s="12" t="s">
        <v>123</v>
      </c>
      <c r="D1137" s="12" t="s">
        <v>114</v>
      </c>
      <c r="E1137" s="20">
        <v>45372</v>
      </c>
      <c r="F1137" s="12" t="s">
        <v>674</v>
      </c>
      <c r="G1137" s="12">
        <v>16.96</v>
      </c>
    </row>
    <row r="1138" spans="1:8" x14ac:dyDescent="0.3">
      <c r="A1138" s="12" t="s">
        <v>91</v>
      </c>
      <c r="B1138" s="12" t="s">
        <v>157</v>
      </c>
      <c r="C1138" s="12" t="s">
        <v>123</v>
      </c>
      <c r="D1138" s="12" t="s">
        <v>114</v>
      </c>
      <c r="E1138" s="20">
        <v>45372</v>
      </c>
      <c r="F1138" s="12" t="s">
        <v>675</v>
      </c>
      <c r="G1138" s="12">
        <v>41.56</v>
      </c>
    </row>
    <row r="1139" spans="1:8" x14ac:dyDescent="0.3">
      <c r="A1139" s="12" t="s">
        <v>91</v>
      </c>
      <c r="B1139" s="12" t="s">
        <v>157</v>
      </c>
      <c r="C1139" s="12" t="s">
        <v>123</v>
      </c>
      <c r="D1139" s="12" t="s">
        <v>114</v>
      </c>
      <c r="E1139" s="20">
        <v>45372</v>
      </c>
      <c r="F1139" s="12" t="s">
        <v>676</v>
      </c>
      <c r="G1139" s="12">
        <v>15.69</v>
      </c>
    </row>
    <row r="1140" spans="1:8" x14ac:dyDescent="0.3">
      <c r="A1140" s="12" t="s">
        <v>91</v>
      </c>
      <c r="B1140" s="12" t="s">
        <v>157</v>
      </c>
      <c r="C1140" s="12" t="s">
        <v>123</v>
      </c>
      <c r="D1140" s="12" t="s">
        <v>114</v>
      </c>
      <c r="E1140" s="20">
        <v>45373</v>
      </c>
      <c r="F1140" s="12" t="s">
        <v>677</v>
      </c>
      <c r="G1140" s="12">
        <v>107.87</v>
      </c>
    </row>
    <row r="1141" spans="1:8" x14ac:dyDescent="0.3">
      <c r="A1141" s="12" t="s">
        <v>91</v>
      </c>
      <c r="B1141" s="12" t="s">
        <v>157</v>
      </c>
      <c r="C1141" s="12" t="s">
        <v>123</v>
      </c>
      <c r="D1141" s="12" t="s">
        <v>114</v>
      </c>
      <c r="E1141" s="20">
        <v>45377</v>
      </c>
      <c r="F1141" s="12" t="s">
        <v>678</v>
      </c>
      <c r="G1141" s="12">
        <v>5.5</v>
      </c>
    </row>
    <row r="1142" spans="1:8" x14ac:dyDescent="0.3">
      <c r="A1142" s="12" t="s">
        <v>91</v>
      </c>
      <c r="B1142" s="12" t="s">
        <v>157</v>
      </c>
      <c r="C1142" s="12" t="s">
        <v>123</v>
      </c>
      <c r="D1142" s="12" t="s">
        <v>114</v>
      </c>
      <c r="E1142" s="20">
        <v>45379</v>
      </c>
      <c r="F1142" s="12" t="s">
        <v>679</v>
      </c>
      <c r="G1142" s="12">
        <v>1</v>
      </c>
    </row>
    <row r="1143" spans="1:8" x14ac:dyDescent="0.3">
      <c r="A1143" s="12" t="s">
        <v>91</v>
      </c>
      <c r="B1143" s="12" t="s">
        <v>157</v>
      </c>
      <c r="C1143" s="12" t="s">
        <v>123</v>
      </c>
      <c r="D1143" s="12" t="s">
        <v>97</v>
      </c>
      <c r="G1143" s="12">
        <v>369.58</v>
      </c>
    </row>
    <row r="1144" spans="1:8" x14ac:dyDescent="0.3">
      <c r="A1144" s="12" t="s">
        <v>91</v>
      </c>
      <c r="B1144" s="12" t="s">
        <v>158</v>
      </c>
      <c r="C1144" s="12" t="s">
        <v>120</v>
      </c>
      <c r="D1144" s="12" t="s">
        <v>181</v>
      </c>
      <c r="E1144" s="12" t="s">
        <v>268</v>
      </c>
      <c r="F1144" s="12" t="s">
        <v>269</v>
      </c>
      <c r="G1144" s="12" t="s">
        <v>270</v>
      </c>
      <c r="H1144" s="12" t="s">
        <v>165</v>
      </c>
    </row>
    <row r="1145" spans="1:8" x14ac:dyDescent="0.3">
      <c r="A1145" s="12" t="s">
        <v>91</v>
      </c>
      <c r="B1145" s="12" t="s">
        <v>158</v>
      </c>
      <c r="C1145" s="12" t="s">
        <v>123</v>
      </c>
      <c r="D1145" s="12" t="s">
        <v>114</v>
      </c>
      <c r="E1145" s="20">
        <v>45362</v>
      </c>
      <c r="F1145" s="12" t="s">
        <v>680</v>
      </c>
      <c r="G1145" s="12">
        <v>-23.75</v>
      </c>
    </row>
    <row r="1146" spans="1:8" x14ac:dyDescent="0.3">
      <c r="A1146" s="12" t="s">
        <v>91</v>
      </c>
      <c r="B1146" s="12" t="s">
        <v>158</v>
      </c>
      <c r="C1146" s="12" t="s">
        <v>123</v>
      </c>
      <c r="D1146" s="12" t="s">
        <v>114</v>
      </c>
      <c r="E1146" s="20">
        <v>45365</v>
      </c>
      <c r="F1146" s="12" t="s">
        <v>681</v>
      </c>
      <c r="G1146" s="12">
        <v>-9.19</v>
      </c>
    </row>
    <row r="1147" spans="1:8" x14ac:dyDescent="0.3">
      <c r="A1147" s="12" t="s">
        <v>91</v>
      </c>
      <c r="B1147" s="12" t="s">
        <v>158</v>
      </c>
      <c r="C1147" s="12" t="s">
        <v>123</v>
      </c>
      <c r="D1147" s="12" t="s">
        <v>114</v>
      </c>
      <c r="E1147" s="20">
        <v>45366</v>
      </c>
      <c r="F1147" s="12" t="s">
        <v>682</v>
      </c>
      <c r="G1147" s="12">
        <v>-2.13</v>
      </c>
    </row>
    <row r="1148" spans="1:8" x14ac:dyDescent="0.3">
      <c r="A1148" s="12" t="s">
        <v>91</v>
      </c>
      <c r="B1148" s="12" t="s">
        <v>158</v>
      </c>
      <c r="C1148" s="12" t="s">
        <v>123</v>
      </c>
      <c r="D1148" s="12" t="s">
        <v>114</v>
      </c>
      <c r="E1148" s="20">
        <v>45372</v>
      </c>
      <c r="F1148" s="12" t="s">
        <v>683</v>
      </c>
      <c r="G1148" s="12">
        <v>-6.19</v>
      </c>
    </row>
    <row r="1149" spans="1:8" x14ac:dyDescent="0.3">
      <c r="A1149" s="12" t="s">
        <v>91</v>
      </c>
      <c r="B1149" s="12" t="s">
        <v>158</v>
      </c>
      <c r="C1149" s="12" t="s">
        <v>123</v>
      </c>
      <c r="D1149" s="12" t="s">
        <v>114</v>
      </c>
      <c r="E1149" s="20">
        <v>45372</v>
      </c>
      <c r="F1149" s="12" t="s">
        <v>684</v>
      </c>
      <c r="G1149" s="12">
        <v>-4</v>
      </c>
    </row>
    <row r="1150" spans="1:8" x14ac:dyDescent="0.3">
      <c r="A1150" s="12" t="s">
        <v>91</v>
      </c>
      <c r="B1150" s="12" t="s">
        <v>158</v>
      </c>
      <c r="C1150" s="12" t="s">
        <v>123</v>
      </c>
      <c r="D1150" s="12" t="s">
        <v>114</v>
      </c>
      <c r="E1150" s="20">
        <v>45372</v>
      </c>
      <c r="F1150" s="12" t="s">
        <v>685</v>
      </c>
      <c r="G1150" s="12">
        <v>-4.24</v>
      </c>
    </row>
    <row r="1151" spans="1:8" x14ac:dyDescent="0.3">
      <c r="A1151" s="12" t="s">
        <v>91</v>
      </c>
      <c r="B1151" s="12" t="s">
        <v>158</v>
      </c>
      <c r="C1151" s="12" t="s">
        <v>123</v>
      </c>
      <c r="D1151" s="12" t="s">
        <v>114</v>
      </c>
      <c r="E1151" s="20">
        <v>45372</v>
      </c>
      <c r="F1151" s="12" t="s">
        <v>686</v>
      </c>
      <c r="G1151" s="12">
        <v>-10.39</v>
      </c>
    </row>
    <row r="1152" spans="1:8" x14ac:dyDescent="0.3">
      <c r="A1152" s="12" t="s">
        <v>91</v>
      </c>
      <c r="B1152" s="12" t="s">
        <v>158</v>
      </c>
      <c r="C1152" s="12" t="s">
        <v>123</v>
      </c>
      <c r="D1152" s="12" t="s">
        <v>114</v>
      </c>
      <c r="E1152" s="20">
        <v>45372</v>
      </c>
      <c r="F1152" s="12" t="s">
        <v>687</v>
      </c>
      <c r="G1152" s="12">
        <v>-3.92</v>
      </c>
    </row>
    <row r="1153" spans="1:16" x14ac:dyDescent="0.3">
      <c r="A1153" s="12" t="s">
        <v>91</v>
      </c>
      <c r="B1153" s="12" t="s">
        <v>158</v>
      </c>
      <c r="C1153" s="12" t="s">
        <v>123</v>
      </c>
      <c r="D1153" s="12" t="s">
        <v>114</v>
      </c>
      <c r="E1153" s="20">
        <v>45373</v>
      </c>
      <c r="F1153" s="12" t="s">
        <v>688</v>
      </c>
      <c r="G1153" s="12">
        <v>-26.97</v>
      </c>
    </row>
    <row r="1154" spans="1:16" x14ac:dyDescent="0.3">
      <c r="A1154" s="12" t="s">
        <v>91</v>
      </c>
      <c r="B1154" s="12" t="s">
        <v>158</v>
      </c>
      <c r="C1154" s="12" t="s">
        <v>123</v>
      </c>
      <c r="D1154" s="12" t="s">
        <v>114</v>
      </c>
      <c r="E1154" s="20">
        <v>45377</v>
      </c>
      <c r="F1154" s="12" t="s">
        <v>689</v>
      </c>
      <c r="G1154" s="12">
        <v>-1.38</v>
      </c>
    </row>
    <row r="1155" spans="1:16" x14ac:dyDescent="0.3">
      <c r="A1155" s="12" t="s">
        <v>91</v>
      </c>
      <c r="B1155" s="12" t="s">
        <v>158</v>
      </c>
      <c r="C1155" s="12" t="s">
        <v>123</v>
      </c>
      <c r="D1155" s="12" t="s">
        <v>114</v>
      </c>
      <c r="E1155" s="20">
        <v>45379</v>
      </c>
      <c r="F1155" s="12" t="s">
        <v>690</v>
      </c>
      <c r="G1155" s="12">
        <v>-0.25</v>
      </c>
    </row>
    <row r="1156" spans="1:16" x14ac:dyDescent="0.3">
      <c r="A1156" s="12" t="s">
        <v>91</v>
      </c>
      <c r="B1156" s="12" t="s">
        <v>158</v>
      </c>
      <c r="C1156" s="12" t="s">
        <v>123</v>
      </c>
      <c r="D1156" s="12" t="s">
        <v>97</v>
      </c>
      <c r="G1156" s="12">
        <v>-92.41</v>
      </c>
    </row>
    <row r="1157" spans="1:16" x14ac:dyDescent="0.3">
      <c r="A1157" s="12" t="s">
        <v>91</v>
      </c>
      <c r="B1157" s="12" t="s">
        <v>160</v>
      </c>
      <c r="C1157" s="12" t="s">
        <v>120</v>
      </c>
      <c r="D1157" s="12" t="s">
        <v>181</v>
      </c>
      <c r="E1157" s="12" t="s">
        <v>268</v>
      </c>
      <c r="F1157" s="12" t="s">
        <v>269</v>
      </c>
      <c r="G1157" s="12" t="s">
        <v>270</v>
      </c>
    </row>
    <row r="1158" spans="1:16" x14ac:dyDescent="0.3">
      <c r="A1158" s="12" t="s">
        <v>91</v>
      </c>
      <c r="B1158" s="12" t="s">
        <v>160</v>
      </c>
      <c r="C1158" s="12" t="s">
        <v>123</v>
      </c>
      <c r="D1158" s="12" t="s">
        <v>114</v>
      </c>
      <c r="E1158" s="20">
        <v>45356</v>
      </c>
      <c r="F1158" s="12" t="s">
        <v>691</v>
      </c>
      <c r="G1158" s="12">
        <v>168.73</v>
      </c>
    </row>
    <row r="1159" spans="1:16" x14ac:dyDescent="0.3">
      <c r="A1159" s="12" t="s">
        <v>91</v>
      </c>
      <c r="B1159" s="12" t="s">
        <v>160</v>
      </c>
      <c r="C1159" s="12" t="s">
        <v>123</v>
      </c>
      <c r="D1159" s="12" t="s">
        <v>97</v>
      </c>
      <c r="G1159" s="12">
        <v>168.73</v>
      </c>
    </row>
    <row r="1160" spans="1:16" x14ac:dyDescent="0.3">
      <c r="A1160" s="12" t="s">
        <v>91</v>
      </c>
      <c r="B1160" s="12" t="s">
        <v>151</v>
      </c>
      <c r="C1160" s="12" t="s">
        <v>120</v>
      </c>
      <c r="D1160" s="12" t="s">
        <v>181</v>
      </c>
      <c r="E1160" s="12" t="s">
        <v>121</v>
      </c>
      <c r="F1160" s="12" t="s">
        <v>122</v>
      </c>
    </row>
    <row r="1161" spans="1:16" x14ac:dyDescent="0.3">
      <c r="A1161" s="12" t="s">
        <v>91</v>
      </c>
      <c r="B1161" s="12" t="s">
        <v>151</v>
      </c>
      <c r="C1161" s="12" t="s">
        <v>123</v>
      </c>
      <c r="D1161" s="12" t="s">
        <v>184</v>
      </c>
      <c r="E1161" s="12" t="s">
        <v>278</v>
      </c>
      <c r="F1161" s="12">
        <v>165.05</v>
      </c>
    </row>
    <row r="1162" spans="1:16" x14ac:dyDescent="0.3">
      <c r="A1162" s="12" t="s">
        <v>91</v>
      </c>
      <c r="B1162" s="12" t="s">
        <v>151</v>
      </c>
      <c r="C1162" s="12" t="s">
        <v>123</v>
      </c>
      <c r="D1162" s="12" t="s">
        <v>184</v>
      </c>
      <c r="E1162" s="12" t="s">
        <v>279</v>
      </c>
      <c r="F1162" s="12">
        <v>21.13</v>
      </c>
    </row>
    <row r="1163" spans="1:16" x14ac:dyDescent="0.3">
      <c r="A1163" s="12" t="s">
        <v>91</v>
      </c>
      <c r="B1163" s="12" t="s">
        <v>151</v>
      </c>
      <c r="C1163" s="12" t="s">
        <v>123</v>
      </c>
      <c r="D1163" s="12" t="s">
        <v>184</v>
      </c>
      <c r="E1163" s="12" t="s">
        <v>280</v>
      </c>
      <c r="F1163" s="12">
        <v>-168.73</v>
      </c>
    </row>
    <row r="1164" spans="1:16" x14ac:dyDescent="0.3">
      <c r="A1164" s="12" t="s">
        <v>91</v>
      </c>
      <c r="B1164" s="12" t="s">
        <v>151</v>
      </c>
      <c r="C1164" s="12" t="s">
        <v>123</v>
      </c>
      <c r="D1164" s="12" t="s">
        <v>184</v>
      </c>
      <c r="E1164" s="12" t="s">
        <v>282</v>
      </c>
      <c r="F1164" s="12">
        <v>17.45</v>
      </c>
    </row>
    <row r="1165" spans="1:16" x14ac:dyDescent="0.3">
      <c r="A1165" s="12" t="s">
        <v>91</v>
      </c>
      <c r="B1165" s="12" t="s">
        <v>159</v>
      </c>
      <c r="C1165" s="12" t="s">
        <v>120</v>
      </c>
      <c r="D1165" s="12" t="s">
        <v>100</v>
      </c>
      <c r="E1165" s="12" t="s">
        <v>181</v>
      </c>
      <c r="F1165" s="12" t="s">
        <v>0</v>
      </c>
      <c r="G1165" s="12" t="s">
        <v>268</v>
      </c>
      <c r="H1165" s="12" t="s">
        <v>283</v>
      </c>
      <c r="I1165" s="12" t="s">
        <v>284</v>
      </c>
      <c r="J1165" s="12" t="s">
        <v>193</v>
      </c>
      <c r="K1165" s="12" t="s">
        <v>285</v>
      </c>
      <c r="L1165" s="12" t="s">
        <v>286</v>
      </c>
      <c r="M1165" s="12" t="s">
        <v>287</v>
      </c>
      <c r="N1165" s="12" t="s">
        <v>288</v>
      </c>
      <c r="O1165" s="12" t="s">
        <v>289</v>
      </c>
      <c r="P1165" s="12" t="s">
        <v>165</v>
      </c>
    </row>
    <row r="1166" spans="1:16" x14ac:dyDescent="0.3">
      <c r="A1166" s="12" t="s">
        <v>91</v>
      </c>
      <c r="B1166" s="12" t="s">
        <v>159</v>
      </c>
      <c r="C1166" s="12" t="s">
        <v>123</v>
      </c>
      <c r="D1166" s="12" t="s">
        <v>290</v>
      </c>
      <c r="O1166" s="12">
        <v>177.5</v>
      </c>
    </row>
    <row r="1167" spans="1:16" x14ac:dyDescent="0.3">
      <c r="A1167" s="12" t="s">
        <v>91</v>
      </c>
      <c r="B1167" s="12" t="s">
        <v>159</v>
      </c>
      <c r="C1167" s="12" t="s">
        <v>123</v>
      </c>
      <c r="D1167" s="12" t="s">
        <v>110</v>
      </c>
      <c r="E1167" s="12" t="s">
        <v>114</v>
      </c>
      <c r="F1167" s="12" t="s">
        <v>7</v>
      </c>
      <c r="G1167" s="20">
        <v>45370</v>
      </c>
      <c r="H1167" s="20">
        <v>45371</v>
      </c>
      <c r="I1167" s="20">
        <v>45383</v>
      </c>
      <c r="J1167" s="12">
        <v>6</v>
      </c>
      <c r="K1167" s="12">
        <v>7.88</v>
      </c>
      <c r="L1167" s="12">
        <v>0</v>
      </c>
      <c r="M1167" s="12">
        <v>5.25</v>
      </c>
      <c r="N1167" s="12">
        <v>31.5</v>
      </c>
      <c r="O1167" s="12">
        <v>23.62</v>
      </c>
      <c r="P1167" s="12" t="s">
        <v>291</v>
      </c>
    </row>
    <row r="1168" spans="1:16" x14ac:dyDescent="0.3">
      <c r="A1168" s="12" t="s">
        <v>91</v>
      </c>
      <c r="B1168" s="12" t="s">
        <v>159</v>
      </c>
      <c r="C1168" s="12" t="s">
        <v>123</v>
      </c>
      <c r="D1168" s="12" t="s">
        <v>110</v>
      </c>
      <c r="E1168" s="12" t="s">
        <v>114</v>
      </c>
      <c r="F1168" s="12" t="s">
        <v>20</v>
      </c>
      <c r="G1168" s="20">
        <v>45356</v>
      </c>
      <c r="H1168" s="20">
        <v>45357</v>
      </c>
      <c r="I1168" s="20">
        <v>45372</v>
      </c>
      <c r="J1168" s="12">
        <v>11</v>
      </c>
      <c r="K1168" s="12">
        <v>6.19</v>
      </c>
      <c r="L1168" s="12">
        <v>0</v>
      </c>
      <c r="M1168" s="12">
        <v>2.25</v>
      </c>
      <c r="N1168" s="12">
        <v>24.75</v>
      </c>
      <c r="O1168" s="12">
        <v>18.559999999999999</v>
      </c>
      <c r="P1168" s="12" t="s">
        <v>291</v>
      </c>
    </row>
    <row r="1169" spans="1:16" x14ac:dyDescent="0.3">
      <c r="A1169" s="12" t="s">
        <v>91</v>
      </c>
      <c r="B1169" s="12" t="s">
        <v>159</v>
      </c>
      <c r="C1169" s="12" t="s">
        <v>123</v>
      </c>
      <c r="D1169" s="12" t="s">
        <v>110</v>
      </c>
      <c r="E1169" s="12" t="s">
        <v>114</v>
      </c>
      <c r="F1169" s="12" t="s">
        <v>20</v>
      </c>
      <c r="G1169" s="20">
        <v>45372</v>
      </c>
      <c r="H1169" s="20">
        <v>45357</v>
      </c>
      <c r="I1169" s="20">
        <v>45372</v>
      </c>
      <c r="J1169" s="12">
        <v>11</v>
      </c>
      <c r="K1169" s="12">
        <v>-6.19</v>
      </c>
      <c r="L1169" s="12">
        <v>0</v>
      </c>
      <c r="M1169" s="12">
        <v>2.25</v>
      </c>
      <c r="N1169" s="12">
        <v>-24.75</v>
      </c>
      <c r="O1169" s="12">
        <v>-18.559999999999999</v>
      </c>
      <c r="P1169" s="12" t="s">
        <v>292</v>
      </c>
    </row>
    <row r="1170" spans="1:16" x14ac:dyDescent="0.3">
      <c r="A1170" s="12" t="s">
        <v>91</v>
      </c>
      <c r="B1170" s="12" t="s">
        <v>159</v>
      </c>
      <c r="C1170" s="12" t="s">
        <v>123</v>
      </c>
      <c r="D1170" s="12" t="s">
        <v>110</v>
      </c>
      <c r="E1170" s="12" t="s">
        <v>114</v>
      </c>
      <c r="F1170" s="12" t="s">
        <v>24</v>
      </c>
      <c r="G1170" s="20">
        <v>45356</v>
      </c>
      <c r="H1170" s="20">
        <v>45357</v>
      </c>
      <c r="I1170" s="20">
        <v>45379</v>
      </c>
      <c r="J1170" s="12">
        <v>50</v>
      </c>
      <c r="K1170" s="12">
        <v>0.25</v>
      </c>
      <c r="L1170" s="12">
        <v>0</v>
      </c>
      <c r="M1170" s="12">
        <v>0.02</v>
      </c>
      <c r="N1170" s="12">
        <v>1</v>
      </c>
      <c r="O1170" s="12">
        <v>0.75</v>
      </c>
      <c r="P1170" s="12" t="s">
        <v>291</v>
      </c>
    </row>
    <row r="1171" spans="1:16" x14ac:dyDescent="0.3">
      <c r="A1171" s="12" t="s">
        <v>91</v>
      </c>
      <c r="B1171" s="12" t="s">
        <v>159</v>
      </c>
      <c r="C1171" s="12" t="s">
        <v>123</v>
      </c>
      <c r="D1171" s="12" t="s">
        <v>110</v>
      </c>
      <c r="E1171" s="12" t="s">
        <v>114</v>
      </c>
      <c r="F1171" s="12" t="s">
        <v>24</v>
      </c>
      <c r="G1171" s="20">
        <v>45379</v>
      </c>
      <c r="H1171" s="20">
        <v>45357</v>
      </c>
      <c r="I1171" s="20">
        <v>45379</v>
      </c>
      <c r="J1171" s="12">
        <v>50</v>
      </c>
      <c r="K1171" s="12">
        <v>-0.25</v>
      </c>
      <c r="L1171" s="12">
        <v>0</v>
      </c>
      <c r="M1171" s="12">
        <v>0.02</v>
      </c>
      <c r="N1171" s="12">
        <v>-1</v>
      </c>
      <c r="O1171" s="12">
        <v>-0.75</v>
      </c>
      <c r="P1171" s="12" t="s">
        <v>292</v>
      </c>
    </row>
    <row r="1172" spans="1:16" x14ac:dyDescent="0.3">
      <c r="A1172" s="12" t="s">
        <v>91</v>
      </c>
      <c r="B1172" s="12" t="s">
        <v>159</v>
      </c>
      <c r="C1172" s="12" t="s">
        <v>123</v>
      </c>
      <c r="D1172" s="12" t="s">
        <v>110</v>
      </c>
      <c r="E1172" s="12" t="s">
        <v>114</v>
      </c>
      <c r="F1172" s="12" t="s">
        <v>26</v>
      </c>
      <c r="G1172" s="20">
        <v>45366</v>
      </c>
      <c r="H1172" s="20">
        <v>45344</v>
      </c>
      <c r="I1172" s="20">
        <v>45366</v>
      </c>
      <c r="J1172" s="12">
        <v>10</v>
      </c>
      <c r="K1172" s="12">
        <v>-2.13</v>
      </c>
      <c r="L1172" s="12">
        <v>0</v>
      </c>
      <c r="M1172" s="12">
        <v>0.85</v>
      </c>
      <c r="N1172" s="12">
        <v>-8.5</v>
      </c>
      <c r="O1172" s="12">
        <v>-6.37</v>
      </c>
      <c r="P1172" s="12" t="s">
        <v>292</v>
      </c>
    </row>
    <row r="1173" spans="1:16" x14ac:dyDescent="0.3">
      <c r="A1173" s="12" t="s">
        <v>91</v>
      </c>
      <c r="B1173" s="12" t="s">
        <v>159</v>
      </c>
      <c r="C1173" s="12" t="s">
        <v>123</v>
      </c>
      <c r="D1173" s="12" t="s">
        <v>110</v>
      </c>
      <c r="E1173" s="12" t="s">
        <v>114</v>
      </c>
      <c r="F1173" s="12" t="s">
        <v>27</v>
      </c>
      <c r="G1173" s="20">
        <v>45377</v>
      </c>
      <c r="H1173" s="20">
        <v>45343</v>
      </c>
      <c r="I1173" s="20">
        <v>45377</v>
      </c>
      <c r="J1173" s="12">
        <v>11</v>
      </c>
      <c r="K1173" s="12">
        <v>-1.38</v>
      </c>
      <c r="L1173" s="12">
        <v>0</v>
      </c>
      <c r="M1173" s="12">
        <v>0.5</v>
      </c>
      <c r="N1173" s="12">
        <v>-5.5</v>
      </c>
      <c r="O1173" s="12">
        <v>-4.12</v>
      </c>
      <c r="P1173" s="12" t="s">
        <v>292</v>
      </c>
    </row>
    <row r="1174" spans="1:16" x14ac:dyDescent="0.3">
      <c r="A1174" s="12" t="s">
        <v>91</v>
      </c>
      <c r="B1174" s="12" t="s">
        <v>159</v>
      </c>
      <c r="C1174" s="12" t="s">
        <v>123</v>
      </c>
      <c r="D1174" s="12" t="s">
        <v>110</v>
      </c>
      <c r="E1174" s="12" t="s">
        <v>114</v>
      </c>
      <c r="F1174" s="12" t="s">
        <v>28</v>
      </c>
      <c r="G1174" s="20">
        <v>45365</v>
      </c>
      <c r="H1174" s="20">
        <v>45336</v>
      </c>
      <c r="I1174" s="20">
        <v>45365</v>
      </c>
      <c r="J1174" s="12">
        <v>49</v>
      </c>
      <c r="K1174" s="12">
        <v>-9.19</v>
      </c>
      <c r="L1174" s="12">
        <v>0</v>
      </c>
      <c r="M1174" s="12">
        <v>0.75</v>
      </c>
      <c r="N1174" s="12">
        <v>-36.75</v>
      </c>
      <c r="O1174" s="12">
        <v>-27.56</v>
      </c>
      <c r="P1174" s="12" t="s">
        <v>292</v>
      </c>
    </row>
    <row r="1175" spans="1:16" x14ac:dyDescent="0.3">
      <c r="A1175" s="12" t="s">
        <v>91</v>
      </c>
      <c r="B1175" s="12" t="s">
        <v>159</v>
      </c>
      <c r="C1175" s="12" t="s">
        <v>123</v>
      </c>
      <c r="D1175" s="12" t="s">
        <v>110</v>
      </c>
      <c r="E1175" s="12" t="s">
        <v>114</v>
      </c>
      <c r="F1175" s="12" t="s">
        <v>39</v>
      </c>
      <c r="G1175" s="20">
        <v>45372</v>
      </c>
      <c r="H1175" s="20">
        <v>45350</v>
      </c>
      <c r="I1175" s="20">
        <v>45372</v>
      </c>
      <c r="J1175" s="12">
        <v>20</v>
      </c>
      <c r="K1175" s="12">
        <v>-4</v>
      </c>
      <c r="L1175" s="12">
        <v>0</v>
      </c>
      <c r="M1175" s="12">
        <v>0.8</v>
      </c>
      <c r="N1175" s="12">
        <v>-16</v>
      </c>
      <c r="O1175" s="12">
        <v>-12</v>
      </c>
      <c r="P1175" s="12" t="s">
        <v>292</v>
      </c>
    </row>
    <row r="1176" spans="1:16" x14ac:dyDescent="0.3">
      <c r="A1176" s="12" t="s">
        <v>91</v>
      </c>
      <c r="B1176" s="12" t="s">
        <v>159</v>
      </c>
      <c r="C1176" s="12" t="s">
        <v>123</v>
      </c>
      <c r="D1176" s="12" t="s">
        <v>110</v>
      </c>
      <c r="E1176" s="12" t="s">
        <v>114</v>
      </c>
      <c r="F1176" s="12" t="s">
        <v>30</v>
      </c>
      <c r="G1176" s="20">
        <v>45364</v>
      </c>
      <c r="H1176" s="20">
        <v>45365</v>
      </c>
      <c r="I1176" s="20">
        <v>45383</v>
      </c>
      <c r="J1176" s="12">
        <v>26</v>
      </c>
      <c r="K1176" s="12">
        <v>2.39</v>
      </c>
      <c r="L1176" s="12">
        <v>0</v>
      </c>
      <c r="M1176" s="12">
        <v>0.36749999999999999</v>
      </c>
      <c r="N1176" s="12">
        <v>9.5500000000000007</v>
      </c>
      <c r="O1176" s="12">
        <v>7.16</v>
      </c>
      <c r="P1176" s="12" t="s">
        <v>291</v>
      </c>
    </row>
    <row r="1177" spans="1:16" x14ac:dyDescent="0.3">
      <c r="A1177" s="12" t="s">
        <v>91</v>
      </c>
      <c r="B1177" s="12" t="s">
        <v>159</v>
      </c>
      <c r="C1177" s="12" t="s">
        <v>123</v>
      </c>
      <c r="D1177" s="12" t="s">
        <v>110</v>
      </c>
      <c r="E1177" s="12" t="s">
        <v>114</v>
      </c>
      <c r="F1177" s="12" t="s">
        <v>30</v>
      </c>
      <c r="G1177" s="20">
        <v>45364</v>
      </c>
      <c r="H1177" s="20">
        <v>45365</v>
      </c>
      <c r="I1177" s="20">
        <v>45383</v>
      </c>
      <c r="J1177" s="12">
        <v>26</v>
      </c>
      <c r="K1177" s="12">
        <v>2.39</v>
      </c>
      <c r="L1177" s="12">
        <v>0</v>
      </c>
      <c r="M1177" s="12">
        <v>0.36749999999999999</v>
      </c>
      <c r="N1177" s="12">
        <v>9.56</v>
      </c>
      <c r="O1177" s="12">
        <v>7.17</v>
      </c>
      <c r="P1177" s="12" t="s">
        <v>291</v>
      </c>
    </row>
    <row r="1178" spans="1:16" x14ac:dyDescent="0.3">
      <c r="A1178" s="12" t="s">
        <v>91</v>
      </c>
      <c r="B1178" s="12" t="s">
        <v>159</v>
      </c>
      <c r="C1178" s="12" t="s">
        <v>123</v>
      </c>
      <c r="D1178" s="12" t="s">
        <v>110</v>
      </c>
      <c r="E1178" s="12" t="s">
        <v>114</v>
      </c>
      <c r="F1178" s="12" t="s">
        <v>30</v>
      </c>
      <c r="G1178" s="20">
        <v>45364</v>
      </c>
      <c r="H1178" s="20">
        <v>45365</v>
      </c>
      <c r="I1178" s="20">
        <v>45383</v>
      </c>
      <c r="J1178" s="12">
        <v>26</v>
      </c>
      <c r="K1178" s="12">
        <v>-2.39</v>
      </c>
      <c r="L1178" s="12">
        <v>0</v>
      </c>
      <c r="M1178" s="12">
        <v>0.36749999999999999</v>
      </c>
      <c r="N1178" s="12">
        <v>-9.5500000000000007</v>
      </c>
      <c r="O1178" s="12">
        <v>-7.16</v>
      </c>
      <c r="P1178" s="12" t="s">
        <v>292</v>
      </c>
    </row>
    <row r="1179" spans="1:16" x14ac:dyDescent="0.3">
      <c r="A1179" s="12" t="s">
        <v>91</v>
      </c>
      <c r="B1179" s="12" t="s">
        <v>159</v>
      </c>
      <c r="C1179" s="12" t="s">
        <v>123</v>
      </c>
      <c r="D1179" s="12" t="s">
        <v>110</v>
      </c>
      <c r="E1179" s="12" t="s">
        <v>114</v>
      </c>
      <c r="F1179" s="12" t="s">
        <v>41</v>
      </c>
      <c r="G1179" s="20">
        <v>45366</v>
      </c>
      <c r="H1179" s="20">
        <v>45369</v>
      </c>
      <c r="I1179" s="20">
        <v>45373</v>
      </c>
      <c r="J1179" s="12">
        <v>1200</v>
      </c>
      <c r="K1179" s="12">
        <v>26.97</v>
      </c>
      <c r="L1179" s="12">
        <v>0</v>
      </c>
      <c r="M1179" s="12">
        <v>8.9889999999999998E-2</v>
      </c>
      <c r="N1179" s="12">
        <v>107.86</v>
      </c>
      <c r="O1179" s="12">
        <v>80.89</v>
      </c>
      <c r="P1179" s="12" t="s">
        <v>291</v>
      </c>
    </row>
    <row r="1180" spans="1:16" x14ac:dyDescent="0.3">
      <c r="A1180" s="12" t="s">
        <v>91</v>
      </c>
      <c r="B1180" s="12" t="s">
        <v>159</v>
      </c>
      <c r="C1180" s="12" t="s">
        <v>123</v>
      </c>
      <c r="D1180" s="12" t="s">
        <v>110</v>
      </c>
      <c r="E1180" s="12" t="s">
        <v>114</v>
      </c>
      <c r="F1180" s="12" t="s">
        <v>41</v>
      </c>
      <c r="G1180" s="20">
        <v>45366</v>
      </c>
      <c r="H1180" s="20">
        <v>45369</v>
      </c>
      <c r="I1180" s="20">
        <v>45373</v>
      </c>
      <c r="J1180" s="12">
        <v>1200</v>
      </c>
      <c r="K1180" s="12">
        <v>26.97</v>
      </c>
      <c r="L1180" s="12">
        <v>0</v>
      </c>
      <c r="M1180" s="12">
        <v>8.9889999999999998E-2</v>
      </c>
      <c r="N1180" s="12">
        <v>107.87</v>
      </c>
      <c r="O1180" s="12">
        <v>80.900000000000006</v>
      </c>
      <c r="P1180" s="12" t="s">
        <v>291</v>
      </c>
    </row>
    <row r="1181" spans="1:16" x14ac:dyDescent="0.3">
      <c r="A1181" s="12" t="s">
        <v>91</v>
      </c>
      <c r="B1181" s="12" t="s">
        <v>159</v>
      </c>
      <c r="C1181" s="12" t="s">
        <v>123</v>
      </c>
      <c r="D1181" s="12" t="s">
        <v>110</v>
      </c>
      <c r="E1181" s="12" t="s">
        <v>114</v>
      </c>
      <c r="F1181" s="12" t="s">
        <v>41</v>
      </c>
      <c r="G1181" s="20">
        <v>45366</v>
      </c>
      <c r="H1181" s="20">
        <v>45369</v>
      </c>
      <c r="I1181" s="20">
        <v>45373</v>
      </c>
      <c r="J1181" s="12">
        <v>1200</v>
      </c>
      <c r="K1181" s="12">
        <v>-26.97</v>
      </c>
      <c r="L1181" s="12">
        <v>0</v>
      </c>
      <c r="M1181" s="12">
        <v>8.9889999999999998E-2</v>
      </c>
      <c r="N1181" s="12">
        <v>-107.86</v>
      </c>
      <c r="O1181" s="12">
        <v>-80.89</v>
      </c>
      <c r="P1181" s="12" t="s">
        <v>292</v>
      </c>
    </row>
    <row r="1182" spans="1:16" x14ac:dyDescent="0.3">
      <c r="A1182" s="12" t="s">
        <v>91</v>
      </c>
      <c r="B1182" s="12" t="s">
        <v>159</v>
      </c>
      <c r="C1182" s="12" t="s">
        <v>123</v>
      </c>
      <c r="D1182" s="12" t="s">
        <v>110</v>
      </c>
      <c r="E1182" s="12" t="s">
        <v>114</v>
      </c>
      <c r="F1182" s="12" t="s">
        <v>41</v>
      </c>
      <c r="G1182" s="20">
        <v>45373</v>
      </c>
      <c r="H1182" s="20">
        <v>45369</v>
      </c>
      <c r="I1182" s="20">
        <v>45373</v>
      </c>
      <c r="J1182" s="12">
        <v>1200</v>
      </c>
      <c r="K1182" s="12">
        <v>-26.97</v>
      </c>
      <c r="L1182" s="12">
        <v>0</v>
      </c>
      <c r="M1182" s="12">
        <v>8.9889999999999998E-2</v>
      </c>
      <c r="N1182" s="12">
        <v>-107.87</v>
      </c>
      <c r="O1182" s="12">
        <v>-80.900000000000006</v>
      </c>
      <c r="P1182" s="12" t="s">
        <v>292</v>
      </c>
    </row>
    <row r="1183" spans="1:16" x14ac:dyDescent="0.3">
      <c r="A1183" s="12" t="s">
        <v>91</v>
      </c>
      <c r="B1183" s="12" t="s">
        <v>159</v>
      </c>
      <c r="C1183" s="12" t="s">
        <v>123</v>
      </c>
      <c r="D1183" s="12" t="s">
        <v>110</v>
      </c>
      <c r="E1183" s="12" t="s">
        <v>114</v>
      </c>
      <c r="F1183" s="12" t="s">
        <v>42</v>
      </c>
      <c r="G1183" s="20">
        <v>45366</v>
      </c>
      <c r="H1183" s="20">
        <v>45369</v>
      </c>
      <c r="I1183" s="20">
        <v>45372</v>
      </c>
      <c r="J1183" s="12">
        <v>50</v>
      </c>
      <c r="K1183" s="12">
        <v>4.24</v>
      </c>
      <c r="L1183" s="12">
        <v>0</v>
      </c>
      <c r="M1183" s="12">
        <v>0.33919899999999997</v>
      </c>
      <c r="N1183" s="12">
        <v>16.96</v>
      </c>
      <c r="O1183" s="12">
        <v>12.72</v>
      </c>
      <c r="P1183" s="12" t="s">
        <v>291</v>
      </c>
    </row>
    <row r="1184" spans="1:16" x14ac:dyDescent="0.3">
      <c r="A1184" s="12" t="s">
        <v>91</v>
      </c>
      <c r="B1184" s="12" t="s">
        <v>159</v>
      </c>
      <c r="C1184" s="12" t="s">
        <v>123</v>
      </c>
      <c r="D1184" s="12" t="s">
        <v>110</v>
      </c>
      <c r="E1184" s="12" t="s">
        <v>114</v>
      </c>
      <c r="F1184" s="12" t="s">
        <v>42</v>
      </c>
      <c r="G1184" s="20">
        <v>45372</v>
      </c>
      <c r="H1184" s="20">
        <v>45369</v>
      </c>
      <c r="I1184" s="20">
        <v>45372</v>
      </c>
      <c r="J1184" s="12">
        <v>50</v>
      </c>
      <c r="K1184" s="12">
        <v>-4.24</v>
      </c>
      <c r="L1184" s="12">
        <v>0</v>
      </c>
      <c r="M1184" s="12">
        <v>0.33919899999999997</v>
      </c>
      <c r="N1184" s="12">
        <v>-16.96</v>
      </c>
      <c r="O1184" s="12">
        <v>-12.72</v>
      </c>
      <c r="P1184" s="12" t="s">
        <v>292</v>
      </c>
    </row>
    <row r="1185" spans="1:16" x14ac:dyDescent="0.3">
      <c r="A1185" s="12" t="s">
        <v>91</v>
      </c>
      <c r="B1185" s="12" t="s">
        <v>159</v>
      </c>
      <c r="C1185" s="12" t="s">
        <v>123</v>
      </c>
      <c r="D1185" s="12" t="s">
        <v>110</v>
      </c>
      <c r="E1185" s="12" t="s">
        <v>114</v>
      </c>
      <c r="F1185" s="12" t="s">
        <v>43</v>
      </c>
      <c r="G1185" s="20">
        <v>45366</v>
      </c>
      <c r="H1185" s="20">
        <v>45369</v>
      </c>
      <c r="I1185" s="20">
        <v>45372</v>
      </c>
      <c r="J1185" s="12">
        <v>80</v>
      </c>
      <c r="K1185" s="12">
        <v>10.39</v>
      </c>
      <c r="L1185" s="12">
        <v>0</v>
      </c>
      <c r="M1185" s="12">
        <v>0.51955499999999999</v>
      </c>
      <c r="N1185" s="12">
        <v>41.57</v>
      </c>
      <c r="O1185" s="12">
        <v>31.18</v>
      </c>
      <c r="P1185" s="12" t="s">
        <v>291</v>
      </c>
    </row>
    <row r="1186" spans="1:16" x14ac:dyDescent="0.3">
      <c r="A1186" s="12" t="s">
        <v>91</v>
      </c>
      <c r="B1186" s="12" t="s">
        <v>159</v>
      </c>
      <c r="C1186" s="12" t="s">
        <v>123</v>
      </c>
      <c r="D1186" s="12" t="s">
        <v>110</v>
      </c>
      <c r="E1186" s="12" t="s">
        <v>114</v>
      </c>
      <c r="F1186" s="12" t="s">
        <v>43</v>
      </c>
      <c r="G1186" s="20">
        <v>45366</v>
      </c>
      <c r="H1186" s="20">
        <v>45369</v>
      </c>
      <c r="I1186" s="20">
        <v>45372</v>
      </c>
      <c r="J1186" s="12">
        <v>80</v>
      </c>
      <c r="K1186" s="12">
        <v>10.39</v>
      </c>
      <c r="L1186" s="12">
        <v>0</v>
      </c>
      <c r="M1186" s="12">
        <v>0.51955499999999999</v>
      </c>
      <c r="N1186" s="12">
        <v>41.56</v>
      </c>
      <c r="O1186" s="12">
        <v>31.17</v>
      </c>
      <c r="P1186" s="12" t="s">
        <v>291</v>
      </c>
    </row>
    <row r="1187" spans="1:16" x14ac:dyDescent="0.3">
      <c r="A1187" s="12" t="s">
        <v>91</v>
      </c>
      <c r="B1187" s="12" t="s">
        <v>159</v>
      </c>
      <c r="C1187" s="12" t="s">
        <v>123</v>
      </c>
      <c r="D1187" s="12" t="s">
        <v>110</v>
      </c>
      <c r="E1187" s="12" t="s">
        <v>114</v>
      </c>
      <c r="F1187" s="12" t="s">
        <v>43</v>
      </c>
      <c r="G1187" s="20">
        <v>45366</v>
      </c>
      <c r="H1187" s="20">
        <v>45369</v>
      </c>
      <c r="I1187" s="20">
        <v>45372</v>
      </c>
      <c r="J1187" s="12">
        <v>80</v>
      </c>
      <c r="K1187" s="12">
        <v>-10.39</v>
      </c>
      <c r="L1187" s="12">
        <v>0</v>
      </c>
      <c r="M1187" s="12">
        <v>0.51955499999999999</v>
      </c>
      <c r="N1187" s="12">
        <v>-41.57</v>
      </c>
      <c r="O1187" s="12">
        <v>-31.18</v>
      </c>
      <c r="P1187" s="12" t="s">
        <v>292</v>
      </c>
    </row>
    <row r="1188" spans="1:16" x14ac:dyDescent="0.3">
      <c r="A1188" s="12" t="s">
        <v>91</v>
      </c>
      <c r="B1188" s="12" t="s">
        <v>159</v>
      </c>
      <c r="C1188" s="12" t="s">
        <v>123</v>
      </c>
      <c r="D1188" s="12" t="s">
        <v>110</v>
      </c>
      <c r="E1188" s="12" t="s">
        <v>114</v>
      </c>
      <c r="F1188" s="12" t="s">
        <v>43</v>
      </c>
      <c r="G1188" s="20">
        <v>45372</v>
      </c>
      <c r="H1188" s="20">
        <v>45369</v>
      </c>
      <c r="I1188" s="20">
        <v>45372</v>
      </c>
      <c r="J1188" s="12">
        <v>80</v>
      </c>
      <c r="K1188" s="12">
        <v>-10.39</v>
      </c>
      <c r="L1188" s="12">
        <v>0</v>
      </c>
      <c r="M1188" s="12">
        <v>0.51955499999999999</v>
      </c>
      <c r="N1188" s="12">
        <v>-41.56</v>
      </c>
      <c r="O1188" s="12">
        <v>-31.17</v>
      </c>
      <c r="P1188" s="12" t="s">
        <v>292</v>
      </c>
    </row>
    <row r="1189" spans="1:16" x14ac:dyDescent="0.3">
      <c r="A1189" s="12" t="s">
        <v>91</v>
      </c>
      <c r="B1189" s="12" t="s">
        <v>159</v>
      </c>
      <c r="C1189" s="12" t="s">
        <v>123</v>
      </c>
      <c r="D1189" s="12" t="s">
        <v>110</v>
      </c>
      <c r="E1189" s="12" t="s">
        <v>114</v>
      </c>
      <c r="F1189" s="12" t="s">
        <v>44</v>
      </c>
      <c r="G1189" s="20">
        <v>45366</v>
      </c>
      <c r="H1189" s="20">
        <v>45369</v>
      </c>
      <c r="I1189" s="20">
        <v>45372</v>
      </c>
      <c r="J1189" s="12">
        <v>30</v>
      </c>
      <c r="K1189" s="12">
        <v>3.93</v>
      </c>
      <c r="L1189" s="12">
        <v>0</v>
      </c>
      <c r="M1189" s="12">
        <v>0.52294099999999999</v>
      </c>
      <c r="N1189" s="12">
        <v>15.69</v>
      </c>
      <c r="O1189" s="12">
        <v>11.76</v>
      </c>
      <c r="P1189" s="12" t="s">
        <v>291</v>
      </c>
    </row>
    <row r="1190" spans="1:16" x14ac:dyDescent="0.3">
      <c r="A1190" s="12" t="s">
        <v>91</v>
      </c>
      <c r="B1190" s="12" t="s">
        <v>159</v>
      </c>
      <c r="C1190" s="12" t="s">
        <v>123</v>
      </c>
      <c r="D1190" s="12" t="s">
        <v>110</v>
      </c>
      <c r="E1190" s="12" t="s">
        <v>114</v>
      </c>
      <c r="F1190" s="12" t="s">
        <v>44</v>
      </c>
      <c r="G1190" s="20">
        <v>45366</v>
      </c>
      <c r="H1190" s="20">
        <v>45369</v>
      </c>
      <c r="I1190" s="20">
        <v>45372</v>
      </c>
      <c r="J1190" s="12">
        <v>30</v>
      </c>
      <c r="K1190" s="12">
        <v>3.92</v>
      </c>
      <c r="L1190" s="12">
        <v>0</v>
      </c>
      <c r="M1190" s="12">
        <v>0.52294099999999999</v>
      </c>
      <c r="N1190" s="12">
        <v>15.69</v>
      </c>
      <c r="O1190" s="12">
        <v>11.77</v>
      </c>
      <c r="P1190" s="12" t="s">
        <v>291</v>
      </c>
    </row>
    <row r="1191" spans="1:16" x14ac:dyDescent="0.3">
      <c r="A1191" s="12" t="s">
        <v>91</v>
      </c>
      <c r="B1191" s="12" t="s">
        <v>159</v>
      </c>
      <c r="C1191" s="12" t="s">
        <v>123</v>
      </c>
      <c r="D1191" s="12" t="s">
        <v>110</v>
      </c>
      <c r="E1191" s="12" t="s">
        <v>114</v>
      </c>
      <c r="F1191" s="12" t="s">
        <v>44</v>
      </c>
      <c r="G1191" s="20">
        <v>45366</v>
      </c>
      <c r="H1191" s="20">
        <v>45369</v>
      </c>
      <c r="I1191" s="20">
        <v>45372</v>
      </c>
      <c r="J1191" s="12">
        <v>30</v>
      </c>
      <c r="K1191" s="12">
        <v>-3.92</v>
      </c>
      <c r="L1191" s="12">
        <v>0</v>
      </c>
      <c r="M1191" s="12">
        <v>0.52294099999999999</v>
      </c>
      <c r="N1191" s="12">
        <v>-15.68</v>
      </c>
      <c r="O1191" s="12">
        <v>-11.76</v>
      </c>
      <c r="P1191" s="12" t="s">
        <v>292</v>
      </c>
    </row>
    <row r="1192" spans="1:16" x14ac:dyDescent="0.3">
      <c r="A1192" s="12" t="s">
        <v>91</v>
      </c>
      <c r="B1192" s="12" t="s">
        <v>159</v>
      </c>
      <c r="C1192" s="12" t="s">
        <v>123</v>
      </c>
      <c r="D1192" s="12" t="s">
        <v>110</v>
      </c>
      <c r="E1192" s="12" t="s">
        <v>114</v>
      </c>
      <c r="F1192" s="12" t="s">
        <v>44</v>
      </c>
      <c r="G1192" s="20">
        <v>45372</v>
      </c>
      <c r="H1192" s="20">
        <v>45369</v>
      </c>
      <c r="I1192" s="20">
        <v>45372</v>
      </c>
      <c r="J1192" s="12">
        <v>30</v>
      </c>
      <c r="K1192" s="12">
        <v>-3.92</v>
      </c>
      <c r="L1192" s="12">
        <v>0</v>
      </c>
      <c r="M1192" s="12">
        <v>0.52294099999999999</v>
      </c>
      <c r="N1192" s="12">
        <v>-15.69</v>
      </c>
      <c r="O1192" s="12">
        <v>-11.77</v>
      </c>
      <c r="P1192" s="12" t="s">
        <v>292</v>
      </c>
    </row>
    <row r="1193" spans="1:16" x14ac:dyDescent="0.3">
      <c r="A1193" s="12" t="s">
        <v>91</v>
      </c>
      <c r="B1193" s="12" t="s">
        <v>159</v>
      </c>
      <c r="C1193" s="12" t="s">
        <v>123</v>
      </c>
      <c r="D1193" s="12" t="s">
        <v>110</v>
      </c>
      <c r="E1193" s="12" t="s">
        <v>114</v>
      </c>
      <c r="F1193" s="12" t="s">
        <v>35</v>
      </c>
      <c r="G1193" s="20">
        <v>45362</v>
      </c>
      <c r="H1193" s="20">
        <v>45335</v>
      </c>
      <c r="I1193" s="20">
        <v>45362</v>
      </c>
      <c r="J1193" s="12">
        <v>100</v>
      </c>
      <c r="K1193" s="12">
        <v>-23.75</v>
      </c>
      <c r="L1193" s="12">
        <v>0</v>
      </c>
      <c r="M1193" s="12">
        <v>0.95</v>
      </c>
      <c r="N1193" s="12">
        <v>-95</v>
      </c>
      <c r="O1193" s="12">
        <v>-71.25</v>
      </c>
      <c r="P1193" s="12" t="s">
        <v>292</v>
      </c>
    </row>
    <row r="1194" spans="1:16" x14ac:dyDescent="0.3">
      <c r="A1194" s="12" t="s">
        <v>91</v>
      </c>
      <c r="B1194" s="12" t="s">
        <v>159</v>
      </c>
      <c r="C1194" s="12" t="s">
        <v>123</v>
      </c>
      <c r="D1194" s="12" t="s">
        <v>97</v>
      </c>
      <c r="K1194" s="12">
        <v>-30.17</v>
      </c>
      <c r="L1194" s="12">
        <v>0</v>
      </c>
      <c r="N1194" s="12">
        <v>-120.68</v>
      </c>
      <c r="O1194" s="12">
        <v>-90.51</v>
      </c>
    </row>
    <row r="1195" spans="1:16" x14ac:dyDescent="0.3">
      <c r="A1195" s="12" t="s">
        <v>91</v>
      </c>
      <c r="B1195" s="12" t="s">
        <v>159</v>
      </c>
      <c r="C1195" s="12" t="s">
        <v>123</v>
      </c>
      <c r="D1195" s="12" t="s">
        <v>293</v>
      </c>
      <c r="O1195" s="12">
        <v>86.99</v>
      </c>
    </row>
    <row r="1196" spans="1:16" x14ac:dyDescent="0.3">
      <c r="A1196" s="12" t="s">
        <v>91</v>
      </c>
      <c r="B1196" s="12" t="s">
        <v>294</v>
      </c>
      <c r="C1196" s="12" t="s">
        <v>120</v>
      </c>
      <c r="D1196" s="12" t="s">
        <v>100</v>
      </c>
      <c r="E1196" s="12" t="s">
        <v>0</v>
      </c>
      <c r="F1196" s="12" t="s">
        <v>269</v>
      </c>
      <c r="G1196" s="12" t="s">
        <v>295</v>
      </c>
      <c r="H1196" s="12" t="s">
        <v>296</v>
      </c>
      <c r="I1196" s="12" t="s">
        <v>297</v>
      </c>
      <c r="J1196" s="12" t="s">
        <v>298</v>
      </c>
      <c r="K1196" s="12" t="s">
        <v>299</v>
      </c>
      <c r="L1196" s="12" t="s">
        <v>165</v>
      </c>
    </row>
    <row r="1197" spans="1:16" x14ac:dyDescent="0.3">
      <c r="A1197" s="12" t="s">
        <v>91</v>
      </c>
      <c r="B1197" s="12" t="s">
        <v>294</v>
      </c>
      <c r="C1197" s="12" t="s">
        <v>123</v>
      </c>
      <c r="D1197" s="12" t="s">
        <v>110</v>
      </c>
      <c r="E1197" s="12" t="s">
        <v>2</v>
      </c>
      <c r="F1197" s="12" t="s">
        <v>300</v>
      </c>
      <c r="G1197" s="12">
        <v>265598</v>
      </c>
      <c r="H1197" s="12" t="s">
        <v>301</v>
      </c>
      <c r="I1197" s="12" t="s">
        <v>302</v>
      </c>
      <c r="J1197" s="12">
        <v>1</v>
      </c>
      <c r="K1197" s="12" t="s">
        <v>303</v>
      </c>
    </row>
    <row r="1198" spans="1:16" x14ac:dyDescent="0.3">
      <c r="A1198" s="12" t="s">
        <v>91</v>
      </c>
      <c r="B1198" s="12" t="s">
        <v>294</v>
      </c>
      <c r="C1198" s="12" t="s">
        <v>123</v>
      </c>
      <c r="D1198" s="12" t="s">
        <v>110</v>
      </c>
      <c r="E1198" s="12" t="s">
        <v>45</v>
      </c>
      <c r="F1198" s="12" t="s">
        <v>692</v>
      </c>
      <c r="G1198" s="12">
        <v>4391</v>
      </c>
      <c r="H1198" s="12" t="s">
        <v>693</v>
      </c>
      <c r="I1198" s="12" t="s">
        <v>302</v>
      </c>
      <c r="J1198" s="12">
        <v>1</v>
      </c>
      <c r="K1198" s="12" t="s">
        <v>303</v>
      </c>
    </row>
    <row r="1199" spans="1:16" x14ac:dyDescent="0.3">
      <c r="A1199" s="12" t="s">
        <v>91</v>
      </c>
      <c r="B1199" s="12" t="s">
        <v>294</v>
      </c>
      <c r="C1199" s="12" t="s">
        <v>123</v>
      </c>
      <c r="D1199" s="12" t="s">
        <v>110</v>
      </c>
      <c r="E1199" s="12" t="s">
        <v>5</v>
      </c>
      <c r="F1199" s="12" t="s">
        <v>308</v>
      </c>
      <c r="G1199" s="12">
        <v>3691937</v>
      </c>
      <c r="H1199" s="12" t="s">
        <v>309</v>
      </c>
      <c r="I1199" s="12" t="s">
        <v>302</v>
      </c>
      <c r="J1199" s="12">
        <v>1</v>
      </c>
      <c r="K1199" s="12" t="s">
        <v>303</v>
      </c>
    </row>
    <row r="1200" spans="1:16" x14ac:dyDescent="0.3">
      <c r="A1200" s="12" t="s">
        <v>91</v>
      </c>
      <c r="B1200" s="12" t="s">
        <v>294</v>
      </c>
      <c r="C1200" s="12" t="s">
        <v>123</v>
      </c>
      <c r="D1200" s="12" t="s">
        <v>110</v>
      </c>
      <c r="E1200" s="12" t="s">
        <v>6</v>
      </c>
      <c r="F1200" s="12" t="s">
        <v>310</v>
      </c>
      <c r="G1200" s="12">
        <v>153912055</v>
      </c>
      <c r="H1200" s="12" t="s">
        <v>311</v>
      </c>
      <c r="I1200" s="12" t="s">
        <v>306</v>
      </c>
      <c r="J1200" s="12">
        <v>1</v>
      </c>
      <c r="K1200" s="12" t="s">
        <v>303</v>
      </c>
    </row>
    <row r="1201" spans="1:11" x14ac:dyDescent="0.3">
      <c r="A1201" s="12" t="s">
        <v>91</v>
      </c>
      <c r="B1201" s="12" t="s">
        <v>294</v>
      </c>
      <c r="C1201" s="12" t="s">
        <v>123</v>
      </c>
      <c r="D1201" s="12" t="s">
        <v>110</v>
      </c>
      <c r="E1201" s="12" t="s">
        <v>7</v>
      </c>
      <c r="F1201" s="12" t="s">
        <v>312</v>
      </c>
      <c r="G1201" s="12">
        <v>313130367</v>
      </c>
      <c r="H1201" s="12" t="s">
        <v>313</v>
      </c>
      <c r="I1201" s="12" t="s">
        <v>302</v>
      </c>
      <c r="J1201" s="12">
        <v>1</v>
      </c>
      <c r="K1201" s="12" t="s">
        <v>303</v>
      </c>
    </row>
    <row r="1202" spans="1:11" x14ac:dyDescent="0.3">
      <c r="A1202" s="12" t="s">
        <v>91</v>
      </c>
      <c r="B1202" s="12" t="s">
        <v>294</v>
      </c>
      <c r="C1202" s="12" t="s">
        <v>123</v>
      </c>
      <c r="D1202" s="12" t="s">
        <v>110</v>
      </c>
      <c r="E1202" s="12" t="s">
        <v>8</v>
      </c>
      <c r="F1202" s="12" t="s">
        <v>314</v>
      </c>
      <c r="G1202" s="12">
        <v>10098</v>
      </c>
      <c r="H1202" s="12" t="s">
        <v>315</v>
      </c>
      <c r="I1202" s="12" t="s">
        <v>306</v>
      </c>
      <c r="J1202" s="12">
        <v>1</v>
      </c>
      <c r="K1202" s="12" t="s">
        <v>303</v>
      </c>
    </row>
    <row r="1203" spans="1:11" x14ac:dyDescent="0.3">
      <c r="A1203" s="12" t="s">
        <v>91</v>
      </c>
      <c r="B1203" s="12" t="s">
        <v>294</v>
      </c>
      <c r="C1203" s="12" t="s">
        <v>123</v>
      </c>
      <c r="D1203" s="12" t="s">
        <v>110</v>
      </c>
      <c r="E1203" s="12" t="s">
        <v>3</v>
      </c>
      <c r="F1203" s="12" t="s">
        <v>318</v>
      </c>
      <c r="G1203" s="12">
        <v>87335484</v>
      </c>
      <c r="H1203" s="12" t="s">
        <v>319</v>
      </c>
      <c r="I1203" s="12" t="s">
        <v>306</v>
      </c>
      <c r="J1203" s="12">
        <v>1</v>
      </c>
      <c r="K1203" s="12" t="s">
        <v>303</v>
      </c>
    </row>
    <row r="1204" spans="1:11" x14ac:dyDescent="0.3">
      <c r="A1204" s="12" t="s">
        <v>91</v>
      </c>
      <c r="B1204" s="12" t="s">
        <v>294</v>
      </c>
      <c r="C1204" s="12" t="s">
        <v>123</v>
      </c>
      <c r="D1204" s="12" t="s">
        <v>110</v>
      </c>
      <c r="E1204" s="12" t="s">
        <v>46</v>
      </c>
      <c r="F1204" s="12" t="s">
        <v>694</v>
      </c>
      <c r="G1204" s="12">
        <v>5437</v>
      </c>
      <c r="H1204" s="12" t="s">
        <v>695</v>
      </c>
      <c r="I1204" s="12" t="s">
        <v>306</v>
      </c>
      <c r="J1204" s="12">
        <v>1</v>
      </c>
      <c r="K1204" s="12" t="s">
        <v>303</v>
      </c>
    </row>
    <row r="1205" spans="1:11" x14ac:dyDescent="0.3">
      <c r="A1205" s="12" t="s">
        <v>91</v>
      </c>
      <c r="B1205" s="12" t="s">
        <v>294</v>
      </c>
      <c r="C1205" s="12" t="s">
        <v>123</v>
      </c>
      <c r="D1205" s="12" t="s">
        <v>110</v>
      </c>
      <c r="E1205" s="12" t="s">
        <v>11</v>
      </c>
      <c r="F1205" s="12" t="s">
        <v>322</v>
      </c>
      <c r="G1205" s="12">
        <v>272997</v>
      </c>
      <c r="H1205" s="12" t="s">
        <v>323</v>
      </c>
      <c r="I1205" s="12" t="s">
        <v>302</v>
      </c>
      <c r="J1205" s="12">
        <v>1</v>
      </c>
      <c r="K1205" s="12" t="s">
        <v>303</v>
      </c>
    </row>
    <row r="1206" spans="1:11" x14ac:dyDescent="0.3">
      <c r="A1206" s="12" t="s">
        <v>91</v>
      </c>
      <c r="B1206" s="12" t="s">
        <v>294</v>
      </c>
      <c r="C1206" s="12" t="s">
        <v>123</v>
      </c>
      <c r="D1206" s="12" t="s">
        <v>110</v>
      </c>
      <c r="E1206" s="12" t="s">
        <v>47</v>
      </c>
      <c r="F1206" s="12" t="s">
        <v>696</v>
      </c>
      <c r="G1206" s="12">
        <v>2730877</v>
      </c>
      <c r="H1206" s="12" t="s">
        <v>697</v>
      </c>
      <c r="I1206" s="12" t="s">
        <v>306</v>
      </c>
      <c r="J1206" s="12">
        <v>1</v>
      </c>
      <c r="K1206" s="12" t="s">
        <v>303</v>
      </c>
    </row>
    <row r="1207" spans="1:11" x14ac:dyDescent="0.3">
      <c r="A1207" s="12" t="s">
        <v>91</v>
      </c>
      <c r="B1207" s="12" t="s">
        <v>294</v>
      </c>
      <c r="C1207" s="12" t="s">
        <v>123</v>
      </c>
      <c r="D1207" s="12" t="s">
        <v>110</v>
      </c>
      <c r="E1207" s="12" t="s">
        <v>13</v>
      </c>
      <c r="F1207" s="12" t="s">
        <v>326</v>
      </c>
      <c r="G1207" s="12">
        <v>6393</v>
      </c>
      <c r="H1207" s="12" t="s">
        <v>327</v>
      </c>
      <c r="I1207" s="12" t="s">
        <v>306</v>
      </c>
      <c r="J1207" s="12">
        <v>1</v>
      </c>
      <c r="K1207" s="12" t="s">
        <v>303</v>
      </c>
    </row>
    <row r="1208" spans="1:11" x14ac:dyDescent="0.3">
      <c r="A1208" s="12" t="s">
        <v>91</v>
      </c>
      <c r="B1208" s="12" t="s">
        <v>294</v>
      </c>
      <c r="C1208" s="12" t="s">
        <v>123</v>
      </c>
      <c r="D1208" s="12" t="s">
        <v>110</v>
      </c>
      <c r="E1208" s="12" t="s">
        <v>18</v>
      </c>
      <c r="F1208" s="12" t="s">
        <v>336</v>
      </c>
      <c r="G1208" s="12">
        <v>7496</v>
      </c>
      <c r="H1208" s="12" t="s">
        <v>337</v>
      </c>
      <c r="I1208" s="12" t="s">
        <v>306</v>
      </c>
      <c r="J1208" s="12">
        <v>1</v>
      </c>
      <c r="K1208" s="12" t="s">
        <v>303</v>
      </c>
    </row>
    <row r="1209" spans="1:11" x14ac:dyDescent="0.3">
      <c r="A1209" s="12" t="s">
        <v>91</v>
      </c>
      <c r="B1209" s="12" t="s">
        <v>294</v>
      </c>
      <c r="C1209" s="12" t="s">
        <v>123</v>
      </c>
      <c r="D1209" s="12" t="s">
        <v>110</v>
      </c>
      <c r="E1209" s="12" t="s">
        <v>48</v>
      </c>
      <c r="F1209" s="12" t="s">
        <v>698</v>
      </c>
      <c r="G1209" s="12">
        <v>498843743</v>
      </c>
      <c r="H1209" s="12" t="s">
        <v>699</v>
      </c>
      <c r="I1209" s="12" t="s">
        <v>306</v>
      </c>
      <c r="J1209" s="12">
        <v>1</v>
      </c>
      <c r="K1209" s="12" t="s">
        <v>303</v>
      </c>
    </row>
    <row r="1210" spans="1:11" x14ac:dyDescent="0.3">
      <c r="A1210" s="12" t="s">
        <v>91</v>
      </c>
      <c r="B1210" s="12" t="s">
        <v>294</v>
      </c>
      <c r="C1210" s="12" t="s">
        <v>123</v>
      </c>
      <c r="D1210" s="12" t="s">
        <v>110</v>
      </c>
      <c r="E1210" s="12" t="s">
        <v>19</v>
      </c>
      <c r="F1210" s="12" t="s">
        <v>338</v>
      </c>
      <c r="G1210" s="12">
        <v>208813719</v>
      </c>
      <c r="H1210" s="12" t="s">
        <v>339</v>
      </c>
      <c r="I1210" s="12" t="s">
        <v>302</v>
      </c>
      <c r="J1210" s="12">
        <v>1</v>
      </c>
      <c r="K1210" s="12" t="s">
        <v>303</v>
      </c>
    </row>
    <row r="1211" spans="1:11" x14ac:dyDescent="0.3">
      <c r="A1211" s="12" t="s">
        <v>91</v>
      </c>
      <c r="B1211" s="12" t="s">
        <v>294</v>
      </c>
      <c r="C1211" s="12" t="s">
        <v>123</v>
      </c>
      <c r="D1211" s="12" t="s">
        <v>110</v>
      </c>
      <c r="E1211" s="12" t="s">
        <v>20</v>
      </c>
      <c r="F1211" s="12" t="s">
        <v>340</v>
      </c>
      <c r="G1211" s="12">
        <v>7930</v>
      </c>
      <c r="H1211" s="12" t="s">
        <v>341</v>
      </c>
      <c r="I1211" s="12" t="s">
        <v>306</v>
      </c>
      <c r="J1211" s="12">
        <v>1</v>
      </c>
      <c r="K1211" s="12" t="s">
        <v>303</v>
      </c>
    </row>
    <row r="1212" spans="1:11" x14ac:dyDescent="0.3">
      <c r="A1212" s="12" t="s">
        <v>91</v>
      </c>
      <c r="B1212" s="12" t="s">
        <v>294</v>
      </c>
      <c r="C1212" s="12" t="s">
        <v>123</v>
      </c>
      <c r="D1212" s="12" t="s">
        <v>110</v>
      </c>
      <c r="E1212" s="12" t="s">
        <v>22</v>
      </c>
      <c r="F1212" s="12" t="s">
        <v>344</v>
      </c>
      <c r="G1212" s="12">
        <v>403121976</v>
      </c>
      <c r="H1212" s="12" t="s">
        <v>345</v>
      </c>
      <c r="I1212" s="12" t="s">
        <v>306</v>
      </c>
      <c r="J1212" s="12">
        <v>1</v>
      </c>
      <c r="K1212" s="12" t="s">
        <v>303</v>
      </c>
    </row>
    <row r="1213" spans="1:11" x14ac:dyDescent="0.3">
      <c r="A1213" s="12" t="s">
        <v>91</v>
      </c>
      <c r="B1213" s="12" t="s">
        <v>294</v>
      </c>
      <c r="C1213" s="12" t="s">
        <v>123</v>
      </c>
      <c r="D1213" s="12" t="s">
        <v>110</v>
      </c>
      <c r="E1213" s="12" t="s">
        <v>37</v>
      </c>
      <c r="F1213" s="12" t="s">
        <v>613</v>
      </c>
      <c r="G1213" s="12">
        <v>8314</v>
      </c>
      <c r="H1213" s="12" t="s">
        <v>614</v>
      </c>
      <c r="I1213" s="12" t="s">
        <v>306</v>
      </c>
      <c r="J1213" s="12">
        <v>1</v>
      </c>
      <c r="K1213" s="12" t="s">
        <v>303</v>
      </c>
    </row>
    <row r="1214" spans="1:11" x14ac:dyDescent="0.3">
      <c r="A1214" s="12" t="s">
        <v>91</v>
      </c>
      <c r="B1214" s="12" t="s">
        <v>294</v>
      </c>
      <c r="C1214" s="12" t="s">
        <v>123</v>
      </c>
      <c r="D1214" s="12" t="s">
        <v>110</v>
      </c>
      <c r="E1214" s="12" t="s">
        <v>24</v>
      </c>
      <c r="F1214" s="12" t="s">
        <v>348</v>
      </c>
      <c r="G1214" s="12">
        <v>404509190</v>
      </c>
      <c r="H1214" s="12" t="s">
        <v>349</v>
      </c>
      <c r="I1214" s="12" t="s">
        <v>306</v>
      </c>
      <c r="J1214" s="12">
        <v>1</v>
      </c>
      <c r="K1214" s="12" t="s">
        <v>303</v>
      </c>
    </row>
    <row r="1215" spans="1:11" x14ac:dyDescent="0.3">
      <c r="A1215" s="12" t="s">
        <v>91</v>
      </c>
      <c r="B1215" s="12" t="s">
        <v>294</v>
      </c>
      <c r="C1215" s="12" t="s">
        <v>123</v>
      </c>
      <c r="D1215" s="12" t="s">
        <v>110</v>
      </c>
      <c r="E1215" s="12" t="s">
        <v>49</v>
      </c>
      <c r="F1215" s="12" t="s">
        <v>700</v>
      </c>
      <c r="G1215" s="12">
        <v>9160</v>
      </c>
      <c r="H1215" s="12" t="s">
        <v>701</v>
      </c>
      <c r="I1215" s="12" t="s">
        <v>306</v>
      </c>
      <c r="J1215" s="12">
        <v>1</v>
      </c>
      <c r="K1215" s="12" t="s">
        <v>303</v>
      </c>
    </row>
    <row r="1216" spans="1:11" x14ac:dyDescent="0.3">
      <c r="A1216" s="12" t="s">
        <v>91</v>
      </c>
      <c r="B1216" s="12" t="s">
        <v>294</v>
      </c>
      <c r="C1216" s="12" t="s">
        <v>123</v>
      </c>
      <c r="D1216" s="12" t="s">
        <v>110</v>
      </c>
      <c r="E1216" s="12" t="s">
        <v>25</v>
      </c>
      <c r="F1216" s="12" t="s">
        <v>350</v>
      </c>
      <c r="G1216" s="12">
        <v>45157951</v>
      </c>
      <c r="H1216" s="12" t="s">
        <v>351</v>
      </c>
      <c r="I1216" s="12" t="s">
        <v>302</v>
      </c>
      <c r="J1216" s="12">
        <v>1</v>
      </c>
      <c r="K1216" s="12" t="s">
        <v>303</v>
      </c>
    </row>
    <row r="1217" spans="1:11" x14ac:dyDescent="0.3">
      <c r="A1217" s="12" t="s">
        <v>91</v>
      </c>
      <c r="B1217" s="12" t="s">
        <v>294</v>
      </c>
      <c r="C1217" s="12" t="s">
        <v>123</v>
      </c>
      <c r="D1217" s="12" t="s">
        <v>110</v>
      </c>
      <c r="E1217" s="12" t="s">
        <v>26</v>
      </c>
      <c r="F1217" s="12" t="s">
        <v>352</v>
      </c>
      <c r="G1217" s="12">
        <v>6497</v>
      </c>
      <c r="H1217" s="12" t="s">
        <v>353</v>
      </c>
      <c r="I1217" s="12" t="s">
        <v>306</v>
      </c>
      <c r="J1217" s="12">
        <v>1</v>
      </c>
      <c r="K1217" s="12" t="s">
        <v>303</v>
      </c>
    </row>
    <row r="1218" spans="1:11" x14ac:dyDescent="0.3">
      <c r="A1218" s="12" t="s">
        <v>91</v>
      </c>
      <c r="B1218" s="12" t="s">
        <v>294</v>
      </c>
      <c r="C1218" s="12" t="s">
        <v>123</v>
      </c>
      <c r="D1218" s="12" t="s">
        <v>110</v>
      </c>
      <c r="E1218" s="12" t="s">
        <v>27</v>
      </c>
      <c r="F1218" s="12" t="s">
        <v>354</v>
      </c>
      <c r="G1218" s="12">
        <v>107113386</v>
      </c>
      <c r="H1218" s="12" t="s">
        <v>355</v>
      </c>
      <c r="I1218" s="12" t="s">
        <v>302</v>
      </c>
      <c r="J1218" s="12">
        <v>1</v>
      </c>
      <c r="K1218" s="12" t="s">
        <v>303</v>
      </c>
    </row>
    <row r="1219" spans="1:11" x14ac:dyDescent="0.3">
      <c r="A1219" s="12" t="s">
        <v>91</v>
      </c>
      <c r="B1219" s="12" t="s">
        <v>294</v>
      </c>
      <c r="C1219" s="12" t="s">
        <v>123</v>
      </c>
      <c r="D1219" s="12" t="s">
        <v>110</v>
      </c>
      <c r="E1219" s="12" t="s">
        <v>28</v>
      </c>
      <c r="F1219" s="12" t="s">
        <v>356</v>
      </c>
      <c r="G1219" s="12">
        <v>272093</v>
      </c>
      <c r="H1219" s="12" t="s">
        <v>357</v>
      </c>
      <c r="I1219" s="12" t="s">
        <v>302</v>
      </c>
      <c r="J1219" s="12">
        <v>1</v>
      </c>
      <c r="K1219" s="12" t="s">
        <v>303</v>
      </c>
    </row>
    <row r="1220" spans="1:11" x14ac:dyDescent="0.3">
      <c r="A1220" s="12" t="s">
        <v>91</v>
      </c>
      <c r="B1220" s="12" t="s">
        <v>294</v>
      </c>
      <c r="C1220" s="12" t="s">
        <v>123</v>
      </c>
      <c r="D1220" s="12" t="s">
        <v>110</v>
      </c>
      <c r="E1220" s="12" t="s">
        <v>50</v>
      </c>
      <c r="F1220" s="12" t="s">
        <v>702</v>
      </c>
      <c r="G1220" s="12">
        <v>109911821</v>
      </c>
      <c r="H1220" s="12" t="s">
        <v>703</v>
      </c>
      <c r="I1220" s="12" t="s">
        <v>306</v>
      </c>
      <c r="J1220" s="12">
        <v>1</v>
      </c>
      <c r="K1220" s="12" t="s">
        <v>303</v>
      </c>
    </row>
    <row r="1221" spans="1:11" x14ac:dyDescent="0.3">
      <c r="A1221" s="12" t="s">
        <v>91</v>
      </c>
      <c r="B1221" s="12" t="s">
        <v>294</v>
      </c>
      <c r="C1221" s="12" t="s">
        <v>123</v>
      </c>
      <c r="D1221" s="12" t="s">
        <v>110</v>
      </c>
      <c r="E1221" s="12" t="s">
        <v>29</v>
      </c>
      <c r="F1221" s="12" t="s">
        <v>358</v>
      </c>
      <c r="G1221" s="12">
        <v>110619459</v>
      </c>
      <c r="H1221" s="12" t="s">
        <v>359</v>
      </c>
      <c r="I1221" s="12" t="s">
        <v>302</v>
      </c>
      <c r="J1221" s="12">
        <v>1</v>
      </c>
      <c r="K1221" s="12" t="s">
        <v>303</v>
      </c>
    </row>
    <row r="1222" spans="1:11" x14ac:dyDescent="0.3">
      <c r="A1222" s="12" t="s">
        <v>91</v>
      </c>
      <c r="B1222" s="12" t="s">
        <v>294</v>
      </c>
      <c r="C1222" s="12" t="s">
        <v>123</v>
      </c>
      <c r="D1222" s="12" t="s">
        <v>110</v>
      </c>
      <c r="E1222" s="12" t="s">
        <v>39</v>
      </c>
      <c r="F1222" s="12" t="s">
        <v>617</v>
      </c>
      <c r="G1222" s="12">
        <v>273544</v>
      </c>
      <c r="H1222" s="12" t="s">
        <v>618</v>
      </c>
      <c r="I1222" s="12" t="s">
        <v>302</v>
      </c>
      <c r="J1222" s="12">
        <v>1</v>
      </c>
      <c r="K1222" s="12" t="s">
        <v>303</v>
      </c>
    </row>
    <row r="1223" spans="1:11" x14ac:dyDescent="0.3">
      <c r="A1223" s="12" t="s">
        <v>91</v>
      </c>
      <c r="B1223" s="12" t="s">
        <v>294</v>
      </c>
      <c r="C1223" s="12" t="s">
        <v>123</v>
      </c>
      <c r="D1223" s="12" t="s">
        <v>110</v>
      </c>
      <c r="E1223" s="12" t="s">
        <v>30</v>
      </c>
      <c r="F1223" s="12" t="s">
        <v>360</v>
      </c>
      <c r="G1223" s="12">
        <v>273939</v>
      </c>
      <c r="H1223" s="12" t="s">
        <v>361</v>
      </c>
      <c r="I1223" s="12" t="s">
        <v>302</v>
      </c>
      <c r="J1223" s="12">
        <v>1</v>
      </c>
      <c r="K1223" s="12" t="s">
        <v>303</v>
      </c>
    </row>
    <row r="1224" spans="1:11" x14ac:dyDescent="0.3">
      <c r="A1224" s="12" t="s">
        <v>91</v>
      </c>
      <c r="B1224" s="12" t="s">
        <v>294</v>
      </c>
      <c r="C1224" s="12" t="s">
        <v>123</v>
      </c>
      <c r="D1224" s="12" t="s">
        <v>110</v>
      </c>
      <c r="E1224" s="12" t="s">
        <v>51</v>
      </c>
      <c r="F1224" s="12" t="s">
        <v>704</v>
      </c>
      <c r="G1224" s="12">
        <v>43261373</v>
      </c>
      <c r="H1224" s="12" t="s">
        <v>705</v>
      </c>
      <c r="I1224" s="12" t="s">
        <v>302</v>
      </c>
      <c r="J1224" s="12">
        <v>1</v>
      </c>
      <c r="K1224" s="12" t="s">
        <v>303</v>
      </c>
    </row>
    <row r="1225" spans="1:11" x14ac:dyDescent="0.3">
      <c r="A1225" s="12" t="s">
        <v>91</v>
      </c>
      <c r="B1225" s="12" t="s">
        <v>294</v>
      </c>
      <c r="C1225" s="12" t="s">
        <v>123</v>
      </c>
      <c r="D1225" s="12" t="s">
        <v>110</v>
      </c>
      <c r="E1225" s="12" t="s">
        <v>31</v>
      </c>
      <c r="F1225" s="12" t="s">
        <v>362</v>
      </c>
      <c r="G1225" s="12">
        <v>444884769</v>
      </c>
      <c r="H1225" s="12" t="s">
        <v>363</v>
      </c>
      <c r="I1225" s="12" t="s">
        <v>306</v>
      </c>
      <c r="J1225" s="12">
        <v>1</v>
      </c>
      <c r="K1225" s="12" t="s">
        <v>303</v>
      </c>
    </row>
    <row r="1226" spans="1:11" x14ac:dyDescent="0.3">
      <c r="A1226" s="12" t="s">
        <v>91</v>
      </c>
      <c r="B1226" s="12" t="s">
        <v>294</v>
      </c>
      <c r="C1226" s="12" t="s">
        <v>123</v>
      </c>
      <c r="D1226" s="12" t="s">
        <v>110</v>
      </c>
      <c r="E1226" s="12" t="s">
        <v>32</v>
      </c>
      <c r="F1226" s="12" t="s">
        <v>364</v>
      </c>
      <c r="G1226" s="12">
        <v>365207014</v>
      </c>
      <c r="H1226" s="12" t="s">
        <v>365</v>
      </c>
      <c r="I1226" s="12" t="s">
        <v>306</v>
      </c>
      <c r="J1226" s="12">
        <v>1</v>
      </c>
      <c r="K1226" s="12" t="s">
        <v>303</v>
      </c>
    </row>
    <row r="1227" spans="1:11" x14ac:dyDescent="0.3">
      <c r="A1227" s="12" t="s">
        <v>91</v>
      </c>
      <c r="B1227" s="12" t="s">
        <v>294</v>
      </c>
      <c r="C1227" s="12" t="s">
        <v>123</v>
      </c>
      <c r="D1227" s="12" t="s">
        <v>110</v>
      </c>
      <c r="E1227" s="12" t="s">
        <v>40</v>
      </c>
      <c r="F1227" s="12" t="s">
        <v>619</v>
      </c>
      <c r="G1227" s="12">
        <v>13284</v>
      </c>
      <c r="H1227" s="12" t="s">
        <v>620</v>
      </c>
      <c r="I1227" s="12" t="s">
        <v>306</v>
      </c>
      <c r="J1227" s="12">
        <v>1</v>
      </c>
      <c r="K1227" s="12" t="s">
        <v>303</v>
      </c>
    </row>
    <row r="1228" spans="1:11" x14ac:dyDescent="0.3">
      <c r="A1228" s="12" t="s">
        <v>91</v>
      </c>
      <c r="B1228" s="12" t="s">
        <v>294</v>
      </c>
      <c r="C1228" s="12" t="s">
        <v>123</v>
      </c>
      <c r="D1228" s="12" t="s">
        <v>110</v>
      </c>
      <c r="E1228" s="12" t="s">
        <v>34</v>
      </c>
      <c r="F1228" s="12" t="s">
        <v>368</v>
      </c>
      <c r="G1228" s="12">
        <v>115324104</v>
      </c>
      <c r="H1228" s="12" t="s">
        <v>369</v>
      </c>
      <c r="I1228" s="12" t="s">
        <v>302</v>
      </c>
      <c r="J1228" s="12">
        <v>1</v>
      </c>
      <c r="K1228" s="12" t="s">
        <v>303</v>
      </c>
    </row>
    <row r="1229" spans="1:11" x14ac:dyDescent="0.3">
      <c r="A1229" s="12" t="s">
        <v>91</v>
      </c>
      <c r="B1229" s="12" t="s">
        <v>294</v>
      </c>
      <c r="C1229" s="12" t="s">
        <v>123</v>
      </c>
      <c r="D1229" s="12" t="s">
        <v>110</v>
      </c>
      <c r="E1229" s="12" t="s">
        <v>41</v>
      </c>
      <c r="F1229" s="12" t="s">
        <v>621</v>
      </c>
      <c r="G1229" s="12">
        <v>319359438</v>
      </c>
      <c r="H1229" s="12" t="s">
        <v>622</v>
      </c>
      <c r="I1229" s="12" t="s">
        <v>623</v>
      </c>
      <c r="J1229" s="12">
        <v>1</v>
      </c>
      <c r="K1229" s="12" t="s">
        <v>413</v>
      </c>
    </row>
    <row r="1230" spans="1:11" x14ac:dyDescent="0.3">
      <c r="A1230" s="12" t="s">
        <v>91</v>
      </c>
      <c r="B1230" s="12" t="s">
        <v>294</v>
      </c>
      <c r="C1230" s="12" t="s">
        <v>123</v>
      </c>
      <c r="D1230" s="12" t="s">
        <v>110</v>
      </c>
      <c r="E1230" s="12" t="s">
        <v>42</v>
      </c>
      <c r="F1230" s="12" t="s">
        <v>624</v>
      </c>
      <c r="G1230" s="12">
        <v>4215230</v>
      </c>
      <c r="H1230" s="12" t="s">
        <v>625</v>
      </c>
      <c r="I1230" s="12" t="s">
        <v>623</v>
      </c>
      <c r="J1230" s="12">
        <v>1</v>
      </c>
      <c r="K1230" s="12" t="s">
        <v>413</v>
      </c>
    </row>
    <row r="1231" spans="1:11" x14ac:dyDescent="0.3">
      <c r="A1231" s="12" t="s">
        <v>91</v>
      </c>
      <c r="B1231" s="12" t="s">
        <v>294</v>
      </c>
      <c r="C1231" s="12" t="s">
        <v>123</v>
      </c>
      <c r="D1231" s="12" t="s">
        <v>110</v>
      </c>
      <c r="E1231" s="12" t="s">
        <v>43</v>
      </c>
      <c r="F1231" s="12" t="s">
        <v>626</v>
      </c>
      <c r="G1231" s="12">
        <v>4215235</v>
      </c>
      <c r="H1231" s="12" t="s">
        <v>627</v>
      </c>
      <c r="I1231" s="12" t="s">
        <v>623</v>
      </c>
      <c r="J1231" s="12">
        <v>1</v>
      </c>
      <c r="K1231" s="12" t="s">
        <v>413</v>
      </c>
    </row>
    <row r="1232" spans="1:11" x14ac:dyDescent="0.3">
      <c r="A1232" s="12" t="s">
        <v>91</v>
      </c>
      <c r="B1232" s="12" t="s">
        <v>294</v>
      </c>
      <c r="C1232" s="12" t="s">
        <v>123</v>
      </c>
      <c r="D1232" s="12" t="s">
        <v>110</v>
      </c>
      <c r="E1232" s="12" t="s">
        <v>44</v>
      </c>
      <c r="F1232" s="12" t="s">
        <v>628</v>
      </c>
      <c r="G1232" s="12">
        <v>4215205</v>
      </c>
      <c r="H1232" s="12" t="s">
        <v>629</v>
      </c>
      <c r="I1232" s="12" t="s">
        <v>623</v>
      </c>
      <c r="J1232" s="12">
        <v>1</v>
      </c>
      <c r="K1232" s="12" t="s">
        <v>413</v>
      </c>
    </row>
    <row r="1233" spans="1:12" x14ac:dyDescent="0.3">
      <c r="A1233" s="12" t="s">
        <v>91</v>
      </c>
      <c r="B1233" s="12" t="s">
        <v>294</v>
      </c>
      <c r="C1233" s="12" t="s">
        <v>123</v>
      </c>
      <c r="D1233" s="12" t="s">
        <v>110</v>
      </c>
      <c r="E1233" s="12" t="s">
        <v>35</v>
      </c>
      <c r="F1233" s="12" t="s">
        <v>370</v>
      </c>
      <c r="G1233" s="12">
        <v>13977</v>
      </c>
      <c r="H1233" s="12" t="s">
        <v>371</v>
      </c>
      <c r="I1233" s="12" t="s">
        <v>306</v>
      </c>
      <c r="J1233" s="12">
        <v>1</v>
      </c>
      <c r="K1233" s="12" t="s">
        <v>303</v>
      </c>
    </row>
    <row r="1234" spans="1:12" x14ac:dyDescent="0.3">
      <c r="A1234" s="12" t="s">
        <v>91</v>
      </c>
      <c r="B1234" s="12" t="s">
        <v>294</v>
      </c>
      <c r="C1234" s="12" t="s">
        <v>120</v>
      </c>
      <c r="D1234" s="12" t="s">
        <v>100</v>
      </c>
      <c r="E1234" s="12" t="s">
        <v>0</v>
      </c>
      <c r="F1234" s="12" t="s">
        <v>269</v>
      </c>
      <c r="G1234" s="12" t="s">
        <v>295</v>
      </c>
      <c r="H1234" s="12" t="s">
        <v>297</v>
      </c>
      <c r="I1234" s="12" t="s">
        <v>298</v>
      </c>
      <c r="J1234" s="12" t="s">
        <v>372</v>
      </c>
      <c r="K1234" s="12" t="s">
        <v>373</v>
      </c>
      <c r="L1234" s="12" t="s">
        <v>165</v>
      </c>
    </row>
    <row r="1235" spans="1:12" x14ac:dyDescent="0.3">
      <c r="A1235" s="12" t="s">
        <v>91</v>
      </c>
      <c r="B1235" s="12" t="s">
        <v>294</v>
      </c>
      <c r="C1235" s="12" t="s">
        <v>123</v>
      </c>
      <c r="D1235" s="12" t="s">
        <v>112</v>
      </c>
      <c r="E1235" s="12" t="s">
        <v>36</v>
      </c>
      <c r="F1235" s="12" t="s">
        <v>374</v>
      </c>
      <c r="G1235" s="12">
        <v>603558929</v>
      </c>
      <c r="H1235" s="12" t="s">
        <v>375</v>
      </c>
      <c r="I1235" s="12">
        <v>5</v>
      </c>
      <c r="J1235" s="20">
        <v>45366</v>
      </c>
      <c r="K1235" s="12" t="s">
        <v>91</v>
      </c>
    </row>
    <row r="1236" spans="1:12" x14ac:dyDescent="0.3">
      <c r="A1236" s="12" t="s">
        <v>91</v>
      </c>
      <c r="B1236" s="12" t="s">
        <v>294</v>
      </c>
      <c r="C1236" s="12" t="s">
        <v>123</v>
      </c>
      <c r="D1236" s="12" t="s">
        <v>112</v>
      </c>
      <c r="E1236" s="12" t="s">
        <v>52</v>
      </c>
      <c r="F1236" s="12" t="s">
        <v>706</v>
      </c>
      <c r="G1236" s="12">
        <v>620731036</v>
      </c>
      <c r="H1236" s="12" t="s">
        <v>375</v>
      </c>
      <c r="I1236" s="12">
        <v>5</v>
      </c>
      <c r="J1236" s="20">
        <v>45464</v>
      </c>
      <c r="K1236" s="12" t="s">
        <v>94</v>
      </c>
    </row>
    <row r="1237" spans="1:12" x14ac:dyDescent="0.3">
      <c r="A1237" s="12" t="s">
        <v>91</v>
      </c>
      <c r="B1237" s="12" t="s">
        <v>294</v>
      </c>
      <c r="C1237" s="12" t="s">
        <v>123</v>
      </c>
      <c r="D1237" s="12" t="s">
        <v>112</v>
      </c>
      <c r="E1237" s="12" t="s">
        <v>53</v>
      </c>
      <c r="F1237" s="12" t="s">
        <v>707</v>
      </c>
      <c r="G1237" s="12">
        <v>620730945</v>
      </c>
      <c r="H1237" s="12" t="s">
        <v>375</v>
      </c>
      <c r="I1237" s="12">
        <v>2</v>
      </c>
      <c r="J1237" s="20">
        <v>45464</v>
      </c>
      <c r="K1237" s="12" t="s">
        <v>94</v>
      </c>
    </row>
    <row r="1238" spans="1:12" x14ac:dyDescent="0.3">
      <c r="A1238" s="12" t="s">
        <v>91</v>
      </c>
      <c r="B1238" s="12" t="s">
        <v>376</v>
      </c>
      <c r="C1238" s="12" t="s">
        <v>120</v>
      </c>
      <c r="D1238" s="12" t="s">
        <v>165</v>
      </c>
      <c r="E1238" s="12" t="s">
        <v>377</v>
      </c>
      <c r="F1238" s="12" t="s">
        <v>378</v>
      </c>
      <c r="G1238" s="12" t="s">
        <v>379</v>
      </c>
    </row>
    <row r="1239" spans="1:12" x14ac:dyDescent="0.3">
      <c r="A1239" s="12" t="s">
        <v>91</v>
      </c>
      <c r="B1239" s="12" t="s">
        <v>376</v>
      </c>
      <c r="C1239" s="12" t="s">
        <v>123</v>
      </c>
      <c r="D1239" s="12" t="s">
        <v>380</v>
      </c>
      <c r="E1239" s="12" t="s">
        <v>381</v>
      </c>
    </row>
    <row r="1240" spans="1:12" x14ac:dyDescent="0.3">
      <c r="A1240" s="12" t="s">
        <v>91</v>
      </c>
      <c r="B1240" s="12" t="s">
        <v>376</v>
      </c>
      <c r="C1240" s="12" t="s">
        <v>123</v>
      </c>
      <c r="D1240" s="12" t="s">
        <v>382</v>
      </c>
      <c r="E1240" s="12" t="s">
        <v>383</v>
      </c>
    </row>
    <row r="1241" spans="1:12" x14ac:dyDescent="0.3">
      <c r="A1241" s="12" t="s">
        <v>91</v>
      </c>
      <c r="B1241" s="12" t="s">
        <v>376</v>
      </c>
      <c r="C1241" s="12" t="s">
        <v>123</v>
      </c>
      <c r="D1241" s="12" t="s">
        <v>384</v>
      </c>
      <c r="E1241" s="12" t="s">
        <v>385</v>
      </c>
    </row>
    <row r="1242" spans="1:12" x14ac:dyDescent="0.3">
      <c r="A1242" s="12" t="s">
        <v>91</v>
      </c>
      <c r="B1242" s="12" t="s">
        <v>376</v>
      </c>
      <c r="C1242" s="12" t="s">
        <v>123</v>
      </c>
      <c r="D1242" s="12" t="s">
        <v>386</v>
      </c>
      <c r="E1242" s="12" t="s">
        <v>387</v>
      </c>
    </row>
    <row r="1243" spans="1:12" x14ac:dyDescent="0.3">
      <c r="A1243" s="12" t="s">
        <v>91</v>
      </c>
      <c r="B1243" s="12" t="s">
        <v>376</v>
      </c>
      <c r="C1243" s="12" t="s">
        <v>123</v>
      </c>
      <c r="D1243" s="12" t="s">
        <v>388</v>
      </c>
      <c r="E1243" s="12" t="s">
        <v>389</v>
      </c>
    </row>
    <row r="1244" spans="1:12" x14ac:dyDescent="0.3">
      <c r="A1244" s="12" t="s">
        <v>91</v>
      </c>
      <c r="B1244" s="12" t="s">
        <v>376</v>
      </c>
      <c r="C1244" s="12" t="s">
        <v>123</v>
      </c>
      <c r="D1244" s="12" t="s">
        <v>390</v>
      </c>
      <c r="E1244" s="12" t="s">
        <v>391</v>
      </c>
    </row>
    <row r="1245" spans="1:12" x14ac:dyDescent="0.3">
      <c r="A1245" s="12" t="s">
        <v>91</v>
      </c>
      <c r="B1245" s="12" t="s">
        <v>376</v>
      </c>
      <c r="C1245" s="12" t="s">
        <v>123</v>
      </c>
      <c r="D1245" s="12" t="s">
        <v>392</v>
      </c>
      <c r="E1245" s="12" t="s">
        <v>393</v>
      </c>
    </row>
    <row r="1246" spans="1:12" x14ac:dyDescent="0.3">
      <c r="A1246" s="12" t="s">
        <v>91</v>
      </c>
      <c r="B1246" s="12" t="s">
        <v>376</v>
      </c>
      <c r="C1246" s="12" t="s">
        <v>123</v>
      </c>
      <c r="D1246" s="12" t="s">
        <v>394</v>
      </c>
      <c r="E1246" s="12" t="s">
        <v>395</v>
      </c>
    </row>
    <row r="1247" spans="1:12" x14ac:dyDescent="0.3">
      <c r="A1247" s="12" t="s">
        <v>91</v>
      </c>
      <c r="B1247" s="12" t="s">
        <v>376</v>
      </c>
      <c r="C1247" s="12" t="s">
        <v>123</v>
      </c>
      <c r="D1247" s="12" t="s">
        <v>396</v>
      </c>
      <c r="E1247" s="12" t="s">
        <v>397</v>
      </c>
    </row>
    <row r="1248" spans="1:12" x14ac:dyDescent="0.3">
      <c r="A1248" s="12" t="s">
        <v>91</v>
      </c>
      <c r="B1248" s="12" t="s">
        <v>376</v>
      </c>
      <c r="C1248" s="12" t="s">
        <v>123</v>
      </c>
      <c r="D1248" s="12" t="s">
        <v>3</v>
      </c>
      <c r="E1248" s="12" t="s">
        <v>398</v>
      </c>
    </row>
    <row r="1249" spans="1:5" x14ac:dyDescent="0.3">
      <c r="A1249" s="12" t="s">
        <v>91</v>
      </c>
      <c r="B1249" s="12" t="s">
        <v>376</v>
      </c>
      <c r="C1249" s="12" t="s">
        <v>123</v>
      </c>
      <c r="D1249" s="12" t="s">
        <v>399</v>
      </c>
      <c r="E1249" s="12" t="s">
        <v>400</v>
      </c>
    </row>
    <row r="1250" spans="1:5" x14ac:dyDescent="0.3">
      <c r="A1250" s="12" t="s">
        <v>91</v>
      </c>
      <c r="B1250" s="12" t="s">
        <v>376</v>
      </c>
      <c r="C1250" s="12" t="s">
        <v>123</v>
      </c>
      <c r="D1250" s="12" t="s">
        <v>401</v>
      </c>
      <c r="E1250" s="12" t="s">
        <v>402</v>
      </c>
    </row>
    <row r="1251" spans="1:5" x14ac:dyDescent="0.3">
      <c r="A1251" s="12" t="s">
        <v>91</v>
      </c>
      <c r="B1251" s="12" t="s">
        <v>376</v>
      </c>
      <c r="C1251" s="12" t="s">
        <v>123</v>
      </c>
      <c r="D1251" s="12" t="s">
        <v>403</v>
      </c>
      <c r="E1251" s="12" t="s">
        <v>404</v>
      </c>
    </row>
    <row r="1252" spans="1:5" x14ac:dyDescent="0.3">
      <c r="A1252" s="12" t="s">
        <v>91</v>
      </c>
      <c r="B1252" s="12" t="s">
        <v>376</v>
      </c>
      <c r="C1252" s="12" t="s">
        <v>123</v>
      </c>
      <c r="D1252" s="12" t="s">
        <v>405</v>
      </c>
      <c r="E1252" s="12" t="s">
        <v>406</v>
      </c>
    </row>
    <row r="1253" spans="1:5" x14ac:dyDescent="0.3">
      <c r="A1253" s="12" t="s">
        <v>91</v>
      </c>
      <c r="B1253" s="12" t="s">
        <v>376</v>
      </c>
      <c r="C1253" s="12" t="s">
        <v>123</v>
      </c>
      <c r="D1253" s="12" t="s">
        <v>407</v>
      </c>
      <c r="E1253" s="12" t="s">
        <v>408</v>
      </c>
    </row>
    <row r="1254" spans="1:5" x14ac:dyDescent="0.3">
      <c r="A1254" s="12" t="s">
        <v>91</v>
      </c>
      <c r="B1254" s="12" t="s">
        <v>376</v>
      </c>
      <c r="C1254" s="12" t="s">
        <v>123</v>
      </c>
      <c r="D1254" s="12" t="s">
        <v>409</v>
      </c>
      <c r="E1254" s="12" t="s">
        <v>410</v>
      </c>
    </row>
    <row r="1255" spans="1:5" x14ac:dyDescent="0.3">
      <c r="A1255" s="12" t="s">
        <v>91</v>
      </c>
      <c r="B1255" s="12" t="s">
        <v>376</v>
      </c>
      <c r="C1255" s="12" t="s">
        <v>123</v>
      </c>
      <c r="D1255" s="12" t="s">
        <v>411</v>
      </c>
      <c r="E1255" s="12" t="s">
        <v>412</v>
      </c>
    </row>
    <row r="1256" spans="1:5" x14ac:dyDescent="0.3">
      <c r="A1256" s="12" t="s">
        <v>91</v>
      </c>
      <c r="B1256" s="12" t="s">
        <v>376</v>
      </c>
      <c r="C1256" s="12" t="s">
        <v>123</v>
      </c>
      <c r="D1256" s="12" t="s">
        <v>413</v>
      </c>
      <c r="E1256" s="12" t="s">
        <v>414</v>
      </c>
    </row>
    <row r="1257" spans="1:5" x14ac:dyDescent="0.3">
      <c r="A1257" s="12" t="s">
        <v>91</v>
      </c>
      <c r="B1257" s="12" t="s">
        <v>376</v>
      </c>
      <c r="C1257" s="12" t="s">
        <v>123</v>
      </c>
      <c r="D1257" s="12" t="s">
        <v>415</v>
      </c>
      <c r="E1257" s="12" t="s">
        <v>416</v>
      </c>
    </row>
    <row r="1258" spans="1:5" x14ac:dyDescent="0.3">
      <c r="A1258" s="12" t="s">
        <v>91</v>
      </c>
      <c r="B1258" s="12" t="s">
        <v>376</v>
      </c>
      <c r="C1258" s="12" t="s">
        <v>123</v>
      </c>
      <c r="D1258" s="12" t="s">
        <v>417</v>
      </c>
      <c r="E1258" s="12" t="s">
        <v>418</v>
      </c>
    </row>
    <row r="1259" spans="1:5" x14ac:dyDescent="0.3">
      <c r="A1259" s="12" t="s">
        <v>91</v>
      </c>
      <c r="B1259" s="12" t="s">
        <v>376</v>
      </c>
      <c r="C1259" s="12" t="s">
        <v>123</v>
      </c>
      <c r="D1259" s="12" t="s">
        <v>419</v>
      </c>
      <c r="E1259" s="12" t="s">
        <v>420</v>
      </c>
    </row>
    <row r="1260" spans="1:5" x14ac:dyDescent="0.3">
      <c r="A1260" s="12" t="s">
        <v>91</v>
      </c>
      <c r="B1260" s="12" t="s">
        <v>376</v>
      </c>
      <c r="C1260" s="12" t="s">
        <v>123</v>
      </c>
      <c r="D1260" s="12" t="s">
        <v>421</v>
      </c>
      <c r="E1260" s="12" t="s">
        <v>422</v>
      </c>
    </row>
    <row r="1261" spans="1:5" x14ac:dyDescent="0.3">
      <c r="A1261" s="12" t="s">
        <v>91</v>
      </c>
      <c r="B1261" s="12" t="s">
        <v>376</v>
      </c>
      <c r="C1261" s="12" t="s">
        <v>123</v>
      </c>
      <c r="D1261" s="12" t="s">
        <v>423</v>
      </c>
      <c r="E1261" s="12" t="s">
        <v>424</v>
      </c>
    </row>
    <row r="1262" spans="1:5" x14ac:dyDescent="0.3">
      <c r="A1262" s="12" t="s">
        <v>91</v>
      </c>
      <c r="B1262" s="12" t="s">
        <v>376</v>
      </c>
      <c r="C1262" s="12" t="s">
        <v>123</v>
      </c>
      <c r="D1262" s="12" t="s">
        <v>425</v>
      </c>
      <c r="E1262" s="12" t="s">
        <v>426</v>
      </c>
    </row>
    <row r="1263" spans="1:5" x14ac:dyDescent="0.3">
      <c r="A1263" s="12" t="s">
        <v>91</v>
      </c>
      <c r="B1263" s="12" t="s">
        <v>376</v>
      </c>
      <c r="C1263" s="12" t="s">
        <v>123</v>
      </c>
      <c r="D1263" s="12" t="s">
        <v>427</v>
      </c>
      <c r="E1263" s="12" t="s">
        <v>428</v>
      </c>
    </row>
    <row r="1264" spans="1:5" x14ac:dyDescent="0.3">
      <c r="A1264" s="12" t="s">
        <v>91</v>
      </c>
      <c r="B1264" s="12" t="s">
        <v>376</v>
      </c>
      <c r="C1264" s="12" t="s">
        <v>123</v>
      </c>
      <c r="D1264" s="12" t="s">
        <v>429</v>
      </c>
      <c r="E1264" s="12" t="s">
        <v>430</v>
      </c>
    </row>
    <row r="1265" spans="1:5" x14ac:dyDescent="0.3">
      <c r="A1265" s="12" t="s">
        <v>91</v>
      </c>
      <c r="B1265" s="12" t="s">
        <v>376</v>
      </c>
      <c r="C1265" s="12" t="s">
        <v>123</v>
      </c>
      <c r="D1265" s="12" t="s">
        <v>431</v>
      </c>
      <c r="E1265" s="12" t="s">
        <v>432</v>
      </c>
    </row>
    <row r="1266" spans="1:5" x14ac:dyDescent="0.3">
      <c r="A1266" s="12" t="s">
        <v>91</v>
      </c>
      <c r="B1266" s="12" t="s">
        <v>376</v>
      </c>
      <c r="C1266" s="12" t="s">
        <v>123</v>
      </c>
      <c r="D1266" s="12" t="s">
        <v>433</v>
      </c>
      <c r="E1266" s="12" t="s">
        <v>434</v>
      </c>
    </row>
    <row r="1267" spans="1:5" x14ac:dyDescent="0.3">
      <c r="A1267" s="12" t="s">
        <v>91</v>
      </c>
      <c r="B1267" s="12" t="s">
        <v>376</v>
      </c>
      <c r="C1267" s="12" t="s">
        <v>123</v>
      </c>
      <c r="D1267" s="12" t="s">
        <v>435</v>
      </c>
      <c r="E1267" s="12" t="s">
        <v>436</v>
      </c>
    </row>
    <row r="1268" spans="1:5" x14ac:dyDescent="0.3">
      <c r="A1268" s="12" t="s">
        <v>91</v>
      </c>
      <c r="B1268" s="12" t="s">
        <v>376</v>
      </c>
      <c r="C1268" s="12" t="s">
        <v>123</v>
      </c>
      <c r="D1268" s="12" t="s">
        <v>437</v>
      </c>
      <c r="E1268" s="12" t="s">
        <v>438</v>
      </c>
    </row>
    <row r="1269" spans="1:5" x14ac:dyDescent="0.3">
      <c r="A1269" s="12" t="s">
        <v>91</v>
      </c>
      <c r="B1269" s="12" t="s">
        <v>376</v>
      </c>
      <c r="C1269" s="12" t="s">
        <v>123</v>
      </c>
      <c r="D1269" s="12" t="s">
        <v>439</v>
      </c>
      <c r="E1269" s="12" t="s">
        <v>440</v>
      </c>
    </row>
    <row r="1270" spans="1:5" x14ac:dyDescent="0.3">
      <c r="A1270" s="12" t="s">
        <v>91</v>
      </c>
      <c r="B1270" s="12" t="s">
        <v>376</v>
      </c>
      <c r="C1270" s="12" t="s">
        <v>123</v>
      </c>
      <c r="D1270" s="12" t="s">
        <v>441</v>
      </c>
      <c r="E1270" s="12" t="s">
        <v>442</v>
      </c>
    </row>
    <row r="1271" spans="1:5" x14ac:dyDescent="0.3">
      <c r="A1271" s="12" t="s">
        <v>91</v>
      </c>
      <c r="B1271" s="12" t="s">
        <v>376</v>
      </c>
      <c r="C1271" s="12" t="s">
        <v>123</v>
      </c>
      <c r="D1271" s="12" t="s">
        <v>443</v>
      </c>
      <c r="E1271" s="12" t="s">
        <v>444</v>
      </c>
    </row>
    <row r="1272" spans="1:5" x14ac:dyDescent="0.3">
      <c r="A1272" s="12" t="s">
        <v>91</v>
      </c>
      <c r="B1272" s="12" t="s">
        <v>376</v>
      </c>
      <c r="C1272" s="12" t="s">
        <v>123</v>
      </c>
      <c r="D1272" s="12" t="s">
        <v>445</v>
      </c>
      <c r="E1272" s="12" t="s">
        <v>446</v>
      </c>
    </row>
    <row r="1273" spans="1:5" x14ac:dyDescent="0.3">
      <c r="A1273" s="12" t="s">
        <v>91</v>
      </c>
      <c r="B1273" s="12" t="s">
        <v>376</v>
      </c>
      <c r="C1273" s="12" t="s">
        <v>123</v>
      </c>
      <c r="D1273" s="12" t="s">
        <v>447</v>
      </c>
      <c r="E1273" s="12" t="s">
        <v>448</v>
      </c>
    </row>
    <row r="1274" spans="1:5" x14ac:dyDescent="0.3">
      <c r="A1274" s="12" t="s">
        <v>91</v>
      </c>
      <c r="B1274" s="12" t="s">
        <v>376</v>
      </c>
      <c r="C1274" s="12" t="s">
        <v>123</v>
      </c>
      <c r="D1274" s="12" t="s">
        <v>449</v>
      </c>
      <c r="E1274" s="12" t="s">
        <v>450</v>
      </c>
    </row>
    <row r="1275" spans="1:5" x14ac:dyDescent="0.3">
      <c r="A1275" s="12" t="s">
        <v>91</v>
      </c>
      <c r="B1275" s="12" t="s">
        <v>376</v>
      </c>
      <c r="C1275" s="12" t="s">
        <v>123</v>
      </c>
      <c r="D1275" s="12" t="s">
        <v>451</v>
      </c>
      <c r="E1275" s="12" t="s">
        <v>452</v>
      </c>
    </row>
    <row r="1276" spans="1:5" x14ac:dyDescent="0.3">
      <c r="A1276" s="12" t="s">
        <v>91</v>
      </c>
      <c r="B1276" s="12" t="s">
        <v>376</v>
      </c>
      <c r="C1276" s="12" t="s">
        <v>123</v>
      </c>
      <c r="D1276" s="12" t="s">
        <v>453</v>
      </c>
      <c r="E1276" s="12" t="s">
        <v>454</v>
      </c>
    </row>
    <row r="1277" spans="1:5" x14ac:dyDescent="0.3">
      <c r="A1277" s="12" t="s">
        <v>91</v>
      </c>
      <c r="B1277" s="12" t="s">
        <v>376</v>
      </c>
      <c r="C1277" s="12" t="s">
        <v>123</v>
      </c>
      <c r="D1277" s="12" t="s">
        <v>455</v>
      </c>
      <c r="E1277" s="12" t="s">
        <v>456</v>
      </c>
    </row>
    <row r="1278" spans="1:5" x14ac:dyDescent="0.3">
      <c r="A1278" s="12" t="s">
        <v>91</v>
      </c>
      <c r="B1278" s="12" t="s">
        <v>376</v>
      </c>
      <c r="C1278" s="12" t="s">
        <v>123</v>
      </c>
      <c r="D1278" s="12" t="s">
        <v>457</v>
      </c>
      <c r="E1278" s="12" t="s">
        <v>458</v>
      </c>
    </row>
    <row r="1279" spans="1:5" x14ac:dyDescent="0.3">
      <c r="A1279" s="12" t="s">
        <v>91</v>
      </c>
      <c r="B1279" s="12" t="s">
        <v>376</v>
      </c>
      <c r="C1279" s="12" t="s">
        <v>123</v>
      </c>
      <c r="D1279" s="12" t="s">
        <v>459</v>
      </c>
      <c r="E1279" s="12" t="s">
        <v>460</v>
      </c>
    </row>
    <row r="1280" spans="1:5" x14ac:dyDescent="0.3">
      <c r="A1280" s="12" t="s">
        <v>91</v>
      </c>
      <c r="B1280" s="12" t="s">
        <v>376</v>
      </c>
      <c r="C1280" s="12" t="s">
        <v>123</v>
      </c>
      <c r="D1280" s="12" t="s">
        <v>461</v>
      </c>
      <c r="E1280" s="12" t="s">
        <v>462</v>
      </c>
    </row>
    <row r="1281" spans="1:5" x14ac:dyDescent="0.3">
      <c r="A1281" s="12" t="s">
        <v>91</v>
      </c>
      <c r="B1281" s="12" t="s">
        <v>376</v>
      </c>
      <c r="C1281" s="12" t="s">
        <v>123</v>
      </c>
      <c r="D1281" s="12" t="s">
        <v>463</v>
      </c>
      <c r="E1281" s="12" t="s">
        <v>464</v>
      </c>
    </row>
    <row r="1282" spans="1:5" x14ac:dyDescent="0.3">
      <c r="A1282" s="12" t="s">
        <v>91</v>
      </c>
      <c r="B1282" s="12" t="s">
        <v>376</v>
      </c>
      <c r="C1282" s="12" t="s">
        <v>123</v>
      </c>
      <c r="D1282" s="12" t="s">
        <v>465</v>
      </c>
      <c r="E1282" s="12" t="s">
        <v>466</v>
      </c>
    </row>
    <row r="1283" spans="1:5" x14ac:dyDescent="0.3">
      <c r="A1283" s="12" t="s">
        <v>91</v>
      </c>
      <c r="B1283" s="12" t="s">
        <v>376</v>
      </c>
      <c r="C1283" s="12" t="s">
        <v>123</v>
      </c>
      <c r="D1283" s="12" t="s">
        <v>215</v>
      </c>
      <c r="E1283" s="12" t="s">
        <v>467</v>
      </c>
    </row>
    <row r="1284" spans="1:5" x14ac:dyDescent="0.3">
      <c r="A1284" s="12" t="s">
        <v>91</v>
      </c>
      <c r="B1284" s="12" t="s">
        <v>376</v>
      </c>
      <c r="C1284" s="12" t="s">
        <v>123</v>
      </c>
      <c r="D1284" s="12" t="s">
        <v>468</v>
      </c>
      <c r="E1284" s="12" t="s">
        <v>469</v>
      </c>
    </row>
    <row r="1285" spans="1:5" x14ac:dyDescent="0.3">
      <c r="A1285" s="12" t="s">
        <v>91</v>
      </c>
      <c r="B1285" s="12" t="s">
        <v>376</v>
      </c>
      <c r="C1285" s="12" t="s">
        <v>123</v>
      </c>
      <c r="D1285" s="12" t="s">
        <v>470</v>
      </c>
      <c r="E1285" s="12" t="s">
        <v>471</v>
      </c>
    </row>
    <row r="1286" spans="1:5" x14ac:dyDescent="0.3">
      <c r="A1286" s="12" t="s">
        <v>91</v>
      </c>
      <c r="B1286" s="12" t="s">
        <v>376</v>
      </c>
      <c r="C1286" s="12" t="s">
        <v>123</v>
      </c>
      <c r="D1286" s="12" t="s">
        <v>472</v>
      </c>
      <c r="E1286" s="12" t="s">
        <v>473</v>
      </c>
    </row>
    <row r="1287" spans="1:5" x14ac:dyDescent="0.3">
      <c r="A1287" s="12" t="s">
        <v>91</v>
      </c>
      <c r="B1287" s="12" t="s">
        <v>376</v>
      </c>
      <c r="C1287" s="12" t="s">
        <v>123</v>
      </c>
      <c r="D1287" s="12" t="s">
        <v>474</v>
      </c>
      <c r="E1287" s="12" t="s">
        <v>475</v>
      </c>
    </row>
    <row r="1288" spans="1:5" x14ac:dyDescent="0.3">
      <c r="A1288" s="12" t="s">
        <v>91</v>
      </c>
      <c r="B1288" s="12" t="s">
        <v>376</v>
      </c>
      <c r="C1288" s="12" t="s">
        <v>123</v>
      </c>
      <c r="D1288" s="12" t="s">
        <v>476</v>
      </c>
      <c r="E1288" s="12" t="s">
        <v>477</v>
      </c>
    </row>
    <row r="1289" spans="1:5" x14ac:dyDescent="0.3">
      <c r="A1289" s="12" t="s">
        <v>91</v>
      </c>
      <c r="B1289" s="12" t="s">
        <v>376</v>
      </c>
      <c r="C1289" s="12" t="s">
        <v>123</v>
      </c>
      <c r="D1289" s="12" t="s">
        <v>291</v>
      </c>
      <c r="E1289" s="12" t="s">
        <v>478</v>
      </c>
    </row>
    <row r="1290" spans="1:5" x14ac:dyDescent="0.3">
      <c r="A1290" s="12" t="s">
        <v>91</v>
      </c>
      <c r="B1290" s="12" t="s">
        <v>376</v>
      </c>
      <c r="C1290" s="12" t="s">
        <v>123</v>
      </c>
      <c r="D1290" s="12" t="s">
        <v>479</v>
      </c>
      <c r="E1290" s="12" t="s">
        <v>480</v>
      </c>
    </row>
    <row r="1291" spans="1:5" x14ac:dyDescent="0.3">
      <c r="A1291" s="12" t="s">
        <v>91</v>
      </c>
      <c r="B1291" s="12" t="s">
        <v>376</v>
      </c>
      <c r="C1291" s="12" t="s">
        <v>123</v>
      </c>
      <c r="D1291" s="12" t="s">
        <v>481</v>
      </c>
      <c r="E1291" s="12" t="s">
        <v>482</v>
      </c>
    </row>
    <row r="1292" spans="1:5" x14ac:dyDescent="0.3">
      <c r="A1292" s="12" t="s">
        <v>91</v>
      </c>
      <c r="B1292" s="12" t="s">
        <v>376</v>
      </c>
      <c r="C1292" s="12" t="s">
        <v>123</v>
      </c>
      <c r="D1292" s="12" t="s">
        <v>483</v>
      </c>
      <c r="E1292" s="12" t="s">
        <v>484</v>
      </c>
    </row>
    <row r="1293" spans="1:5" x14ac:dyDescent="0.3">
      <c r="A1293" s="12" t="s">
        <v>91</v>
      </c>
      <c r="B1293" s="12" t="s">
        <v>376</v>
      </c>
      <c r="C1293" s="12" t="s">
        <v>123</v>
      </c>
      <c r="D1293" s="12" t="s">
        <v>485</v>
      </c>
      <c r="E1293" s="12" t="s">
        <v>486</v>
      </c>
    </row>
    <row r="1294" spans="1:5" x14ac:dyDescent="0.3">
      <c r="A1294" s="12" t="s">
        <v>91</v>
      </c>
      <c r="B1294" s="12" t="s">
        <v>376</v>
      </c>
      <c r="C1294" s="12" t="s">
        <v>123</v>
      </c>
      <c r="D1294" s="12" t="s">
        <v>487</v>
      </c>
      <c r="E1294" s="12" t="s">
        <v>488</v>
      </c>
    </row>
    <row r="1295" spans="1:5" x14ac:dyDescent="0.3">
      <c r="A1295" s="12" t="s">
        <v>91</v>
      </c>
      <c r="B1295" s="12" t="s">
        <v>376</v>
      </c>
      <c r="C1295" s="12" t="s">
        <v>123</v>
      </c>
      <c r="D1295" s="12" t="s">
        <v>489</v>
      </c>
      <c r="E1295" s="12" t="s">
        <v>490</v>
      </c>
    </row>
    <row r="1296" spans="1:5" x14ac:dyDescent="0.3">
      <c r="A1296" s="12" t="s">
        <v>91</v>
      </c>
      <c r="B1296" s="12" t="s">
        <v>376</v>
      </c>
      <c r="C1296" s="12" t="s">
        <v>123</v>
      </c>
      <c r="D1296" s="12" t="s">
        <v>491</v>
      </c>
      <c r="E1296" s="12" t="s">
        <v>492</v>
      </c>
    </row>
    <row r="1297" spans="1:5" x14ac:dyDescent="0.3">
      <c r="A1297" s="12" t="s">
        <v>91</v>
      </c>
      <c r="B1297" s="12" t="s">
        <v>376</v>
      </c>
      <c r="C1297" s="12" t="s">
        <v>123</v>
      </c>
      <c r="D1297" s="12" t="s">
        <v>292</v>
      </c>
      <c r="E1297" s="12" t="s">
        <v>493</v>
      </c>
    </row>
    <row r="1298" spans="1:5" x14ac:dyDescent="0.3">
      <c r="A1298" s="12" t="s">
        <v>91</v>
      </c>
      <c r="B1298" s="12" t="s">
        <v>376</v>
      </c>
      <c r="C1298" s="12" t="s">
        <v>123</v>
      </c>
      <c r="D1298" s="12" t="s">
        <v>494</v>
      </c>
      <c r="E1298" s="12" t="s">
        <v>495</v>
      </c>
    </row>
    <row r="1299" spans="1:5" x14ac:dyDescent="0.3">
      <c r="A1299" s="12" t="s">
        <v>91</v>
      </c>
      <c r="B1299" s="12" t="s">
        <v>376</v>
      </c>
      <c r="C1299" s="12" t="s">
        <v>123</v>
      </c>
      <c r="D1299" s="12" t="s">
        <v>496</v>
      </c>
      <c r="E1299" s="12" t="s">
        <v>497</v>
      </c>
    </row>
    <row r="1300" spans="1:5" x14ac:dyDescent="0.3">
      <c r="A1300" s="12" t="s">
        <v>91</v>
      </c>
      <c r="B1300" s="12" t="s">
        <v>376</v>
      </c>
      <c r="C1300" s="12" t="s">
        <v>123</v>
      </c>
      <c r="D1300" s="12" t="s">
        <v>498</v>
      </c>
      <c r="E1300" s="12" t="s">
        <v>499</v>
      </c>
    </row>
    <row r="1301" spans="1:5" x14ac:dyDescent="0.3">
      <c r="A1301" s="12" t="s">
        <v>91</v>
      </c>
      <c r="B1301" s="12" t="s">
        <v>376</v>
      </c>
      <c r="C1301" s="12" t="s">
        <v>123</v>
      </c>
      <c r="D1301" s="12" t="s">
        <v>500</v>
      </c>
      <c r="E1301" s="12" t="s">
        <v>501</v>
      </c>
    </row>
    <row r="1302" spans="1:5" x14ac:dyDescent="0.3">
      <c r="A1302" s="12" t="s">
        <v>91</v>
      </c>
      <c r="B1302" s="12" t="s">
        <v>376</v>
      </c>
      <c r="C1302" s="12" t="s">
        <v>123</v>
      </c>
      <c r="D1302" s="12" t="s">
        <v>502</v>
      </c>
      <c r="E1302" s="12" t="s">
        <v>503</v>
      </c>
    </row>
    <row r="1303" spans="1:5" x14ac:dyDescent="0.3">
      <c r="A1303" s="12" t="s">
        <v>91</v>
      </c>
      <c r="B1303" s="12" t="s">
        <v>376</v>
      </c>
      <c r="C1303" s="12" t="s">
        <v>123</v>
      </c>
      <c r="D1303" s="12" t="s">
        <v>504</v>
      </c>
      <c r="E1303" s="12" t="s">
        <v>505</v>
      </c>
    </row>
    <row r="1304" spans="1:5" x14ac:dyDescent="0.3">
      <c r="A1304" s="12" t="s">
        <v>91</v>
      </c>
      <c r="B1304" s="12" t="s">
        <v>376</v>
      </c>
      <c r="C1304" s="12" t="s">
        <v>123</v>
      </c>
      <c r="D1304" s="12" t="s">
        <v>506</v>
      </c>
      <c r="E1304" s="12" t="s">
        <v>507</v>
      </c>
    </row>
    <row r="1305" spans="1:5" x14ac:dyDescent="0.3">
      <c r="A1305" s="12" t="s">
        <v>91</v>
      </c>
      <c r="B1305" s="12" t="s">
        <v>376</v>
      </c>
      <c r="C1305" s="12" t="s">
        <v>123</v>
      </c>
      <c r="D1305" s="12" t="s">
        <v>508</v>
      </c>
      <c r="E1305" s="12" t="s">
        <v>509</v>
      </c>
    </row>
    <row r="1306" spans="1:5" x14ac:dyDescent="0.3">
      <c r="A1306" s="12" t="s">
        <v>91</v>
      </c>
      <c r="B1306" s="12" t="s">
        <v>376</v>
      </c>
      <c r="C1306" s="12" t="s">
        <v>123</v>
      </c>
      <c r="D1306" s="12" t="s">
        <v>510</v>
      </c>
      <c r="E1306" s="12" t="s">
        <v>511</v>
      </c>
    </row>
    <row r="1307" spans="1:5" x14ac:dyDescent="0.3">
      <c r="A1307" s="12" t="s">
        <v>91</v>
      </c>
      <c r="B1307" s="12" t="s">
        <v>376</v>
      </c>
      <c r="C1307" s="12" t="s">
        <v>123</v>
      </c>
      <c r="D1307" s="12" t="s">
        <v>512</v>
      </c>
      <c r="E1307" s="12" t="s">
        <v>513</v>
      </c>
    </row>
    <row r="1308" spans="1:5" x14ac:dyDescent="0.3">
      <c r="A1308" s="12" t="s">
        <v>91</v>
      </c>
      <c r="B1308" s="12" t="s">
        <v>376</v>
      </c>
      <c r="C1308" s="12" t="s">
        <v>123</v>
      </c>
      <c r="D1308" s="12" t="s">
        <v>514</v>
      </c>
      <c r="E1308" s="12" t="s">
        <v>515</v>
      </c>
    </row>
    <row r="1309" spans="1:5" x14ac:dyDescent="0.3">
      <c r="A1309" s="12" t="s">
        <v>91</v>
      </c>
      <c r="B1309" s="12" t="s">
        <v>376</v>
      </c>
      <c r="C1309" s="12" t="s">
        <v>123</v>
      </c>
      <c r="D1309" s="12" t="s">
        <v>516</v>
      </c>
      <c r="E1309" s="12" t="s">
        <v>517</v>
      </c>
    </row>
    <row r="1310" spans="1:5" x14ac:dyDescent="0.3">
      <c r="A1310" s="12" t="s">
        <v>91</v>
      </c>
      <c r="B1310" s="12" t="s">
        <v>518</v>
      </c>
      <c r="C1310" s="12" t="s">
        <v>120</v>
      </c>
      <c r="D1310" s="12" t="s">
        <v>299</v>
      </c>
      <c r="E1310" s="12" t="s">
        <v>519</v>
      </c>
    </row>
    <row r="1311" spans="1:5" x14ac:dyDescent="0.3">
      <c r="A1311" s="12" t="s">
        <v>91</v>
      </c>
      <c r="B1311" s="12" t="s">
        <v>518</v>
      </c>
      <c r="C1311" s="12" t="s">
        <v>123</v>
      </c>
      <c r="D1311" s="12" t="s">
        <v>520</v>
      </c>
      <c r="E1311" s="12" t="s">
        <v>521</v>
      </c>
    </row>
    <row r="1312" spans="1:5" x14ac:dyDescent="0.3">
      <c r="A1312" s="12" t="s">
        <v>91</v>
      </c>
      <c r="B1312" s="12" t="s">
        <v>518</v>
      </c>
      <c r="C1312" s="12" t="s">
        <v>123</v>
      </c>
      <c r="D1312" s="12" t="s">
        <v>520</v>
      </c>
      <c r="E1312" s="12" t="s">
        <v>522</v>
      </c>
    </row>
    <row r="1313" spans="1:5" x14ac:dyDescent="0.3">
      <c r="A1313" s="12" t="s">
        <v>91</v>
      </c>
      <c r="B1313" s="12" t="s">
        <v>518</v>
      </c>
      <c r="C1313" s="12" t="s">
        <v>123</v>
      </c>
      <c r="D1313" s="12" t="s">
        <v>520</v>
      </c>
      <c r="E1313" s="12" t="s">
        <v>523</v>
      </c>
    </row>
    <row r="1314" spans="1:5" x14ac:dyDescent="0.3">
      <c r="A1314" s="12" t="s">
        <v>91</v>
      </c>
      <c r="B1314" s="12" t="s">
        <v>518</v>
      </c>
      <c r="C1314" s="12" t="s">
        <v>123</v>
      </c>
      <c r="D1314" s="12" t="s">
        <v>520</v>
      </c>
      <c r="E1314" s="12" t="s">
        <v>524</v>
      </c>
    </row>
    <row r="1315" spans="1:5" x14ac:dyDescent="0.3">
      <c r="A1315" s="12" t="s">
        <v>91</v>
      </c>
      <c r="B1315" s="12" t="s">
        <v>518</v>
      </c>
      <c r="C1315" s="12" t="s">
        <v>123</v>
      </c>
      <c r="D1315" s="12" t="s">
        <v>520</v>
      </c>
      <c r="E1315" s="12" t="s">
        <v>525</v>
      </c>
    </row>
    <row r="1316" spans="1:5" x14ac:dyDescent="0.3">
      <c r="A1316" s="12" t="s">
        <v>91</v>
      </c>
      <c r="B1316" s="12" t="s">
        <v>518</v>
      </c>
      <c r="C1316" s="12" t="s">
        <v>123</v>
      </c>
      <c r="D1316" s="12" t="s">
        <v>520</v>
      </c>
      <c r="E1316" s="12" t="s">
        <v>526</v>
      </c>
    </row>
    <row r="1317" spans="1:5" x14ac:dyDescent="0.3">
      <c r="A1317" s="12" t="s">
        <v>91</v>
      </c>
      <c r="B1317" s="12" t="s">
        <v>518</v>
      </c>
      <c r="C1317" s="12" t="s">
        <v>123</v>
      </c>
      <c r="D1317" s="12" t="s">
        <v>520</v>
      </c>
      <c r="E1317" s="12" t="s">
        <v>527</v>
      </c>
    </row>
    <row r="1318" spans="1:5" x14ac:dyDescent="0.3">
      <c r="A1318" s="12" t="s">
        <v>91</v>
      </c>
      <c r="B1318" s="12" t="s">
        <v>518</v>
      </c>
      <c r="C1318" s="12" t="s">
        <v>123</v>
      </c>
      <c r="D1318" s="12" t="s">
        <v>520</v>
      </c>
      <c r="E1318" s="12" t="s">
        <v>528</v>
      </c>
    </row>
    <row r="1319" spans="1:5" x14ac:dyDescent="0.3">
      <c r="A1319" s="12" t="s">
        <v>91</v>
      </c>
      <c r="B1319" s="12" t="s">
        <v>518</v>
      </c>
      <c r="C1319" s="12" t="s">
        <v>123</v>
      </c>
      <c r="D1319" s="12" t="s">
        <v>520</v>
      </c>
      <c r="E1319" s="12" t="s">
        <v>529</v>
      </c>
    </row>
    <row r="1320" spans="1:5" x14ac:dyDescent="0.3">
      <c r="A1320" s="12" t="s">
        <v>91</v>
      </c>
      <c r="B1320" s="12" t="s">
        <v>518</v>
      </c>
      <c r="C1320" s="12" t="s">
        <v>123</v>
      </c>
      <c r="D1320" s="12" t="s">
        <v>520</v>
      </c>
      <c r="E1320" s="12" t="s">
        <v>530</v>
      </c>
    </row>
    <row r="1321" spans="1:5" x14ac:dyDescent="0.3">
      <c r="A1321" s="12" t="s">
        <v>91</v>
      </c>
      <c r="B1321" s="12" t="s">
        <v>518</v>
      </c>
      <c r="C1321" s="12" t="s">
        <v>123</v>
      </c>
      <c r="D1321" s="12" t="s">
        <v>520</v>
      </c>
      <c r="E1321" s="12" t="s">
        <v>531</v>
      </c>
    </row>
    <row r="1322" spans="1:5" x14ac:dyDescent="0.3">
      <c r="A1322" s="12" t="s">
        <v>91</v>
      </c>
      <c r="B1322" s="12" t="s">
        <v>518</v>
      </c>
      <c r="C1322" s="12" t="s">
        <v>123</v>
      </c>
      <c r="D1322" s="12" t="s">
        <v>520</v>
      </c>
      <c r="E1322" s="12" t="s">
        <v>532</v>
      </c>
    </row>
    <row r="1323" spans="1:5" x14ac:dyDescent="0.3">
      <c r="A1323" s="12" t="s">
        <v>91</v>
      </c>
      <c r="B1323" s="12" t="s">
        <v>518</v>
      </c>
      <c r="C1323" s="12" t="s">
        <v>123</v>
      </c>
      <c r="D1323" s="12" t="s">
        <v>520</v>
      </c>
      <c r="E1323" s="12" t="s">
        <v>533</v>
      </c>
    </row>
    <row r="1324" spans="1:5" x14ac:dyDescent="0.3">
      <c r="A1324" s="12" t="s">
        <v>91</v>
      </c>
      <c r="B1324" s="12" t="s">
        <v>518</v>
      </c>
      <c r="C1324" s="12" t="s">
        <v>123</v>
      </c>
      <c r="D1324" s="12" t="s">
        <v>520</v>
      </c>
      <c r="E1324" s="12" t="s">
        <v>534</v>
      </c>
    </row>
    <row r="1325" spans="1:5" x14ac:dyDescent="0.3">
      <c r="A1325" s="12" t="s">
        <v>91</v>
      </c>
      <c r="B1325" s="12" t="s">
        <v>518</v>
      </c>
      <c r="C1325" s="12" t="s">
        <v>123</v>
      </c>
      <c r="D1325" s="12" t="s">
        <v>520</v>
      </c>
      <c r="E1325" s="12" t="s">
        <v>535</v>
      </c>
    </row>
    <row r="1326" spans="1:5" x14ac:dyDescent="0.3">
      <c r="A1326" s="12" t="s">
        <v>91</v>
      </c>
      <c r="B1326" s="12" t="s">
        <v>518</v>
      </c>
      <c r="C1326" s="12" t="s">
        <v>123</v>
      </c>
      <c r="D1326" s="12" t="s">
        <v>520</v>
      </c>
      <c r="E1326" s="12" t="s">
        <v>536</v>
      </c>
    </row>
    <row r="1327" spans="1:5" x14ac:dyDescent="0.3">
      <c r="A1327" s="12" t="s">
        <v>91</v>
      </c>
      <c r="B1327" s="12" t="s">
        <v>518</v>
      </c>
      <c r="C1327" s="12" t="s">
        <v>123</v>
      </c>
      <c r="D1327" s="12" t="s">
        <v>520</v>
      </c>
      <c r="E1327" s="12" t="s">
        <v>537</v>
      </c>
    </row>
    <row r="1328" spans="1:5" x14ac:dyDescent="0.3">
      <c r="A1328" s="12" t="s">
        <v>91</v>
      </c>
      <c r="B1328" s="12" t="s">
        <v>518</v>
      </c>
      <c r="C1328" s="12" t="s">
        <v>123</v>
      </c>
      <c r="D1328" s="12" t="s">
        <v>538</v>
      </c>
      <c r="E1328" s="12" t="s">
        <v>539</v>
      </c>
    </row>
    <row r="1329" spans="1:5" x14ac:dyDescent="0.3">
      <c r="A1329" s="12" t="s">
        <v>91</v>
      </c>
      <c r="B1329" s="12" t="s">
        <v>518</v>
      </c>
      <c r="C1329" s="12" t="s">
        <v>123</v>
      </c>
      <c r="D1329" s="12" t="s">
        <v>540</v>
      </c>
      <c r="E1329" s="12" t="s">
        <v>541</v>
      </c>
    </row>
    <row r="1330" spans="1:5" x14ac:dyDescent="0.3">
      <c r="A1330" s="12" t="s">
        <v>91</v>
      </c>
      <c r="B1330" s="12" t="s">
        <v>518</v>
      </c>
      <c r="C1330" s="12" t="s">
        <v>123</v>
      </c>
      <c r="D1330" s="12" t="s">
        <v>542</v>
      </c>
      <c r="E1330" s="12" t="s">
        <v>1506</v>
      </c>
    </row>
    <row r="1331" spans="1:5" x14ac:dyDescent="0.3">
      <c r="A1331" s="12" t="s">
        <v>91</v>
      </c>
      <c r="B1331" s="12" t="s">
        <v>518</v>
      </c>
      <c r="C1331" s="12" t="s">
        <v>123</v>
      </c>
      <c r="D1331" s="12" t="s">
        <v>542</v>
      </c>
      <c r="E1331" s="12" t="s">
        <v>543</v>
      </c>
    </row>
    <row r="1332" spans="1:5" x14ac:dyDescent="0.3">
      <c r="A1332" s="12" t="s">
        <v>91</v>
      </c>
      <c r="B1332" s="12" t="s">
        <v>518</v>
      </c>
      <c r="C1332" s="12" t="s">
        <v>123</v>
      </c>
      <c r="D1332" s="12" t="s">
        <v>542</v>
      </c>
      <c r="E1332" s="12" t="s">
        <v>544</v>
      </c>
    </row>
    <row r="1333" spans="1:5" x14ac:dyDescent="0.3">
      <c r="A1333" s="12" t="s">
        <v>91</v>
      </c>
      <c r="B1333" s="12" t="s">
        <v>518</v>
      </c>
      <c r="C1333" s="12" t="s">
        <v>123</v>
      </c>
      <c r="D1333" s="12" t="s">
        <v>542</v>
      </c>
      <c r="E1333" s="12" t="s">
        <v>545</v>
      </c>
    </row>
    <row r="1334" spans="1:5" x14ac:dyDescent="0.3">
      <c r="A1334" s="12" t="s">
        <v>91</v>
      </c>
      <c r="B1334" s="12" t="s">
        <v>518</v>
      </c>
      <c r="C1334" s="12" t="s">
        <v>123</v>
      </c>
      <c r="D1334" s="12" t="s">
        <v>542</v>
      </c>
      <c r="E1334" s="12" t="s">
        <v>546</v>
      </c>
    </row>
    <row r="1335" spans="1:5" x14ac:dyDescent="0.3">
      <c r="A1335" s="12" t="s">
        <v>91</v>
      </c>
      <c r="B1335" s="12" t="s">
        <v>518</v>
      </c>
      <c r="C1335" s="12" t="s">
        <v>123</v>
      </c>
      <c r="D1335" s="12" t="s">
        <v>542</v>
      </c>
      <c r="E1335" s="12" t="s">
        <v>547</v>
      </c>
    </row>
    <row r="1336" spans="1:5" x14ac:dyDescent="0.3">
      <c r="A1336" s="12" t="s">
        <v>91</v>
      </c>
      <c r="B1336" s="12" t="s">
        <v>518</v>
      </c>
      <c r="C1336" s="12" t="s">
        <v>123</v>
      </c>
      <c r="D1336" s="12" t="s">
        <v>542</v>
      </c>
      <c r="E1336" s="12" t="s">
        <v>1507</v>
      </c>
    </row>
    <row r="1337" spans="1:5" x14ac:dyDescent="0.3">
      <c r="A1337" s="12" t="s">
        <v>91</v>
      </c>
      <c r="B1337" s="12" t="s">
        <v>518</v>
      </c>
      <c r="C1337" s="12" t="s">
        <v>123</v>
      </c>
      <c r="D1337" s="12" t="s">
        <v>542</v>
      </c>
      <c r="E1337" s="12" t="s">
        <v>1508</v>
      </c>
    </row>
    <row r="1338" spans="1:5" x14ac:dyDescent="0.3">
      <c r="A1338" s="12" t="s">
        <v>91</v>
      </c>
      <c r="B1338" s="12" t="s">
        <v>518</v>
      </c>
      <c r="C1338" s="12" t="s">
        <v>123</v>
      </c>
      <c r="D1338" s="12" t="s">
        <v>542</v>
      </c>
      <c r="E1338" s="12" t="s">
        <v>548</v>
      </c>
    </row>
    <row r="1339" spans="1:5" x14ac:dyDescent="0.3">
      <c r="A1339" s="12" t="s">
        <v>91</v>
      </c>
      <c r="B1339" s="12" t="s">
        <v>518</v>
      </c>
      <c r="C1339" s="12" t="s">
        <v>123</v>
      </c>
      <c r="D1339" s="12" t="s">
        <v>542</v>
      </c>
      <c r="E1339" s="12" t="s">
        <v>549</v>
      </c>
    </row>
    <row r="1340" spans="1:5" x14ac:dyDescent="0.3">
      <c r="A1340" s="12" t="s">
        <v>91</v>
      </c>
      <c r="B1340" s="12" t="s">
        <v>518</v>
      </c>
      <c r="C1340" s="12" t="s">
        <v>123</v>
      </c>
      <c r="D1340" s="12" t="s">
        <v>542</v>
      </c>
      <c r="E1340" s="12" t="s">
        <v>550</v>
      </c>
    </row>
    <row r="1341" spans="1:5" x14ac:dyDescent="0.3">
      <c r="A1341" s="12" t="s">
        <v>91</v>
      </c>
      <c r="B1341" s="12" t="s">
        <v>518</v>
      </c>
      <c r="C1341" s="12" t="s">
        <v>123</v>
      </c>
      <c r="D1341" s="12" t="s">
        <v>542</v>
      </c>
      <c r="E1341" s="12" t="s">
        <v>551</v>
      </c>
    </row>
    <row r="1342" spans="1:5" x14ac:dyDescent="0.3">
      <c r="A1342" s="12" t="s">
        <v>91</v>
      </c>
      <c r="B1342" s="12" t="s">
        <v>518</v>
      </c>
      <c r="C1342" s="12" t="s">
        <v>123</v>
      </c>
      <c r="E1342" s="12" t="s">
        <v>552</v>
      </c>
    </row>
    <row r="1343" spans="1:5" x14ac:dyDescent="0.3">
      <c r="A1343" s="12" t="s">
        <v>92</v>
      </c>
      <c r="B1343" s="12" t="s">
        <v>119</v>
      </c>
      <c r="C1343" s="12" t="s">
        <v>120</v>
      </c>
      <c r="D1343" s="12" t="s">
        <v>121</v>
      </c>
      <c r="E1343" s="12" t="s">
        <v>122</v>
      </c>
    </row>
    <row r="1344" spans="1:5" x14ac:dyDescent="0.3">
      <c r="A1344" s="12" t="s">
        <v>92</v>
      </c>
      <c r="B1344" s="12" t="s">
        <v>119</v>
      </c>
      <c r="C1344" s="12" t="s">
        <v>123</v>
      </c>
      <c r="D1344" s="12" t="s">
        <v>124</v>
      </c>
      <c r="E1344" s="12" t="s">
        <v>125</v>
      </c>
    </row>
    <row r="1345" spans="1:9" x14ac:dyDescent="0.3">
      <c r="A1345" s="12" t="s">
        <v>92</v>
      </c>
      <c r="B1345" s="12" t="s">
        <v>119</v>
      </c>
      <c r="C1345" s="12" t="s">
        <v>123</v>
      </c>
      <c r="D1345" s="12" t="s">
        <v>126</v>
      </c>
    </row>
    <row r="1346" spans="1:9" x14ac:dyDescent="0.3">
      <c r="A1346" s="12" t="s">
        <v>92</v>
      </c>
      <c r="B1346" s="12" t="s">
        <v>119</v>
      </c>
      <c r="C1346" s="12" t="s">
        <v>123</v>
      </c>
      <c r="D1346" s="12" t="s">
        <v>127</v>
      </c>
      <c r="E1346" s="12" t="s">
        <v>128</v>
      </c>
    </row>
    <row r="1347" spans="1:9" x14ac:dyDescent="0.3">
      <c r="A1347" s="12" t="s">
        <v>92</v>
      </c>
      <c r="B1347" s="12" t="s">
        <v>119</v>
      </c>
      <c r="C1347" s="12" t="s">
        <v>123</v>
      </c>
      <c r="D1347" s="12" t="s">
        <v>129</v>
      </c>
      <c r="E1347" s="12" t="s">
        <v>708</v>
      </c>
    </row>
    <row r="1348" spans="1:9" x14ac:dyDescent="0.3">
      <c r="A1348" s="12" t="s">
        <v>92</v>
      </c>
      <c r="B1348" s="12" t="s">
        <v>119</v>
      </c>
      <c r="C1348" s="12" t="s">
        <v>123</v>
      </c>
      <c r="D1348" s="12" t="s">
        <v>131</v>
      </c>
      <c r="E1348" s="12" t="s">
        <v>709</v>
      </c>
    </row>
    <row r="1349" spans="1:9" x14ac:dyDescent="0.3">
      <c r="A1349" s="12" t="s">
        <v>92</v>
      </c>
      <c r="B1349" s="12" t="s">
        <v>133</v>
      </c>
      <c r="C1349" s="12" t="s">
        <v>120</v>
      </c>
      <c r="D1349" s="12" t="s">
        <v>121</v>
      </c>
      <c r="E1349" s="12" t="s">
        <v>122</v>
      </c>
    </row>
    <row r="1350" spans="1:9" x14ac:dyDescent="0.3">
      <c r="A1350" s="12" t="s">
        <v>92</v>
      </c>
      <c r="B1350" s="12" t="s">
        <v>133</v>
      </c>
      <c r="C1350" s="12" t="s">
        <v>123</v>
      </c>
      <c r="D1350" s="12" t="s">
        <v>134</v>
      </c>
    </row>
    <row r="1351" spans="1:9" x14ac:dyDescent="0.3">
      <c r="A1351" s="12" t="s">
        <v>92</v>
      </c>
      <c r="B1351" s="12" t="s">
        <v>133</v>
      </c>
      <c r="C1351" s="12" t="s">
        <v>123</v>
      </c>
      <c r="D1351" s="12" t="s">
        <v>135</v>
      </c>
    </row>
    <row r="1352" spans="1:9" x14ac:dyDescent="0.3">
      <c r="A1352" s="12" t="s">
        <v>92</v>
      </c>
      <c r="B1352" s="12" t="s">
        <v>133</v>
      </c>
      <c r="C1352" s="12" t="s">
        <v>123</v>
      </c>
      <c r="D1352" s="12" t="s">
        <v>136</v>
      </c>
    </row>
    <row r="1353" spans="1:9" x14ac:dyDescent="0.3">
      <c r="A1353" s="12" t="s">
        <v>92</v>
      </c>
      <c r="B1353" s="12" t="s">
        <v>133</v>
      </c>
      <c r="C1353" s="12" t="s">
        <v>123</v>
      </c>
      <c r="D1353" s="12" t="s">
        <v>137</v>
      </c>
    </row>
    <row r="1354" spans="1:9" x14ac:dyDescent="0.3">
      <c r="A1354" s="12" t="s">
        <v>92</v>
      </c>
      <c r="B1354" s="12" t="s">
        <v>133</v>
      </c>
      <c r="C1354" s="12" t="s">
        <v>123</v>
      </c>
      <c r="D1354" s="12" t="s">
        <v>138</v>
      </c>
      <c r="E1354" s="12" t="s">
        <v>139</v>
      </c>
    </row>
    <row r="1355" spans="1:9" x14ac:dyDescent="0.3">
      <c r="A1355" s="12" t="s">
        <v>92</v>
      </c>
      <c r="B1355" s="12" t="s">
        <v>133</v>
      </c>
      <c r="C1355" s="12" t="s">
        <v>123</v>
      </c>
      <c r="D1355" s="12" t="s">
        <v>140</v>
      </c>
      <c r="E1355" s="12" t="s">
        <v>141</v>
      </c>
    </row>
    <row r="1356" spans="1:9" x14ac:dyDescent="0.3">
      <c r="A1356" s="12" t="s">
        <v>92</v>
      </c>
      <c r="B1356" s="12" t="s">
        <v>133</v>
      </c>
      <c r="C1356" s="12" t="s">
        <v>123</v>
      </c>
      <c r="D1356" s="12" t="s">
        <v>142</v>
      </c>
      <c r="E1356" s="12" t="s">
        <v>114</v>
      </c>
    </row>
    <row r="1357" spans="1:9" x14ac:dyDescent="0.3">
      <c r="A1357" s="12" t="s">
        <v>92</v>
      </c>
      <c r="B1357" s="12" t="s">
        <v>143</v>
      </c>
      <c r="C1357" s="12" t="s">
        <v>120</v>
      </c>
      <c r="D1357" s="12" t="s">
        <v>144</v>
      </c>
      <c r="E1357" s="12" t="s">
        <v>145</v>
      </c>
      <c r="F1357" s="12" t="s">
        <v>146</v>
      </c>
      <c r="G1357" s="12" t="s">
        <v>147</v>
      </c>
      <c r="H1357" s="12" t="s">
        <v>148</v>
      </c>
      <c r="I1357" s="12" t="s">
        <v>99</v>
      </c>
    </row>
    <row r="1358" spans="1:9" x14ac:dyDescent="0.3">
      <c r="A1358" s="12" t="s">
        <v>92</v>
      </c>
      <c r="B1358" s="12" t="s">
        <v>143</v>
      </c>
      <c r="C1358" s="12" t="s">
        <v>123</v>
      </c>
      <c r="D1358" s="12" t="s">
        <v>149</v>
      </c>
      <c r="E1358" s="12">
        <v>9708.4930000000004</v>
      </c>
      <c r="F1358" s="12">
        <v>41307.718625000001</v>
      </c>
      <c r="G1358" s="12">
        <v>0</v>
      </c>
      <c r="H1358" s="12">
        <v>41307.718625000001</v>
      </c>
      <c r="I1358" s="12">
        <v>31599.225624999999</v>
      </c>
    </row>
    <row r="1359" spans="1:9" x14ac:dyDescent="0.3">
      <c r="A1359" s="12" t="s">
        <v>92</v>
      </c>
      <c r="B1359" s="12" t="s">
        <v>143</v>
      </c>
      <c r="C1359" s="12" t="s">
        <v>123</v>
      </c>
      <c r="D1359" s="12" t="s">
        <v>150</v>
      </c>
      <c r="E1359" s="12">
        <v>250391.92</v>
      </c>
      <c r="F1359" s="12">
        <v>220153.73</v>
      </c>
      <c r="G1359" s="12">
        <v>0</v>
      </c>
      <c r="H1359" s="12">
        <v>220153.73</v>
      </c>
      <c r="I1359" s="12">
        <v>-30238.19</v>
      </c>
    </row>
    <row r="1360" spans="1:9" x14ac:dyDescent="0.3">
      <c r="A1360" s="12" t="s">
        <v>92</v>
      </c>
      <c r="B1360" s="12" t="s">
        <v>143</v>
      </c>
      <c r="C1360" s="12" t="s">
        <v>123</v>
      </c>
      <c r="D1360" s="12" t="s">
        <v>151</v>
      </c>
      <c r="E1360" s="12">
        <v>17.45</v>
      </c>
      <c r="F1360" s="12">
        <v>1.04</v>
      </c>
      <c r="G1360" s="12">
        <v>-2.4700000000000002</v>
      </c>
      <c r="H1360" s="12">
        <v>-1.43</v>
      </c>
      <c r="I1360" s="12">
        <v>-18.88</v>
      </c>
    </row>
    <row r="1361" spans="1:15" x14ac:dyDescent="0.3">
      <c r="A1361" s="12" t="s">
        <v>92</v>
      </c>
      <c r="B1361" s="12" t="s">
        <v>143</v>
      </c>
      <c r="C1361" s="12" t="s">
        <v>123</v>
      </c>
      <c r="D1361" s="12" t="s">
        <v>152</v>
      </c>
      <c r="E1361" s="12">
        <v>86.99</v>
      </c>
      <c r="F1361" s="12">
        <v>41.6</v>
      </c>
      <c r="G1361" s="12">
        <v>0</v>
      </c>
      <c r="H1361" s="12">
        <v>41.6</v>
      </c>
      <c r="I1361" s="12">
        <v>-45.39</v>
      </c>
    </row>
    <row r="1362" spans="1:15" x14ac:dyDescent="0.3">
      <c r="A1362" s="12" t="s">
        <v>92</v>
      </c>
      <c r="B1362" s="12" t="s">
        <v>143</v>
      </c>
      <c r="C1362" s="12" t="s">
        <v>123</v>
      </c>
      <c r="D1362" s="12" t="s">
        <v>97</v>
      </c>
      <c r="E1362" s="12">
        <v>260204.853</v>
      </c>
      <c r="F1362" s="12">
        <v>261504.088625</v>
      </c>
      <c r="G1362" s="12">
        <v>-2.4700000000000002</v>
      </c>
      <c r="H1362" s="12">
        <v>261501.618625</v>
      </c>
      <c r="I1362" s="12">
        <v>1296.765625</v>
      </c>
    </row>
    <row r="1363" spans="1:15" x14ac:dyDescent="0.3">
      <c r="A1363" s="12" t="s">
        <v>92</v>
      </c>
      <c r="B1363" s="12" t="s">
        <v>143</v>
      </c>
      <c r="C1363" s="12" t="s">
        <v>120</v>
      </c>
      <c r="D1363" s="12" t="s">
        <v>153</v>
      </c>
    </row>
    <row r="1364" spans="1:15" x14ac:dyDescent="0.3">
      <c r="A1364" s="12" t="s">
        <v>92</v>
      </c>
      <c r="B1364" s="12" t="s">
        <v>143</v>
      </c>
      <c r="C1364" s="12" t="s">
        <v>123</v>
      </c>
      <c r="D1364" s="13">
        <v>4.98363351E-3</v>
      </c>
    </row>
    <row r="1365" spans="1:15" x14ac:dyDescent="0.3">
      <c r="A1365" s="12" t="s">
        <v>92</v>
      </c>
      <c r="B1365" s="12" t="s">
        <v>154</v>
      </c>
      <c r="C1365" s="12" t="s">
        <v>120</v>
      </c>
      <c r="D1365" s="12" t="s">
        <v>121</v>
      </c>
      <c r="E1365" s="12" t="s">
        <v>122</v>
      </c>
    </row>
    <row r="1366" spans="1:15" x14ac:dyDescent="0.3">
      <c r="A1366" s="12" t="s">
        <v>92</v>
      </c>
      <c r="B1366" s="12" t="s">
        <v>154</v>
      </c>
      <c r="C1366" s="12" t="s">
        <v>123</v>
      </c>
      <c r="D1366" s="12" t="s">
        <v>155</v>
      </c>
      <c r="E1366" s="12">
        <v>260204.853</v>
      </c>
    </row>
    <row r="1367" spans="1:15" x14ac:dyDescent="0.3">
      <c r="A1367" s="12" t="s">
        <v>92</v>
      </c>
      <c r="B1367" s="12" t="s">
        <v>154</v>
      </c>
      <c r="C1367" s="12" t="s">
        <v>123</v>
      </c>
      <c r="D1367" s="12" t="s">
        <v>156</v>
      </c>
      <c r="E1367" s="12">
        <v>1301.9156</v>
      </c>
    </row>
    <row r="1368" spans="1:15" x14ac:dyDescent="0.3">
      <c r="A1368" s="12" t="s">
        <v>92</v>
      </c>
      <c r="B1368" s="12" t="s">
        <v>154</v>
      </c>
      <c r="C1368" s="12" t="s">
        <v>123</v>
      </c>
      <c r="D1368" s="12" t="s">
        <v>157</v>
      </c>
      <c r="E1368" s="12">
        <v>123</v>
      </c>
    </row>
    <row r="1369" spans="1:15" x14ac:dyDescent="0.3">
      <c r="A1369" s="12" t="s">
        <v>92</v>
      </c>
      <c r="B1369" s="12" t="s">
        <v>154</v>
      </c>
      <c r="C1369" s="12" t="s">
        <v>123</v>
      </c>
      <c r="D1369" s="12" t="s">
        <v>158</v>
      </c>
      <c r="E1369" s="12">
        <v>-30.76</v>
      </c>
    </row>
    <row r="1370" spans="1:15" x14ac:dyDescent="0.3">
      <c r="A1370" s="12" t="s">
        <v>92</v>
      </c>
      <c r="B1370" s="12" t="s">
        <v>154</v>
      </c>
      <c r="C1370" s="12" t="s">
        <v>123</v>
      </c>
      <c r="D1370" s="12" t="s">
        <v>159</v>
      </c>
      <c r="E1370" s="12">
        <v>-45.39</v>
      </c>
    </row>
    <row r="1371" spans="1:15" x14ac:dyDescent="0.3">
      <c r="A1371" s="12" t="s">
        <v>92</v>
      </c>
      <c r="B1371" s="12" t="s">
        <v>154</v>
      </c>
      <c r="C1371" s="12" t="s">
        <v>123</v>
      </c>
      <c r="D1371" s="12" t="s">
        <v>160</v>
      </c>
      <c r="E1371" s="12">
        <v>15.58</v>
      </c>
    </row>
    <row r="1372" spans="1:15" x14ac:dyDescent="0.3">
      <c r="A1372" s="12" t="s">
        <v>92</v>
      </c>
      <c r="B1372" s="12" t="s">
        <v>154</v>
      </c>
      <c r="C1372" s="12" t="s">
        <v>123</v>
      </c>
      <c r="D1372" s="12" t="s">
        <v>161</v>
      </c>
      <c r="E1372" s="12">
        <v>-18.88</v>
      </c>
    </row>
    <row r="1373" spans="1:15" x14ac:dyDescent="0.3">
      <c r="A1373" s="12" t="s">
        <v>92</v>
      </c>
      <c r="B1373" s="12" t="s">
        <v>154</v>
      </c>
      <c r="C1373" s="12" t="s">
        <v>123</v>
      </c>
      <c r="D1373" s="12" t="s">
        <v>162</v>
      </c>
      <c r="E1373" s="12">
        <v>-48.7</v>
      </c>
    </row>
    <row r="1374" spans="1:15" x14ac:dyDescent="0.3">
      <c r="A1374" s="12" t="s">
        <v>92</v>
      </c>
      <c r="B1374" s="12" t="s">
        <v>154</v>
      </c>
      <c r="C1374" s="12" t="s">
        <v>123</v>
      </c>
      <c r="D1374" s="12" t="s">
        <v>163</v>
      </c>
      <c r="E1374" s="12">
        <v>261501.618625</v>
      </c>
    </row>
    <row r="1375" spans="1:15" x14ac:dyDescent="0.3">
      <c r="A1375" s="12" t="s">
        <v>92</v>
      </c>
      <c r="B1375" s="12" t="s">
        <v>164</v>
      </c>
      <c r="C1375" s="12" t="s">
        <v>120</v>
      </c>
      <c r="D1375" s="12" t="s">
        <v>100</v>
      </c>
      <c r="E1375" s="12" t="s">
        <v>0</v>
      </c>
      <c r="F1375" s="12" t="s">
        <v>101</v>
      </c>
      <c r="G1375" s="12" t="s">
        <v>102</v>
      </c>
      <c r="H1375" s="12" t="s">
        <v>103</v>
      </c>
      <c r="I1375" s="12" t="s">
        <v>104</v>
      </c>
      <c r="J1375" s="12" t="s">
        <v>105</v>
      </c>
      <c r="K1375" s="12" t="s">
        <v>106</v>
      </c>
      <c r="L1375" s="12" t="s">
        <v>107</v>
      </c>
      <c r="M1375" s="12" t="s">
        <v>108</v>
      </c>
      <c r="N1375" s="12" t="s">
        <v>109</v>
      </c>
      <c r="O1375" s="12" t="s">
        <v>165</v>
      </c>
    </row>
    <row r="1376" spans="1:15" x14ac:dyDescent="0.3">
      <c r="A1376" s="12" t="s">
        <v>92</v>
      </c>
      <c r="B1376" s="12" t="s">
        <v>164</v>
      </c>
      <c r="C1376" s="12" t="s">
        <v>123</v>
      </c>
      <c r="D1376" s="12" t="s">
        <v>110</v>
      </c>
      <c r="E1376" s="12" t="s">
        <v>2</v>
      </c>
      <c r="F1376" s="12">
        <v>36</v>
      </c>
      <c r="G1376" s="12">
        <v>36</v>
      </c>
      <c r="H1376" s="12">
        <v>171.48</v>
      </c>
      <c r="I1376" s="12">
        <v>170.33</v>
      </c>
      <c r="J1376" s="12">
        <v>-41.4</v>
      </c>
      <c r="K1376" s="12">
        <v>0</v>
      </c>
      <c r="L1376" s="12">
        <v>0</v>
      </c>
      <c r="M1376" s="12">
        <v>0</v>
      </c>
      <c r="N1376" s="12">
        <v>-41.4</v>
      </c>
    </row>
    <row r="1377" spans="1:14" x14ac:dyDescent="0.3">
      <c r="A1377" s="12" t="s">
        <v>92</v>
      </c>
      <c r="B1377" s="12" t="s">
        <v>164</v>
      </c>
      <c r="C1377" s="12" t="s">
        <v>123</v>
      </c>
      <c r="D1377" s="12" t="s">
        <v>110</v>
      </c>
      <c r="E1377" s="12" t="s">
        <v>45</v>
      </c>
      <c r="F1377" s="12">
        <v>25</v>
      </c>
      <c r="G1377" s="12">
        <v>15</v>
      </c>
      <c r="H1377" s="12">
        <v>180.49</v>
      </c>
      <c r="I1377" s="12">
        <v>158.38</v>
      </c>
      <c r="J1377" s="12">
        <v>-569.25</v>
      </c>
      <c r="K1377" s="12">
        <v>9.3000000000000007</v>
      </c>
      <c r="L1377" s="12">
        <v>-2.6</v>
      </c>
      <c r="M1377" s="12">
        <v>0</v>
      </c>
      <c r="N1377" s="12">
        <v>-562.54999999999995</v>
      </c>
    </row>
    <row r="1378" spans="1:14" x14ac:dyDescent="0.3">
      <c r="A1378" s="12" t="s">
        <v>92</v>
      </c>
      <c r="B1378" s="12" t="s">
        <v>164</v>
      </c>
      <c r="C1378" s="12" t="s">
        <v>123</v>
      </c>
      <c r="D1378" s="12" t="s">
        <v>110</v>
      </c>
      <c r="E1378" s="12" t="s">
        <v>5</v>
      </c>
      <c r="F1378" s="12">
        <v>54</v>
      </c>
      <c r="G1378" s="12">
        <v>28</v>
      </c>
      <c r="H1378" s="12">
        <v>180.38</v>
      </c>
      <c r="I1378" s="12">
        <v>175</v>
      </c>
      <c r="J1378" s="12">
        <v>-234.37</v>
      </c>
      <c r="K1378" s="12">
        <v>37.03</v>
      </c>
      <c r="L1378" s="12">
        <v>-3.9</v>
      </c>
      <c r="M1378" s="12">
        <v>0</v>
      </c>
      <c r="N1378" s="12">
        <v>-201.24</v>
      </c>
    </row>
    <row r="1379" spans="1:14" x14ac:dyDescent="0.3">
      <c r="A1379" s="12" t="s">
        <v>92</v>
      </c>
      <c r="B1379" s="12" t="s">
        <v>164</v>
      </c>
      <c r="C1379" s="12" t="s">
        <v>123</v>
      </c>
      <c r="D1379" s="12" t="s">
        <v>110</v>
      </c>
      <c r="E1379" s="12" t="s">
        <v>6</v>
      </c>
      <c r="F1379" s="12">
        <v>21</v>
      </c>
      <c r="G1379" s="12">
        <v>0</v>
      </c>
      <c r="H1379" s="12">
        <v>289.98</v>
      </c>
      <c r="I1379" s="12" t="s">
        <v>111</v>
      </c>
      <c r="J1379" s="12">
        <v>-562.38</v>
      </c>
      <c r="K1379" s="12">
        <v>211.47</v>
      </c>
      <c r="L1379" s="12">
        <v>-1.3</v>
      </c>
      <c r="M1379" s="12">
        <v>0</v>
      </c>
      <c r="N1379" s="12">
        <v>-352.21</v>
      </c>
    </row>
    <row r="1380" spans="1:14" x14ac:dyDescent="0.3">
      <c r="A1380" s="12" t="s">
        <v>92</v>
      </c>
      <c r="B1380" s="12" t="s">
        <v>164</v>
      </c>
      <c r="C1380" s="12" t="s">
        <v>123</v>
      </c>
      <c r="D1380" s="12" t="s">
        <v>110</v>
      </c>
      <c r="E1380" s="12" t="s">
        <v>7</v>
      </c>
      <c r="F1380" s="12">
        <v>6</v>
      </c>
      <c r="G1380" s="12">
        <v>6</v>
      </c>
      <c r="H1380" s="17">
        <v>1325.41</v>
      </c>
      <c r="I1380" s="17">
        <v>1300.27</v>
      </c>
      <c r="J1380" s="12">
        <v>-150.84</v>
      </c>
      <c r="K1380" s="12">
        <v>0</v>
      </c>
      <c r="L1380" s="12">
        <v>0</v>
      </c>
      <c r="M1380" s="12">
        <v>23.62</v>
      </c>
      <c r="N1380" s="12">
        <v>-127.22</v>
      </c>
    </row>
    <row r="1381" spans="1:14" x14ac:dyDescent="0.3">
      <c r="A1381" s="12" t="s">
        <v>92</v>
      </c>
      <c r="B1381" s="12" t="s">
        <v>164</v>
      </c>
      <c r="C1381" s="12" t="s">
        <v>123</v>
      </c>
      <c r="D1381" s="12" t="s">
        <v>110</v>
      </c>
      <c r="E1381" s="12" t="s">
        <v>8</v>
      </c>
      <c r="F1381" s="12">
        <v>231</v>
      </c>
      <c r="G1381" s="12">
        <v>281</v>
      </c>
      <c r="H1381" s="12">
        <v>37.92</v>
      </c>
      <c r="I1381" s="12">
        <v>37.01</v>
      </c>
      <c r="J1381" s="12">
        <v>-192.21</v>
      </c>
      <c r="K1381" s="12">
        <v>-0.25</v>
      </c>
      <c r="L1381" s="12">
        <v>-1.3</v>
      </c>
      <c r="M1381" s="12">
        <v>41.58</v>
      </c>
      <c r="N1381" s="12">
        <v>-152.18</v>
      </c>
    </row>
    <row r="1382" spans="1:14" x14ac:dyDescent="0.3">
      <c r="A1382" s="12" t="s">
        <v>92</v>
      </c>
      <c r="B1382" s="12" t="s">
        <v>164</v>
      </c>
      <c r="C1382" s="12" t="s">
        <v>123</v>
      </c>
      <c r="D1382" s="12" t="s">
        <v>110</v>
      </c>
      <c r="E1382" s="12" t="s">
        <v>3</v>
      </c>
      <c r="F1382" s="12">
        <v>148</v>
      </c>
      <c r="G1382" s="12">
        <v>166</v>
      </c>
      <c r="H1382" s="12">
        <v>63.24</v>
      </c>
      <c r="I1382" s="12">
        <v>61.33</v>
      </c>
      <c r="J1382" s="12">
        <v>-172.78</v>
      </c>
      <c r="K1382" s="12">
        <v>-158.13999999999999</v>
      </c>
      <c r="L1382" s="12">
        <v>-3.9</v>
      </c>
      <c r="M1382" s="12">
        <v>0</v>
      </c>
      <c r="N1382" s="12">
        <v>-334.82</v>
      </c>
    </row>
    <row r="1383" spans="1:14" x14ac:dyDescent="0.3">
      <c r="A1383" s="12" t="s">
        <v>92</v>
      </c>
      <c r="B1383" s="12" t="s">
        <v>164</v>
      </c>
      <c r="C1383" s="12" t="s">
        <v>123</v>
      </c>
      <c r="D1383" s="12" t="s">
        <v>110</v>
      </c>
      <c r="E1383" s="12" t="s">
        <v>46</v>
      </c>
      <c r="F1383" s="12">
        <v>10</v>
      </c>
      <c r="G1383" s="12">
        <v>19</v>
      </c>
      <c r="H1383" s="12">
        <v>366.43</v>
      </c>
      <c r="I1383" s="12">
        <v>334.57</v>
      </c>
      <c r="J1383" s="12">
        <v>-522.48</v>
      </c>
      <c r="K1383" s="12">
        <v>-0.51</v>
      </c>
      <c r="L1383" s="12">
        <v>-2.6</v>
      </c>
      <c r="M1383" s="12">
        <v>0</v>
      </c>
      <c r="N1383" s="12">
        <v>-525.59</v>
      </c>
    </row>
    <row r="1384" spans="1:14" x14ac:dyDescent="0.3">
      <c r="A1384" s="12" t="s">
        <v>92</v>
      </c>
      <c r="B1384" s="12" t="s">
        <v>164</v>
      </c>
      <c r="C1384" s="12" t="s">
        <v>123</v>
      </c>
      <c r="D1384" s="12" t="s">
        <v>110</v>
      </c>
      <c r="E1384" s="12" t="s">
        <v>11</v>
      </c>
      <c r="F1384" s="12">
        <v>10</v>
      </c>
      <c r="G1384" s="12">
        <v>10</v>
      </c>
      <c r="H1384" s="12">
        <v>732.63</v>
      </c>
      <c r="I1384" s="12">
        <v>722.9</v>
      </c>
      <c r="J1384" s="12">
        <v>-97.3</v>
      </c>
      <c r="K1384" s="12">
        <v>0</v>
      </c>
      <c r="L1384" s="12">
        <v>0</v>
      </c>
      <c r="M1384" s="12">
        <v>0</v>
      </c>
      <c r="N1384" s="12">
        <v>-97.3</v>
      </c>
    </row>
    <row r="1385" spans="1:14" x14ac:dyDescent="0.3">
      <c r="A1385" s="12" t="s">
        <v>92</v>
      </c>
      <c r="B1385" s="12" t="s">
        <v>164</v>
      </c>
      <c r="C1385" s="12" t="s">
        <v>123</v>
      </c>
      <c r="D1385" s="12" t="s">
        <v>110</v>
      </c>
      <c r="E1385" s="12" t="s">
        <v>47</v>
      </c>
      <c r="F1385" s="12">
        <v>16</v>
      </c>
      <c r="G1385" s="12">
        <v>16</v>
      </c>
      <c r="H1385" s="12">
        <v>270.95</v>
      </c>
      <c r="I1385" s="12">
        <v>229</v>
      </c>
      <c r="J1385" s="12">
        <v>-671.2</v>
      </c>
      <c r="K1385" s="12">
        <v>0</v>
      </c>
      <c r="L1385" s="12">
        <v>0</v>
      </c>
      <c r="M1385" s="12">
        <v>0</v>
      </c>
      <c r="N1385" s="12">
        <v>-671.2</v>
      </c>
    </row>
    <row r="1386" spans="1:14" x14ac:dyDescent="0.3">
      <c r="A1386" s="12" t="s">
        <v>92</v>
      </c>
      <c r="B1386" s="12" t="s">
        <v>164</v>
      </c>
      <c r="C1386" s="12" t="s">
        <v>123</v>
      </c>
      <c r="D1386" s="12" t="s">
        <v>110</v>
      </c>
      <c r="E1386" s="12" t="s">
        <v>18</v>
      </c>
      <c r="F1386" s="12">
        <v>14</v>
      </c>
      <c r="G1386" s="12">
        <v>19</v>
      </c>
      <c r="H1386" s="12">
        <v>282.49</v>
      </c>
      <c r="I1386" s="12">
        <v>287.08999999999997</v>
      </c>
      <c r="J1386" s="12">
        <v>49.65</v>
      </c>
      <c r="K1386" s="12">
        <v>-1.3</v>
      </c>
      <c r="L1386" s="12">
        <v>-1.3</v>
      </c>
      <c r="M1386" s="12">
        <v>0</v>
      </c>
      <c r="N1386" s="12">
        <v>47.05</v>
      </c>
    </row>
    <row r="1387" spans="1:14" x14ac:dyDescent="0.3">
      <c r="A1387" s="12" t="s">
        <v>92</v>
      </c>
      <c r="B1387" s="12" t="s">
        <v>164</v>
      </c>
      <c r="C1387" s="12" t="s">
        <v>123</v>
      </c>
      <c r="D1387" s="12" t="s">
        <v>110</v>
      </c>
      <c r="E1387" s="12" t="s">
        <v>48</v>
      </c>
      <c r="F1387" s="12">
        <v>25</v>
      </c>
      <c r="G1387" s="12">
        <v>25</v>
      </c>
      <c r="H1387" s="12">
        <v>175.53</v>
      </c>
      <c r="I1387" s="12">
        <v>161.82</v>
      </c>
      <c r="J1387" s="12">
        <v>532.25</v>
      </c>
      <c r="K1387" s="12">
        <v>0</v>
      </c>
      <c r="L1387" s="12">
        <v>0</v>
      </c>
      <c r="M1387" s="12">
        <v>5.25</v>
      </c>
      <c r="N1387" s="12">
        <v>537.5</v>
      </c>
    </row>
    <row r="1388" spans="1:14" x14ac:dyDescent="0.3">
      <c r="A1388" s="12" t="s">
        <v>92</v>
      </c>
      <c r="B1388" s="12" t="s">
        <v>164</v>
      </c>
      <c r="C1388" s="12" t="s">
        <v>123</v>
      </c>
      <c r="D1388" s="12" t="s">
        <v>110</v>
      </c>
      <c r="E1388" s="12" t="s">
        <v>54</v>
      </c>
      <c r="F1388" s="12">
        <v>0</v>
      </c>
      <c r="G1388" s="12">
        <v>16</v>
      </c>
      <c r="H1388" s="12" t="s">
        <v>111</v>
      </c>
      <c r="I1388" s="12">
        <v>153.71</v>
      </c>
      <c r="J1388" s="12">
        <v>297.66000000000003</v>
      </c>
      <c r="K1388" s="12">
        <v>12.170624999999999</v>
      </c>
      <c r="L1388" s="12">
        <v>-1.3</v>
      </c>
      <c r="M1388" s="12">
        <v>0</v>
      </c>
      <c r="N1388" s="12">
        <v>308.53062499999999</v>
      </c>
    </row>
    <row r="1389" spans="1:14" x14ac:dyDescent="0.3">
      <c r="A1389" s="12" t="s">
        <v>92</v>
      </c>
      <c r="B1389" s="12" t="s">
        <v>164</v>
      </c>
      <c r="C1389" s="12" t="s">
        <v>123</v>
      </c>
      <c r="D1389" s="12" t="s">
        <v>110</v>
      </c>
      <c r="E1389" s="12" t="s">
        <v>19</v>
      </c>
      <c r="F1389" s="12">
        <v>82</v>
      </c>
      <c r="G1389" s="12">
        <v>42</v>
      </c>
      <c r="H1389" s="12">
        <v>150.93</v>
      </c>
      <c r="I1389" s="12">
        <v>162.78</v>
      </c>
      <c r="J1389" s="12">
        <v>700.5</v>
      </c>
      <c r="K1389" s="12">
        <v>40</v>
      </c>
      <c r="L1389" s="12">
        <v>-1.3</v>
      </c>
      <c r="M1389" s="12">
        <v>0</v>
      </c>
      <c r="N1389" s="12">
        <v>739.2</v>
      </c>
    </row>
    <row r="1390" spans="1:14" x14ac:dyDescent="0.3">
      <c r="A1390" s="12" t="s">
        <v>92</v>
      </c>
      <c r="B1390" s="12" t="s">
        <v>164</v>
      </c>
      <c r="C1390" s="12" t="s">
        <v>123</v>
      </c>
      <c r="D1390" s="12" t="s">
        <v>110</v>
      </c>
      <c r="E1390" s="12" t="s">
        <v>20</v>
      </c>
      <c r="F1390" s="12">
        <v>11</v>
      </c>
      <c r="G1390" s="12">
        <v>11</v>
      </c>
      <c r="H1390" s="12">
        <v>383.6</v>
      </c>
      <c r="I1390" s="12">
        <v>334.22</v>
      </c>
      <c r="J1390" s="12">
        <v>-543.17999999999995</v>
      </c>
      <c r="K1390" s="12">
        <v>0</v>
      </c>
      <c r="L1390" s="12">
        <v>0</v>
      </c>
      <c r="M1390" s="12">
        <v>0</v>
      </c>
      <c r="N1390" s="12">
        <v>-543.17999999999995</v>
      </c>
    </row>
    <row r="1391" spans="1:14" x14ac:dyDescent="0.3">
      <c r="A1391" s="12" t="s">
        <v>92</v>
      </c>
      <c r="B1391" s="12" t="s">
        <v>164</v>
      </c>
      <c r="C1391" s="12" t="s">
        <v>123</v>
      </c>
      <c r="D1391" s="12" t="s">
        <v>110</v>
      </c>
      <c r="E1391" s="12" t="s">
        <v>22</v>
      </c>
      <c r="F1391" s="12">
        <v>83</v>
      </c>
      <c r="G1391" s="12">
        <v>83</v>
      </c>
      <c r="H1391" s="12">
        <v>68.430000000000007</v>
      </c>
      <c r="I1391" s="12">
        <v>66.75</v>
      </c>
      <c r="J1391" s="12">
        <v>-139.44</v>
      </c>
      <c r="K1391" s="12">
        <v>0</v>
      </c>
      <c r="L1391" s="12">
        <v>0</v>
      </c>
      <c r="M1391" s="12">
        <v>0</v>
      </c>
      <c r="N1391" s="12">
        <v>-139.44</v>
      </c>
    </row>
    <row r="1392" spans="1:14" x14ac:dyDescent="0.3">
      <c r="A1392" s="12" t="s">
        <v>92</v>
      </c>
      <c r="B1392" s="12" t="s">
        <v>164</v>
      </c>
      <c r="C1392" s="12" t="s">
        <v>123</v>
      </c>
      <c r="D1392" s="12" t="s">
        <v>110</v>
      </c>
      <c r="E1392" s="12" t="s">
        <v>37</v>
      </c>
      <c r="F1392" s="12">
        <v>20</v>
      </c>
      <c r="G1392" s="12">
        <v>30</v>
      </c>
      <c r="H1392" s="12">
        <v>190.96</v>
      </c>
      <c r="I1392" s="12">
        <v>166.2</v>
      </c>
      <c r="J1392" s="12">
        <v>-504.5</v>
      </c>
      <c r="K1392" s="12">
        <v>1.5</v>
      </c>
      <c r="L1392" s="12">
        <v>-1.3</v>
      </c>
      <c r="M1392" s="12">
        <v>0</v>
      </c>
      <c r="N1392" s="12">
        <v>-504.3</v>
      </c>
    </row>
    <row r="1393" spans="1:14" x14ac:dyDescent="0.3">
      <c r="A1393" s="12" t="s">
        <v>92</v>
      </c>
      <c r="B1393" s="12" t="s">
        <v>164</v>
      </c>
      <c r="C1393" s="12" t="s">
        <v>123</v>
      </c>
      <c r="D1393" s="12" t="s">
        <v>110</v>
      </c>
      <c r="E1393" s="12" t="s">
        <v>24</v>
      </c>
      <c r="F1393" s="12">
        <v>50</v>
      </c>
      <c r="G1393" s="12">
        <v>50</v>
      </c>
      <c r="H1393" s="12">
        <v>94.95</v>
      </c>
      <c r="I1393" s="12">
        <v>93.32</v>
      </c>
      <c r="J1393" s="12">
        <v>-81.5</v>
      </c>
      <c r="K1393" s="12">
        <v>0</v>
      </c>
      <c r="L1393" s="12">
        <v>0</v>
      </c>
      <c r="M1393" s="12">
        <v>0</v>
      </c>
      <c r="N1393" s="12">
        <v>-81.5</v>
      </c>
    </row>
    <row r="1394" spans="1:14" x14ac:dyDescent="0.3">
      <c r="A1394" s="12" t="s">
        <v>92</v>
      </c>
      <c r="B1394" s="12" t="s">
        <v>164</v>
      </c>
      <c r="C1394" s="12" t="s">
        <v>123</v>
      </c>
      <c r="D1394" s="12" t="s">
        <v>110</v>
      </c>
      <c r="E1394" s="12" t="s">
        <v>49</v>
      </c>
      <c r="F1394" s="12">
        <v>5</v>
      </c>
      <c r="G1394" s="12">
        <v>4</v>
      </c>
      <c r="H1394" s="12">
        <v>777.96</v>
      </c>
      <c r="I1394" s="12">
        <v>781.1</v>
      </c>
      <c r="J1394" s="12">
        <v>-77.760000000000005</v>
      </c>
      <c r="K1394" s="12">
        <v>-7.875</v>
      </c>
      <c r="L1394" s="12">
        <v>-2.6</v>
      </c>
      <c r="M1394" s="12">
        <v>0</v>
      </c>
      <c r="N1394" s="12">
        <v>-88.234999999999999</v>
      </c>
    </row>
    <row r="1395" spans="1:14" x14ac:dyDescent="0.3">
      <c r="A1395" s="12" t="s">
        <v>92</v>
      </c>
      <c r="B1395" s="12" t="s">
        <v>164</v>
      </c>
      <c r="C1395" s="12" t="s">
        <v>123</v>
      </c>
      <c r="D1395" s="12" t="s">
        <v>110</v>
      </c>
      <c r="E1395" s="12" t="s">
        <v>26</v>
      </c>
      <c r="F1395" s="12">
        <v>10</v>
      </c>
      <c r="G1395" s="12">
        <v>5</v>
      </c>
      <c r="H1395" s="12">
        <v>393.03</v>
      </c>
      <c r="I1395" s="12">
        <v>370.33</v>
      </c>
      <c r="J1395" s="12">
        <v>-120.8</v>
      </c>
      <c r="K1395" s="12">
        <v>42.9</v>
      </c>
      <c r="L1395" s="12">
        <v>-1.3</v>
      </c>
      <c r="M1395" s="12">
        <v>0</v>
      </c>
      <c r="N1395" s="12">
        <v>-79.2</v>
      </c>
    </row>
    <row r="1396" spans="1:14" x14ac:dyDescent="0.3">
      <c r="A1396" s="12" t="s">
        <v>92</v>
      </c>
      <c r="B1396" s="12" t="s">
        <v>164</v>
      </c>
      <c r="C1396" s="12" t="s">
        <v>123</v>
      </c>
      <c r="D1396" s="12" t="s">
        <v>110</v>
      </c>
      <c r="E1396" s="12" t="s">
        <v>27</v>
      </c>
      <c r="F1396" s="12">
        <v>11</v>
      </c>
      <c r="G1396" s="12">
        <v>14</v>
      </c>
      <c r="H1396" s="12">
        <v>485.58</v>
      </c>
      <c r="I1396" s="12">
        <v>430.17</v>
      </c>
      <c r="J1396" s="12">
        <v>-878.49</v>
      </c>
      <c r="K1396" s="12">
        <v>-2.94</v>
      </c>
      <c r="L1396" s="12">
        <v>-1.3</v>
      </c>
      <c r="M1396" s="12">
        <v>0</v>
      </c>
      <c r="N1396" s="12">
        <v>-882.73</v>
      </c>
    </row>
    <row r="1397" spans="1:14" x14ac:dyDescent="0.3">
      <c r="A1397" s="12" t="s">
        <v>92</v>
      </c>
      <c r="B1397" s="12" t="s">
        <v>164</v>
      </c>
      <c r="C1397" s="12" t="s">
        <v>123</v>
      </c>
      <c r="D1397" s="12" t="s">
        <v>110</v>
      </c>
      <c r="E1397" s="12" t="s">
        <v>28</v>
      </c>
      <c r="F1397" s="12">
        <v>34</v>
      </c>
      <c r="G1397" s="12">
        <v>34</v>
      </c>
      <c r="H1397" s="12">
        <v>420.72</v>
      </c>
      <c r="I1397" s="12">
        <v>389.33</v>
      </c>
      <c r="J1397" s="12">
        <v>-1067.26</v>
      </c>
      <c r="K1397" s="12">
        <v>0</v>
      </c>
      <c r="L1397" s="12">
        <v>0</v>
      </c>
      <c r="M1397" s="12">
        <v>0</v>
      </c>
      <c r="N1397" s="12">
        <v>-1067.26</v>
      </c>
    </row>
    <row r="1398" spans="1:14" x14ac:dyDescent="0.3">
      <c r="A1398" s="12" t="s">
        <v>92</v>
      </c>
      <c r="B1398" s="12" t="s">
        <v>164</v>
      </c>
      <c r="C1398" s="12" t="s">
        <v>123</v>
      </c>
      <c r="D1398" s="12" t="s">
        <v>110</v>
      </c>
      <c r="E1398" s="12" t="s">
        <v>55</v>
      </c>
      <c r="F1398" s="12">
        <v>0</v>
      </c>
      <c r="G1398" s="12">
        <v>50</v>
      </c>
      <c r="H1398" s="12" t="s">
        <v>111</v>
      </c>
      <c r="I1398" s="12">
        <v>112.96</v>
      </c>
      <c r="J1398" s="12">
        <v>-168.5</v>
      </c>
      <c r="K1398" s="12">
        <v>-309.5</v>
      </c>
      <c r="L1398" s="12">
        <v>-1.3</v>
      </c>
      <c r="M1398" s="12">
        <v>0</v>
      </c>
      <c r="N1398" s="12">
        <v>-479.3</v>
      </c>
    </row>
    <row r="1399" spans="1:14" x14ac:dyDescent="0.3">
      <c r="A1399" s="12" t="s">
        <v>92</v>
      </c>
      <c r="B1399" s="12" t="s">
        <v>164</v>
      </c>
      <c r="C1399" s="12" t="s">
        <v>123</v>
      </c>
      <c r="D1399" s="12" t="s">
        <v>110</v>
      </c>
      <c r="E1399" s="12" t="s">
        <v>50</v>
      </c>
      <c r="F1399" s="12">
        <v>5</v>
      </c>
      <c r="G1399" s="12">
        <v>7</v>
      </c>
      <c r="H1399" s="12">
        <v>762.4</v>
      </c>
      <c r="I1399" s="12">
        <v>693.33</v>
      </c>
      <c r="J1399" s="12">
        <v>-497.07</v>
      </c>
      <c r="K1399" s="12">
        <v>-0.72</v>
      </c>
      <c r="L1399" s="12">
        <v>-1.3</v>
      </c>
      <c r="M1399" s="12">
        <v>0</v>
      </c>
      <c r="N1399" s="12">
        <v>-499.09</v>
      </c>
    </row>
    <row r="1400" spans="1:14" x14ac:dyDescent="0.3">
      <c r="A1400" s="12" t="s">
        <v>92</v>
      </c>
      <c r="B1400" s="12" t="s">
        <v>164</v>
      </c>
      <c r="C1400" s="12" t="s">
        <v>123</v>
      </c>
      <c r="D1400" s="12" t="s">
        <v>110</v>
      </c>
      <c r="E1400" s="12" t="s">
        <v>56</v>
      </c>
      <c r="F1400" s="12">
        <v>0</v>
      </c>
      <c r="G1400" s="12">
        <v>35</v>
      </c>
      <c r="H1400" s="12" t="s">
        <v>111</v>
      </c>
      <c r="I1400" s="12">
        <v>128.31</v>
      </c>
      <c r="J1400" s="12">
        <v>72.400000000000006</v>
      </c>
      <c r="K1400" s="12">
        <v>40.85</v>
      </c>
      <c r="L1400" s="12">
        <v>-2.6</v>
      </c>
      <c r="M1400" s="12">
        <v>0</v>
      </c>
      <c r="N1400" s="12">
        <v>110.65</v>
      </c>
    </row>
    <row r="1401" spans="1:14" x14ac:dyDescent="0.3">
      <c r="A1401" s="12" t="s">
        <v>92</v>
      </c>
      <c r="B1401" s="12" t="s">
        <v>164</v>
      </c>
      <c r="C1401" s="12" t="s">
        <v>123</v>
      </c>
      <c r="D1401" s="12" t="s">
        <v>110</v>
      </c>
      <c r="E1401" s="12" t="s">
        <v>57</v>
      </c>
      <c r="F1401" s="12">
        <v>0</v>
      </c>
      <c r="G1401" s="12">
        <v>45</v>
      </c>
      <c r="H1401" s="12" t="s">
        <v>111</v>
      </c>
      <c r="I1401" s="12">
        <v>113.75</v>
      </c>
      <c r="J1401" s="12">
        <v>-225</v>
      </c>
      <c r="K1401" s="12">
        <v>-51.15</v>
      </c>
      <c r="L1401" s="12">
        <v>-2.6</v>
      </c>
      <c r="M1401" s="12">
        <v>0</v>
      </c>
      <c r="N1401" s="12">
        <v>-278.75</v>
      </c>
    </row>
    <row r="1402" spans="1:14" x14ac:dyDescent="0.3">
      <c r="A1402" s="12" t="s">
        <v>92</v>
      </c>
      <c r="B1402" s="12" t="s">
        <v>164</v>
      </c>
      <c r="C1402" s="12" t="s">
        <v>123</v>
      </c>
      <c r="D1402" s="12" t="s">
        <v>110</v>
      </c>
      <c r="E1402" s="12" t="s">
        <v>29</v>
      </c>
      <c r="F1402" s="12">
        <v>15</v>
      </c>
      <c r="G1402" s="12">
        <v>15</v>
      </c>
      <c r="H1402" s="12">
        <v>284.13</v>
      </c>
      <c r="I1402" s="12">
        <v>290.89</v>
      </c>
      <c r="J1402" s="12">
        <v>101.4</v>
      </c>
      <c r="K1402" s="12">
        <v>0</v>
      </c>
      <c r="L1402" s="12">
        <v>0</v>
      </c>
      <c r="M1402" s="12">
        <v>0</v>
      </c>
      <c r="N1402" s="12">
        <v>101.4</v>
      </c>
    </row>
    <row r="1403" spans="1:14" x14ac:dyDescent="0.3">
      <c r="A1403" s="12" t="s">
        <v>92</v>
      </c>
      <c r="B1403" s="12" t="s">
        <v>164</v>
      </c>
      <c r="C1403" s="12" t="s">
        <v>123</v>
      </c>
      <c r="D1403" s="12" t="s">
        <v>110</v>
      </c>
      <c r="E1403" s="12" t="s">
        <v>39</v>
      </c>
      <c r="F1403" s="12">
        <v>35</v>
      </c>
      <c r="G1403" s="12">
        <v>35</v>
      </c>
      <c r="H1403" s="12">
        <v>169.3</v>
      </c>
      <c r="I1403" s="12">
        <v>165.85</v>
      </c>
      <c r="J1403" s="12">
        <v>-120.75</v>
      </c>
      <c r="K1403" s="12">
        <v>0</v>
      </c>
      <c r="L1403" s="12">
        <v>0</v>
      </c>
      <c r="M1403" s="12">
        <v>0</v>
      </c>
      <c r="N1403" s="12">
        <v>-120.75</v>
      </c>
    </row>
    <row r="1404" spans="1:14" x14ac:dyDescent="0.3">
      <c r="A1404" s="12" t="s">
        <v>92</v>
      </c>
      <c r="B1404" s="12" t="s">
        <v>164</v>
      </c>
      <c r="C1404" s="12" t="s">
        <v>123</v>
      </c>
      <c r="D1404" s="12" t="s">
        <v>110</v>
      </c>
      <c r="E1404" s="12" t="s">
        <v>30</v>
      </c>
      <c r="F1404" s="12">
        <v>26</v>
      </c>
      <c r="G1404" s="12">
        <v>26</v>
      </c>
      <c r="H1404" s="12">
        <v>146.76</v>
      </c>
      <c r="I1404" s="12">
        <v>129.55000000000001</v>
      </c>
      <c r="J1404" s="12">
        <v>-447.46</v>
      </c>
      <c r="K1404" s="12">
        <v>0</v>
      </c>
      <c r="L1404" s="12">
        <v>0</v>
      </c>
      <c r="M1404" s="12">
        <v>7.17</v>
      </c>
      <c r="N1404" s="12">
        <v>-440.29</v>
      </c>
    </row>
    <row r="1405" spans="1:14" x14ac:dyDescent="0.3">
      <c r="A1405" s="12" t="s">
        <v>92</v>
      </c>
      <c r="B1405" s="12" t="s">
        <v>164</v>
      </c>
      <c r="C1405" s="12" t="s">
        <v>123</v>
      </c>
      <c r="D1405" s="12" t="s">
        <v>110</v>
      </c>
      <c r="E1405" s="12" t="s">
        <v>51</v>
      </c>
      <c r="F1405" s="12">
        <v>2</v>
      </c>
      <c r="G1405" s="12">
        <v>0</v>
      </c>
      <c r="H1405" s="17">
        <v>1010.03</v>
      </c>
      <c r="I1405" s="12" t="s">
        <v>111</v>
      </c>
      <c r="J1405" s="12">
        <v>-299.3</v>
      </c>
      <c r="K1405" s="12">
        <v>82.94</v>
      </c>
      <c r="L1405" s="12">
        <v>-2.6</v>
      </c>
      <c r="M1405" s="12">
        <v>0</v>
      </c>
      <c r="N1405" s="12">
        <v>-218.96</v>
      </c>
    </row>
    <row r="1406" spans="1:14" x14ac:dyDescent="0.3">
      <c r="A1406" s="12" t="s">
        <v>92</v>
      </c>
      <c r="B1406" s="12" t="s">
        <v>164</v>
      </c>
      <c r="C1406" s="12" t="s">
        <v>123</v>
      </c>
      <c r="D1406" s="12" t="s">
        <v>110</v>
      </c>
      <c r="E1406" s="12" t="s">
        <v>32</v>
      </c>
      <c r="F1406" s="12">
        <v>70</v>
      </c>
      <c r="G1406" s="12">
        <v>70</v>
      </c>
      <c r="H1406" s="12">
        <v>76.989999999999995</v>
      </c>
      <c r="I1406" s="12">
        <v>66.27</v>
      </c>
      <c r="J1406" s="12">
        <v>-750.4</v>
      </c>
      <c r="K1406" s="12">
        <v>0</v>
      </c>
      <c r="L1406" s="12">
        <v>0</v>
      </c>
      <c r="M1406" s="12">
        <v>0</v>
      </c>
      <c r="N1406" s="12">
        <v>-750.4</v>
      </c>
    </row>
    <row r="1407" spans="1:14" x14ac:dyDescent="0.3">
      <c r="A1407" s="12" t="s">
        <v>92</v>
      </c>
      <c r="B1407" s="12" t="s">
        <v>164</v>
      </c>
      <c r="C1407" s="12" t="s">
        <v>123</v>
      </c>
      <c r="D1407" s="12" t="s">
        <v>110</v>
      </c>
      <c r="E1407" s="12" t="s">
        <v>40</v>
      </c>
      <c r="F1407" s="12">
        <v>15</v>
      </c>
      <c r="G1407" s="12">
        <v>0</v>
      </c>
      <c r="H1407" s="12">
        <v>245.93</v>
      </c>
      <c r="I1407" s="12" t="s">
        <v>111</v>
      </c>
      <c r="J1407" s="12">
        <v>-146.55000000000001</v>
      </c>
      <c r="K1407" s="12">
        <v>-5.4</v>
      </c>
      <c r="L1407" s="12">
        <v>-1.3</v>
      </c>
      <c r="M1407" s="12">
        <v>14.62</v>
      </c>
      <c r="N1407" s="12">
        <v>-138.63</v>
      </c>
    </row>
    <row r="1408" spans="1:14" x14ac:dyDescent="0.3">
      <c r="A1408" s="12" t="s">
        <v>92</v>
      </c>
      <c r="B1408" s="12" t="s">
        <v>164</v>
      </c>
      <c r="C1408" s="12" t="s">
        <v>123</v>
      </c>
      <c r="D1408" s="12" t="s">
        <v>110</v>
      </c>
      <c r="E1408" s="12" t="s">
        <v>34</v>
      </c>
      <c r="F1408" s="12">
        <v>17</v>
      </c>
      <c r="G1408" s="12">
        <v>0</v>
      </c>
      <c r="H1408" s="12">
        <v>272.75</v>
      </c>
      <c r="I1408" s="12" t="s">
        <v>111</v>
      </c>
      <c r="J1408" s="12">
        <v>-28.05</v>
      </c>
      <c r="K1408" s="12">
        <v>-1.7</v>
      </c>
      <c r="L1408" s="12">
        <v>-1.3</v>
      </c>
      <c r="M1408" s="12">
        <v>0</v>
      </c>
      <c r="N1408" s="12">
        <v>-31.05</v>
      </c>
    </row>
    <row r="1409" spans="1:18" x14ac:dyDescent="0.3">
      <c r="A1409" s="12" t="s">
        <v>92</v>
      </c>
      <c r="B1409" s="12" t="s">
        <v>164</v>
      </c>
      <c r="C1409" s="12" t="s">
        <v>123</v>
      </c>
      <c r="D1409" s="12" t="s">
        <v>110</v>
      </c>
      <c r="E1409" s="12" t="s">
        <v>41</v>
      </c>
      <c r="F1409" s="12">
        <v>1200</v>
      </c>
      <c r="G1409" s="12">
        <v>800</v>
      </c>
      <c r="H1409" s="12">
        <v>42.13</v>
      </c>
      <c r="I1409" s="12">
        <v>40.56</v>
      </c>
      <c r="J1409" s="12">
        <v>-1368</v>
      </c>
      <c r="K1409" s="12">
        <v>-44</v>
      </c>
      <c r="L1409" s="12">
        <v>-2.8</v>
      </c>
      <c r="M1409" s="12">
        <v>0</v>
      </c>
      <c r="N1409" s="12">
        <v>-1414.8</v>
      </c>
    </row>
    <row r="1410" spans="1:18" x14ac:dyDescent="0.3">
      <c r="A1410" s="12" t="s">
        <v>92</v>
      </c>
      <c r="B1410" s="12" t="s">
        <v>164</v>
      </c>
      <c r="C1410" s="12" t="s">
        <v>123</v>
      </c>
      <c r="D1410" s="12" t="s">
        <v>110</v>
      </c>
      <c r="E1410" s="12" t="s">
        <v>42</v>
      </c>
      <c r="F1410" s="12">
        <v>50</v>
      </c>
      <c r="G1410" s="12">
        <v>75</v>
      </c>
      <c r="H1410" s="12">
        <v>208.27</v>
      </c>
      <c r="I1410" s="12">
        <v>196.27</v>
      </c>
      <c r="J1410" s="12">
        <v>-811</v>
      </c>
      <c r="K1410" s="12">
        <v>12.75</v>
      </c>
      <c r="L1410" s="12">
        <v>-1.3</v>
      </c>
      <c r="M1410" s="12">
        <v>0</v>
      </c>
      <c r="N1410" s="12">
        <v>-799.55</v>
      </c>
    </row>
    <row r="1411" spans="1:18" x14ac:dyDescent="0.3">
      <c r="A1411" s="12" t="s">
        <v>92</v>
      </c>
      <c r="B1411" s="12" t="s">
        <v>164</v>
      </c>
      <c r="C1411" s="12" t="s">
        <v>123</v>
      </c>
      <c r="D1411" s="12" t="s">
        <v>110</v>
      </c>
      <c r="E1411" s="12" t="s">
        <v>43</v>
      </c>
      <c r="F1411" s="12">
        <v>80</v>
      </c>
      <c r="G1411" s="12">
        <v>80</v>
      </c>
      <c r="H1411" s="12">
        <v>65.650000000000006</v>
      </c>
      <c r="I1411" s="12">
        <v>66.739999999999995</v>
      </c>
      <c r="J1411" s="12">
        <v>87.2</v>
      </c>
      <c r="K1411" s="12">
        <v>0</v>
      </c>
      <c r="L1411" s="12">
        <v>0</v>
      </c>
      <c r="M1411" s="12">
        <v>0</v>
      </c>
      <c r="N1411" s="12">
        <v>87.2</v>
      </c>
    </row>
    <row r="1412" spans="1:18" x14ac:dyDescent="0.3">
      <c r="A1412" s="12" t="s">
        <v>92</v>
      </c>
      <c r="B1412" s="12" t="s">
        <v>164</v>
      </c>
      <c r="C1412" s="12" t="s">
        <v>123</v>
      </c>
      <c r="D1412" s="12" t="s">
        <v>110</v>
      </c>
      <c r="E1412" s="12" t="s">
        <v>44</v>
      </c>
      <c r="F1412" s="12">
        <v>30</v>
      </c>
      <c r="G1412" s="12">
        <v>60</v>
      </c>
      <c r="H1412" s="12">
        <v>147.72999999999999</v>
      </c>
      <c r="I1412" s="12">
        <v>140.33000000000001</v>
      </c>
      <c r="J1412" s="12">
        <v>-222</v>
      </c>
      <c r="K1412" s="12">
        <v>-23.85</v>
      </c>
      <c r="L1412" s="12">
        <v>-1.3</v>
      </c>
      <c r="M1412" s="12">
        <v>0</v>
      </c>
      <c r="N1412" s="12">
        <v>-247.15</v>
      </c>
    </row>
    <row r="1413" spans="1:18" x14ac:dyDescent="0.3">
      <c r="A1413" s="12" t="s">
        <v>92</v>
      </c>
      <c r="B1413" s="12" t="s">
        <v>164</v>
      </c>
      <c r="C1413" s="12" t="s">
        <v>123</v>
      </c>
      <c r="D1413" s="12" t="s">
        <v>110</v>
      </c>
      <c r="E1413" s="12" t="s">
        <v>35</v>
      </c>
      <c r="F1413" s="12">
        <v>100</v>
      </c>
      <c r="G1413" s="12">
        <v>0</v>
      </c>
      <c r="H1413" s="12">
        <v>116.24</v>
      </c>
      <c r="I1413" s="12" t="s">
        <v>111</v>
      </c>
      <c r="J1413" s="12">
        <v>172</v>
      </c>
      <c r="K1413" s="12">
        <v>-66</v>
      </c>
      <c r="L1413" s="12">
        <v>-1.3</v>
      </c>
      <c r="M1413" s="12">
        <v>0</v>
      </c>
      <c r="N1413" s="12">
        <v>104.7</v>
      </c>
    </row>
    <row r="1414" spans="1:18" x14ac:dyDescent="0.3">
      <c r="A1414" s="12" t="s">
        <v>92</v>
      </c>
      <c r="B1414" s="12" t="s">
        <v>164</v>
      </c>
      <c r="C1414" s="12" t="s">
        <v>123</v>
      </c>
      <c r="D1414" s="12" t="s">
        <v>97</v>
      </c>
      <c r="J1414" s="12">
        <v>-9698.16</v>
      </c>
      <c r="K1414" s="12">
        <v>-182.424375</v>
      </c>
      <c r="L1414" s="12">
        <v>-45.7</v>
      </c>
      <c r="M1414" s="12">
        <v>92.24</v>
      </c>
      <c r="N1414" s="12">
        <v>-9834.0443749999995</v>
      </c>
    </row>
    <row r="1415" spans="1:18" x14ac:dyDescent="0.3">
      <c r="A1415" s="12" t="s">
        <v>92</v>
      </c>
      <c r="B1415" s="12" t="s">
        <v>164</v>
      </c>
      <c r="C1415" s="12" t="s">
        <v>123</v>
      </c>
      <c r="D1415" s="12" t="s">
        <v>112</v>
      </c>
      <c r="E1415" s="12" t="s">
        <v>52</v>
      </c>
      <c r="F1415" s="12">
        <v>-8</v>
      </c>
      <c r="G1415" s="12">
        <v>-7</v>
      </c>
      <c r="H1415" s="17">
        <v>5308.5</v>
      </c>
      <c r="I1415" s="17">
        <v>5067</v>
      </c>
      <c r="J1415" s="12">
        <v>9337.5</v>
      </c>
      <c r="K1415" s="12">
        <v>37.5</v>
      </c>
      <c r="L1415" s="12">
        <v>-3</v>
      </c>
      <c r="M1415" s="12">
        <v>0</v>
      </c>
      <c r="N1415" s="12">
        <v>9372</v>
      </c>
    </row>
    <row r="1416" spans="1:18" x14ac:dyDescent="0.3">
      <c r="A1416" s="12" t="s">
        <v>92</v>
      </c>
      <c r="B1416" s="12" t="s">
        <v>164</v>
      </c>
      <c r="C1416" s="12" t="s">
        <v>123</v>
      </c>
      <c r="D1416" s="12" t="s">
        <v>112</v>
      </c>
      <c r="E1416" s="12" t="s">
        <v>53</v>
      </c>
      <c r="F1416" s="12">
        <v>-1</v>
      </c>
      <c r="G1416" s="12">
        <v>-1</v>
      </c>
      <c r="H1416" s="17">
        <v>18475</v>
      </c>
      <c r="I1416" s="17">
        <v>17571.25</v>
      </c>
      <c r="J1416" s="12">
        <v>1807.5</v>
      </c>
      <c r="K1416" s="12">
        <v>0</v>
      </c>
      <c r="L1416" s="12">
        <v>0</v>
      </c>
      <c r="M1416" s="12">
        <v>0</v>
      </c>
      <c r="N1416" s="12">
        <v>1807.5</v>
      </c>
    </row>
    <row r="1417" spans="1:18" x14ac:dyDescent="0.3">
      <c r="A1417" s="12" t="s">
        <v>92</v>
      </c>
      <c r="B1417" s="12" t="s">
        <v>164</v>
      </c>
      <c r="C1417" s="12" t="s">
        <v>123</v>
      </c>
      <c r="D1417" s="12" t="s">
        <v>97</v>
      </c>
      <c r="J1417" s="12">
        <v>11145</v>
      </c>
      <c r="K1417" s="12">
        <v>37.5</v>
      </c>
      <c r="L1417" s="12">
        <v>-3</v>
      </c>
      <c r="M1417" s="12">
        <v>0</v>
      </c>
      <c r="N1417" s="12">
        <v>11179.5</v>
      </c>
    </row>
    <row r="1418" spans="1:18" x14ac:dyDescent="0.3">
      <c r="A1418" s="12" t="s">
        <v>92</v>
      </c>
      <c r="B1418" s="12" t="s">
        <v>164</v>
      </c>
      <c r="C1418" s="12" t="s">
        <v>123</v>
      </c>
      <c r="D1418" s="12" t="s">
        <v>113</v>
      </c>
      <c r="E1418" s="12" t="s">
        <v>114</v>
      </c>
      <c r="F1418" s="12">
        <v>9708.4930000000004</v>
      </c>
      <c r="G1418" s="12">
        <v>41307.718625000001</v>
      </c>
      <c r="H1418" s="12">
        <v>1</v>
      </c>
      <c r="I1418" s="12">
        <v>1</v>
      </c>
      <c r="J1418" s="12">
        <v>0</v>
      </c>
      <c r="K1418" s="12">
        <v>0</v>
      </c>
      <c r="L1418" s="12">
        <v>0</v>
      </c>
      <c r="M1418" s="12">
        <v>0</v>
      </c>
      <c r="N1418" s="12">
        <v>0</v>
      </c>
    </row>
    <row r="1419" spans="1:18" x14ac:dyDescent="0.3">
      <c r="A1419" s="12" t="s">
        <v>92</v>
      </c>
      <c r="B1419" s="12" t="s">
        <v>164</v>
      </c>
      <c r="C1419" s="12" t="s">
        <v>123</v>
      </c>
      <c r="D1419" s="12" t="s">
        <v>97</v>
      </c>
      <c r="J1419" s="12">
        <v>0</v>
      </c>
      <c r="K1419" s="12">
        <v>0</v>
      </c>
      <c r="L1419" s="12">
        <v>0</v>
      </c>
      <c r="M1419" s="12">
        <v>0</v>
      </c>
      <c r="N1419" s="12">
        <v>0</v>
      </c>
    </row>
    <row r="1420" spans="1:18" x14ac:dyDescent="0.3">
      <c r="A1420" s="12" t="s">
        <v>92</v>
      </c>
      <c r="B1420" s="12" t="s">
        <v>164</v>
      </c>
      <c r="C1420" s="12" t="s">
        <v>123</v>
      </c>
      <c r="D1420" s="12" t="s">
        <v>115</v>
      </c>
      <c r="J1420" s="12">
        <v>1446.84</v>
      </c>
      <c r="K1420" s="12">
        <v>-144.924375</v>
      </c>
      <c r="L1420" s="12">
        <v>-48.7</v>
      </c>
      <c r="M1420" s="12">
        <v>92.24</v>
      </c>
      <c r="N1420" s="12">
        <v>1345.4556250000001</v>
      </c>
    </row>
    <row r="1421" spans="1:18" x14ac:dyDescent="0.3">
      <c r="A1421" s="12" t="s">
        <v>92</v>
      </c>
      <c r="B1421" s="12" t="s">
        <v>164</v>
      </c>
      <c r="C1421" s="12" t="s">
        <v>123</v>
      </c>
      <c r="D1421" s="12" t="s">
        <v>116</v>
      </c>
      <c r="N1421" s="12">
        <v>15.58</v>
      </c>
    </row>
    <row r="1422" spans="1:18" x14ac:dyDescent="0.3">
      <c r="A1422" s="12" t="s">
        <v>92</v>
      </c>
      <c r="B1422" s="12" t="s">
        <v>166</v>
      </c>
      <c r="N1422" s="12">
        <v>1361.035625</v>
      </c>
    </row>
    <row r="1423" spans="1:18" x14ac:dyDescent="0.3">
      <c r="A1423" s="12" t="s">
        <v>92</v>
      </c>
      <c r="B1423" s="12" t="s">
        <v>167</v>
      </c>
      <c r="C1423" s="12" t="s">
        <v>120</v>
      </c>
      <c r="D1423" s="12" t="s">
        <v>100</v>
      </c>
      <c r="E1423" s="12" t="s">
        <v>0</v>
      </c>
      <c r="F1423" s="12" t="s">
        <v>168</v>
      </c>
      <c r="G1423" s="12" t="s">
        <v>169</v>
      </c>
      <c r="H1423" s="12" t="s">
        <v>170</v>
      </c>
      <c r="I1423" s="12" t="s">
        <v>171</v>
      </c>
      <c r="J1423" s="12" t="s">
        <v>172</v>
      </c>
      <c r="K1423" s="12" t="s">
        <v>173</v>
      </c>
      <c r="L1423" s="12" t="s">
        <v>174</v>
      </c>
      <c r="M1423" s="12" t="s">
        <v>175</v>
      </c>
      <c r="N1423" s="12" t="s">
        <v>176</v>
      </c>
      <c r="O1423" s="12" t="s">
        <v>177</v>
      </c>
      <c r="P1423" s="12" t="s">
        <v>178</v>
      </c>
      <c r="Q1423" s="12" t="s">
        <v>97</v>
      </c>
      <c r="R1423" s="12" t="s">
        <v>165</v>
      </c>
    </row>
    <row r="1424" spans="1:18" x14ac:dyDescent="0.3">
      <c r="A1424" s="12" t="s">
        <v>92</v>
      </c>
      <c r="B1424" s="12" t="s">
        <v>167</v>
      </c>
      <c r="C1424" s="12" t="s">
        <v>123</v>
      </c>
      <c r="D1424" s="12" t="s">
        <v>110</v>
      </c>
      <c r="E1424" s="12" t="s">
        <v>2</v>
      </c>
      <c r="F1424" s="12">
        <v>0</v>
      </c>
      <c r="G1424" s="12">
        <v>0</v>
      </c>
      <c r="H1424" s="12">
        <v>0</v>
      </c>
      <c r="I1424" s="12">
        <v>0</v>
      </c>
      <c r="J1424" s="12">
        <v>0</v>
      </c>
      <c r="K1424" s="12">
        <v>0</v>
      </c>
      <c r="L1424" s="12">
        <v>0</v>
      </c>
      <c r="M1424" s="12">
        <v>-481.32</v>
      </c>
      <c r="N1424" s="12">
        <v>0</v>
      </c>
      <c r="O1424" s="12">
        <v>0</v>
      </c>
      <c r="P1424" s="12">
        <v>-481.32</v>
      </c>
      <c r="Q1424" s="12">
        <v>-481.32</v>
      </c>
    </row>
    <row r="1425" spans="1:17" x14ac:dyDescent="0.3">
      <c r="A1425" s="12" t="s">
        <v>92</v>
      </c>
      <c r="B1425" s="12" t="s">
        <v>167</v>
      </c>
      <c r="C1425" s="12" t="s">
        <v>123</v>
      </c>
      <c r="D1425" s="12" t="s">
        <v>110</v>
      </c>
      <c r="E1425" s="12" t="s">
        <v>45</v>
      </c>
      <c r="F1425" s="12">
        <v>0</v>
      </c>
      <c r="G1425" s="12">
        <v>0</v>
      </c>
      <c r="H1425" s="12">
        <v>-223.78</v>
      </c>
      <c r="I1425" s="12">
        <v>0</v>
      </c>
      <c r="J1425" s="12">
        <v>0</v>
      </c>
      <c r="K1425" s="12">
        <v>-223.78</v>
      </c>
      <c r="L1425" s="12">
        <v>0</v>
      </c>
      <c r="M1425" s="12">
        <v>-199.32</v>
      </c>
      <c r="N1425" s="12">
        <v>0</v>
      </c>
      <c r="O1425" s="12">
        <v>0</v>
      </c>
      <c r="P1425" s="12">
        <v>-199.32</v>
      </c>
      <c r="Q1425" s="12">
        <v>-423.1</v>
      </c>
    </row>
    <row r="1426" spans="1:17" x14ac:dyDescent="0.3">
      <c r="A1426" s="12" t="s">
        <v>92</v>
      </c>
      <c r="B1426" s="12" t="s">
        <v>167</v>
      </c>
      <c r="C1426" s="12" t="s">
        <v>123</v>
      </c>
      <c r="D1426" s="12" t="s">
        <v>110</v>
      </c>
      <c r="E1426" s="12" t="s">
        <v>5</v>
      </c>
      <c r="F1426" s="12">
        <v>0</v>
      </c>
      <c r="G1426" s="12">
        <v>1300.0999999999999</v>
      </c>
      <c r="H1426" s="12">
        <v>0</v>
      </c>
      <c r="I1426" s="12">
        <v>0</v>
      </c>
      <c r="J1426" s="12">
        <v>0</v>
      </c>
      <c r="K1426" s="12">
        <v>1300.0999999999999</v>
      </c>
      <c r="L1426" s="12">
        <v>416.32499999999999</v>
      </c>
      <c r="M1426" s="12">
        <v>-21.32</v>
      </c>
      <c r="N1426" s="12">
        <v>0</v>
      </c>
      <c r="O1426" s="12">
        <v>0</v>
      </c>
      <c r="P1426" s="12">
        <v>395.005</v>
      </c>
      <c r="Q1426" s="12">
        <v>1695.105</v>
      </c>
    </row>
    <row r="1427" spans="1:17" x14ac:dyDescent="0.3">
      <c r="A1427" s="12" t="s">
        <v>92</v>
      </c>
      <c r="B1427" s="12" t="s">
        <v>167</v>
      </c>
      <c r="C1427" s="12" t="s">
        <v>123</v>
      </c>
      <c r="D1427" s="12" t="s">
        <v>110</v>
      </c>
      <c r="E1427" s="12" t="s">
        <v>6</v>
      </c>
      <c r="F1427" s="12">
        <v>0</v>
      </c>
      <c r="G1427" s="12">
        <v>794.67903200000001</v>
      </c>
      <c r="H1427" s="12">
        <v>0</v>
      </c>
      <c r="I1427" s="12">
        <v>0</v>
      </c>
      <c r="J1427" s="12">
        <v>0</v>
      </c>
      <c r="K1427" s="12">
        <v>794.67903200000001</v>
      </c>
      <c r="L1427" s="12">
        <v>0</v>
      </c>
      <c r="M1427" s="12">
        <v>0</v>
      </c>
      <c r="N1427" s="12">
        <v>0</v>
      </c>
      <c r="O1427" s="12">
        <v>0</v>
      </c>
      <c r="P1427" s="12">
        <v>0</v>
      </c>
      <c r="Q1427" s="12">
        <v>794.67903200000001</v>
      </c>
    </row>
    <row r="1428" spans="1:17" x14ac:dyDescent="0.3">
      <c r="A1428" s="12" t="s">
        <v>92</v>
      </c>
      <c r="B1428" s="12" t="s">
        <v>167</v>
      </c>
      <c r="C1428" s="12" t="s">
        <v>123</v>
      </c>
      <c r="D1428" s="12" t="s">
        <v>110</v>
      </c>
      <c r="E1428" s="12" t="s">
        <v>7</v>
      </c>
      <c r="F1428" s="12">
        <v>0</v>
      </c>
      <c r="G1428" s="12">
        <v>0</v>
      </c>
      <c r="H1428" s="12">
        <v>0</v>
      </c>
      <c r="I1428" s="12">
        <v>0</v>
      </c>
      <c r="J1428" s="12">
        <v>0</v>
      </c>
      <c r="K1428" s="12">
        <v>0</v>
      </c>
      <c r="L1428" s="12">
        <v>27</v>
      </c>
      <c r="M1428" s="12">
        <v>-310.98</v>
      </c>
      <c r="N1428" s="12">
        <v>0</v>
      </c>
      <c r="O1428" s="12">
        <v>0</v>
      </c>
      <c r="P1428" s="12">
        <v>-283.98</v>
      </c>
      <c r="Q1428" s="12">
        <v>-283.98</v>
      </c>
    </row>
    <row r="1429" spans="1:17" x14ac:dyDescent="0.3">
      <c r="A1429" s="12" t="s">
        <v>92</v>
      </c>
      <c r="B1429" s="12" t="s">
        <v>167</v>
      </c>
      <c r="C1429" s="12" t="s">
        <v>123</v>
      </c>
      <c r="D1429" s="12" t="s">
        <v>110</v>
      </c>
      <c r="E1429" s="12" t="s">
        <v>8</v>
      </c>
      <c r="F1429" s="12">
        <v>0</v>
      </c>
      <c r="G1429" s="12">
        <v>0</v>
      </c>
      <c r="H1429" s="12">
        <v>0</v>
      </c>
      <c r="I1429" s="12">
        <v>0</v>
      </c>
      <c r="J1429" s="12">
        <v>0</v>
      </c>
      <c r="K1429" s="12">
        <v>0</v>
      </c>
      <c r="L1429" s="12">
        <v>1132.873</v>
      </c>
      <c r="M1429" s="12">
        <v>0</v>
      </c>
      <c r="N1429" s="12">
        <v>0</v>
      </c>
      <c r="O1429" s="12">
        <v>0</v>
      </c>
      <c r="P1429" s="12">
        <v>1132.873</v>
      </c>
      <c r="Q1429" s="12">
        <v>1132.873</v>
      </c>
    </row>
    <row r="1430" spans="1:17" x14ac:dyDescent="0.3">
      <c r="A1430" s="12" t="s">
        <v>92</v>
      </c>
      <c r="B1430" s="12" t="s">
        <v>167</v>
      </c>
      <c r="C1430" s="12" t="s">
        <v>123</v>
      </c>
      <c r="D1430" s="12" t="s">
        <v>110</v>
      </c>
      <c r="E1430" s="12" t="s">
        <v>3</v>
      </c>
      <c r="F1430" s="12">
        <v>0</v>
      </c>
      <c r="G1430" s="12">
        <v>780.90945945999999</v>
      </c>
      <c r="H1430" s="12">
        <v>0</v>
      </c>
      <c r="I1430" s="12">
        <v>0</v>
      </c>
      <c r="J1430" s="12">
        <v>0</v>
      </c>
      <c r="K1430" s="12">
        <v>780.90945945999999</v>
      </c>
      <c r="L1430" s="12">
        <v>636.77054099999998</v>
      </c>
      <c r="M1430" s="12">
        <v>0</v>
      </c>
      <c r="N1430" s="12">
        <v>0</v>
      </c>
      <c r="O1430" s="12">
        <v>0</v>
      </c>
      <c r="P1430" s="12">
        <v>636.77054099999998</v>
      </c>
      <c r="Q1430" s="12">
        <v>1417.68000046</v>
      </c>
    </row>
    <row r="1431" spans="1:17" x14ac:dyDescent="0.3">
      <c r="A1431" s="12" t="s">
        <v>92</v>
      </c>
      <c r="B1431" s="12" t="s">
        <v>167</v>
      </c>
      <c r="C1431" s="12" t="s">
        <v>123</v>
      </c>
      <c r="D1431" s="12" t="s">
        <v>110</v>
      </c>
      <c r="E1431" s="12" t="s">
        <v>46</v>
      </c>
      <c r="F1431" s="12">
        <v>0</v>
      </c>
      <c r="G1431" s="12">
        <v>0</v>
      </c>
      <c r="H1431" s="12">
        <v>0</v>
      </c>
      <c r="I1431" s="12">
        <v>0</v>
      </c>
      <c r="J1431" s="12">
        <v>0</v>
      </c>
      <c r="K1431" s="12">
        <v>0</v>
      </c>
      <c r="L1431" s="12">
        <v>0</v>
      </c>
      <c r="M1431" s="12">
        <v>-257.19</v>
      </c>
      <c r="N1431" s="12">
        <v>0</v>
      </c>
      <c r="O1431" s="12">
        <v>0</v>
      </c>
      <c r="P1431" s="12">
        <v>-257.19</v>
      </c>
      <c r="Q1431" s="12">
        <v>-257.19</v>
      </c>
    </row>
    <row r="1432" spans="1:17" x14ac:dyDescent="0.3">
      <c r="A1432" s="12" t="s">
        <v>92</v>
      </c>
      <c r="B1432" s="12" t="s">
        <v>167</v>
      </c>
      <c r="C1432" s="12" t="s">
        <v>123</v>
      </c>
      <c r="D1432" s="12" t="s">
        <v>110</v>
      </c>
      <c r="E1432" s="12" t="s">
        <v>11</v>
      </c>
      <c r="F1432" s="12">
        <v>0</v>
      </c>
      <c r="G1432" s="12">
        <v>0</v>
      </c>
      <c r="H1432" s="12">
        <v>0</v>
      </c>
      <c r="I1432" s="12">
        <v>0</v>
      </c>
      <c r="J1432" s="12">
        <v>0</v>
      </c>
      <c r="K1432" s="12">
        <v>0</v>
      </c>
      <c r="L1432" s="12">
        <v>398.55909100000002</v>
      </c>
      <c r="M1432" s="12">
        <v>-148.30000000000001</v>
      </c>
      <c r="N1432" s="12">
        <v>0</v>
      </c>
      <c r="O1432" s="12">
        <v>0</v>
      </c>
      <c r="P1432" s="12">
        <v>250.25909100000001</v>
      </c>
      <c r="Q1432" s="12">
        <v>250.25909100000001</v>
      </c>
    </row>
    <row r="1433" spans="1:17" x14ac:dyDescent="0.3">
      <c r="A1433" s="12" t="s">
        <v>92</v>
      </c>
      <c r="B1433" s="12" t="s">
        <v>167</v>
      </c>
      <c r="C1433" s="12" t="s">
        <v>123</v>
      </c>
      <c r="D1433" s="12" t="s">
        <v>110</v>
      </c>
      <c r="E1433" s="12" t="s">
        <v>47</v>
      </c>
      <c r="F1433" s="12">
        <v>0</v>
      </c>
      <c r="G1433" s="12">
        <v>0</v>
      </c>
      <c r="H1433" s="12">
        <v>0</v>
      </c>
      <c r="I1433" s="12">
        <v>0</v>
      </c>
      <c r="J1433" s="12">
        <v>0</v>
      </c>
      <c r="K1433" s="12">
        <v>0</v>
      </c>
      <c r="L1433" s="12">
        <v>0</v>
      </c>
      <c r="M1433" s="12">
        <v>-498.9</v>
      </c>
      <c r="N1433" s="12">
        <v>0</v>
      </c>
      <c r="O1433" s="12">
        <v>0</v>
      </c>
      <c r="P1433" s="12">
        <v>-498.9</v>
      </c>
      <c r="Q1433" s="12">
        <v>-498.9</v>
      </c>
    </row>
    <row r="1434" spans="1:17" x14ac:dyDescent="0.3">
      <c r="A1434" s="12" t="s">
        <v>92</v>
      </c>
      <c r="B1434" s="12" t="s">
        <v>167</v>
      </c>
      <c r="C1434" s="12" t="s">
        <v>123</v>
      </c>
      <c r="D1434" s="12" t="s">
        <v>110</v>
      </c>
      <c r="E1434" s="12" t="s">
        <v>18</v>
      </c>
      <c r="F1434" s="12">
        <v>0</v>
      </c>
      <c r="G1434" s="12">
        <v>0</v>
      </c>
      <c r="H1434" s="12">
        <v>0</v>
      </c>
      <c r="I1434" s="12">
        <v>0</v>
      </c>
      <c r="J1434" s="12">
        <v>0</v>
      </c>
      <c r="K1434" s="12">
        <v>0</v>
      </c>
      <c r="L1434" s="12">
        <v>415.34</v>
      </c>
      <c r="M1434" s="12">
        <v>-17.350000000000001</v>
      </c>
      <c r="N1434" s="12">
        <v>0</v>
      </c>
      <c r="O1434" s="12">
        <v>0</v>
      </c>
      <c r="P1434" s="12">
        <v>397.99</v>
      </c>
      <c r="Q1434" s="12">
        <v>397.99</v>
      </c>
    </row>
    <row r="1435" spans="1:17" x14ac:dyDescent="0.3">
      <c r="A1435" s="12" t="s">
        <v>92</v>
      </c>
      <c r="B1435" s="12" t="s">
        <v>167</v>
      </c>
      <c r="C1435" s="12" t="s">
        <v>123</v>
      </c>
      <c r="D1435" s="12" t="s">
        <v>110</v>
      </c>
      <c r="E1435" s="12" t="s">
        <v>48</v>
      </c>
      <c r="F1435" s="12">
        <v>0</v>
      </c>
      <c r="G1435" s="12">
        <v>0</v>
      </c>
      <c r="H1435" s="12">
        <v>0</v>
      </c>
      <c r="I1435" s="12">
        <v>0</v>
      </c>
      <c r="J1435" s="12">
        <v>0</v>
      </c>
      <c r="K1435" s="12">
        <v>0</v>
      </c>
      <c r="L1435" s="12">
        <v>842.70303000000001</v>
      </c>
      <c r="M1435" s="12">
        <v>0</v>
      </c>
      <c r="N1435" s="12">
        <v>0</v>
      </c>
      <c r="O1435" s="12">
        <v>0</v>
      </c>
      <c r="P1435" s="12">
        <v>842.70303000000001</v>
      </c>
      <c r="Q1435" s="12">
        <v>842.70303000000001</v>
      </c>
    </row>
    <row r="1436" spans="1:17" x14ac:dyDescent="0.3">
      <c r="A1436" s="12" t="s">
        <v>92</v>
      </c>
      <c r="B1436" s="12" t="s">
        <v>167</v>
      </c>
      <c r="C1436" s="12" t="s">
        <v>123</v>
      </c>
      <c r="D1436" s="12" t="s">
        <v>110</v>
      </c>
      <c r="E1436" s="12" t="s">
        <v>54</v>
      </c>
      <c r="F1436" s="12">
        <v>0</v>
      </c>
      <c r="G1436" s="12">
        <v>2.9205038000000001</v>
      </c>
      <c r="H1436" s="12">
        <v>0</v>
      </c>
      <c r="I1436" s="12">
        <v>0</v>
      </c>
      <c r="J1436" s="12">
        <v>0</v>
      </c>
      <c r="K1436" s="12">
        <v>2.9205038000000001</v>
      </c>
      <c r="L1436" s="12">
        <v>366.85709100000003</v>
      </c>
      <c r="M1436" s="12">
        <v>0</v>
      </c>
      <c r="N1436" s="12">
        <v>0</v>
      </c>
      <c r="O1436" s="12">
        <v>0</v>
      </c>
      <c r="P1436" s="12">
        <v>366.85709100000003</v>
      </c>
      <c r="Q1436" s="12">
        <v>369.77759479999997</v>
      </c>
    </row>
    <row r="1437" spans="1:17" x14ac:dyDescent="0.3">
      <c r="A1437" s="12" t="s">
        <v>92</v>
      </c>
      <c r="B1437" s="12" t="s">
        <v>167</v>
      </c>
      <c r="C1437" s="12" t="s">
        <v>123</v>
      </c>
      <c r="D1437" s="12" t="s">
        <v>110</v>
      </c>
      <c r="E1437" s="12" t="s">
        <v>19</v>
      </c>
      <c r="F1437" s="12">
        <v>0</v>
      </c>
      <c r="G1437" s="12">
        <v>715.41401854000003</v>
      </c>
      <c r="H1437" s="12">
        <v>0</v>
      </c>
      <c r="I1437" s="12">
        <v>0</v>
      </c>
      <c r="J1437" s="12">
        <v>0</v>
      </c>
      <c r="K1437" s="12">
        <v>715.41401854000003</v>
      </c>
      <c r="L1437" s="12">
        <v>995.30971899999997</v>
      </c>
      <c r="M1437" s="12">
        <v>0</v>
      </c>
      <c r="N1437" s="12">
        <v>0</v>
      </c>
      <c r="O1437" s="12">
        <v>0</v>
      </c>
      <c r="P1437" s="12">
        <v>995.30971899999997</v>
      </c>
      <c r="Q1437" s="12">
        <v>1710.72373754</v>
      </c>
    </row>
    <row r="1438" spans="1:17" x14ac:dyDescent="0.3">
      <c r="A1438" s="12" t="s">
        <v>92</v>
      </c>
      <c r="B1438" s="12" t="s">
        <v>167</v>
      </c>
      <c r="C1438" s="12" t="s">
        <v>123</v>
      </c>
      <c r="D1438" s="12" t="s">
        <v>110</v>
      </c>
      <c r="E1438" s="12" t="s">
        <v>20</v>
      </c>
      <c r="F1438" s="12">
        <v>0</v>
      </c>
      <c r="G1438" s="12">
        <v>0</v>
      </c>
      <c r="H1438" s="12">
        <v>0</v>
      </c>
      <c r="I1438" s="12">
        <v>0</v>
      </c>
      <c r="J1438" s="12">
        <v>0</v>
      </c>
      <c r="K1438" s="12">
        <v>0</v>
      </c>
      <c r="L1438" s="12">
        <v>0</v>
      </c>
      <c r="M1438" s="12">
        <v>-53.55</v>
      </c>
      <c r="N1438" s="12">
        <v>0</v>
      </c>
      <c r="O1438" s="12">
        <v>0</v>
      </c>
      <c r="P1438" s="12">
        <v>-53.55</v>
      </c>
      <c r="Q1438" s="12">
        <v>-53.55</v>
      </c>
    </row>
    <row r="1439" spans="1:17" x14ac:dyDescent="0.3">
      <c r="A1439" s="12" t="s">
        <v>92</v>
      </c>
      <c r="B1439" s="12" t="s">
        <v>167</v>
      </c>
      <c r="C1439" s="12" t="s">
        <v>123</v>
      </c>
      <c r="D1439" s="12" t="s">
        <v>110</v>
      </c>
      <c r="E1439" s="12" t="s">
        <v>22</v>
      </c>
      <c r="F1439" s="12">
        <v>0</v>
      </c>
      <c r="G1439" s="12">
        <v>0</v>
      </c>
      <c r="H1439" s="12">
        <v>0</v>
      </c>
      <c r="I1439" s="12">
        <v>0</v>
      </c>
      <c r="J1439" s="12">
        <v>0</v>
      </c>
      <c r="K1439" s="12">
        <v>0</v>
      </c>
      <c r="L1439" s="12">
        <v>505.221</v>
      </c>
      <c r="M1439" s="12">
        <v>0</v>
      </c>
      <c r="N1439" s="12">
        <v>0</v>
      </c>
      <c r="O1439" s="12">
        <v>0</v>
      </c>
      <c r="P1439" s="12">
        <v>505.221</v>
      </c>
      <c r="Q1439" s="12">
        <v>505.221</v>
      </c>
    </row>
    <row r="1440" spans="1:17" x14ac:dyDescent="0.3">
      <c r="A1440" s="12" t="s">
        <v>92</v>
      </c>
      <c r="B1440" s="12" t="s">
        <v>167</v>
      </c>
      <c r="C1440" s="12" t="s">
        <v>123</v>
      </c>
      <c r="D1440" s="12" t="s">
        <v>110</v>
      </c>
      <c r="E1440" s="12" t="s">
        <v>37</v>
      </c>
      <c r="F1440" s="12">
        <v>0</v>
      </c>
      <c r="G1440" s="12">
        <v>0</v>
      </c>
      <c r="H1440" s="12">
        <v>0</v>
      </c>
      <c r="I1440" s="12">
        <v>0</v>
      </c>
      <c r="J1440" s="12">
        <v>0</v>
      </c>
      <c r="K1440" s="12">
        <v>0</v>
      </c>
      <c r="L1440" s="12">
        <v>0</v>
      </c>
      <c r="M1440" s="12">
        <v>-382</v>
      </c>
      <c r="N1440" s="12">
        <v>0</v>
      </c>
      <c r="O1440" s="12">
        <v>0</v>
      </c>
      <c r="P1440" s="12">
        <v>-382</v>
      </c>
      <c r="Q1440" s="12">
        <v>-382</v>
      </c>
    </row>
    <row r="1441" spans="1:17" x14ac:dyDescent="0.3">
      <c r="A1441" s="12" t="s">
        <v>92</v>
      </c>
      <c r="B1441" s="12" t="s">
        <v>167</v>
      </c>
      <c r="C1441" s="12" t="s">
        <v>123</v>
      </c>
      <c r="D1441" s="12" t="s">
        <v>110</v>
      </c>
      <c r="E1441" s="12" t="s">
        <v>24</v>
      </c>
      <c r="F1441" s="12">
        <v>0</v>
      </c>
      <c r="G1441" s="12">
        <v>0</v>
      </c>
      <c r="H1441" s="12">
        <v>0</v>
      </c>
      <c r="I1441" s="12">
        <v>0</v>
      </c>
      <c r="J1441" s="12">
        <v>0</v>
      </c>
      <c r="K1441" s="12">
        <v>0</v>
      </c>
      <c r="L1441" s="12">
        <v>632.71249999999998</v>
      </c>
      <c r="M1441" s="12">
        <v>0</v>
      </c>
      <c r="N1441" s="12">
        <v>0</v>
      </c>
      <c r="O1441" s="12">
        <v>0</v>
      </c>
      <c r="P1441" s="12">
        <v>632.71249999999998</v>
      </c>
      <c r="Q1441" s="12">
        <v>632.71249999999998</v>
      </c>
    </row>
    <row r="1442" spans="1:17" x14ac:dyDescent="0.3">
      <c r="A1442" s="12" t="s">
        <v>92</v>
      </c>
      <c r="B1442" s="12" t="s">
        <v>167</v>
      </c>
      <c r="C1442" s="12" t="s">
        <v>123</v>
      </c>
      <c r="D1442" s="12" t="s">
        <v>110</v>
      </c>
      <c r="E1442" s="12" t="s">
        <v>49</v>
      </c>
      <c r="F1442" s="12">
        <v>0</v>
      </c>
      <c r="G1442" s="12">
        <v>0</v>
      </c>
      <c r="H1442" s="12">
        <v>-152.155</v>
      </c>
      <c r="I1442" s="12">
        <v>0</v>
      </c>
      <c r="J1442" s="12">
        <v>0</v>
      </c>
      <c r="K1442" s="12">
        <v>-152.155</v>
      </c>
      <c r="L1442" s="12">
        <v>37.6</v>
      </c>
      <c r="M1442" s="12">
        <v>-7.08</v>
      </c>
      <c r="N1442" s="12">
        <v>0</v>
      </c>
      <c r="O1442" s="12">
        <v>0</v>
      </c>
      <c r="P1442" s="12">
        <v>30.52</v>
      </c>
      <c r="Q1442" s="12">
        <v>-121.63500000000001</v>
      </c>
    </row>
    <row r="1443" spans="1:17" x14ac:dyDescent="0.3">
      <c r="A1443" s="12" t="s">
        <v>92</v>
      </c>
      <c r="B1443" s="12" t="s">
        <v>167</v>
      </c>
      <c r="C1443" s="12" t="s">
        <v>123</v>
      </c>
      <c r="D1443" s="12" t="s">
        <v>110</v>
      </c>
      <c r="E1443" s="12" t="s">
        <v>26</v>
      </c>
      <c r="F1443" s="12">
        <v>0</v>
      </c>
      <c r="G1443" s="12">
        <v>120.527778</v>
      </c>
      <c r="H1443" s="12">
        <v>0</v>
      </c>
      <c r="I1443" s="12">
        <v>0</v>
      </c>
      <c r="J1443" s="12">
        <v>0</v>
      </c>
      <c r="K1443" s="12">
        <v>120.527778</v>
      </c>
      <c r="L1443" s="12">
        <v>0</v>
      </c>
      <c r="M1443" s="12">
        <v>-16.350000000000001</v>
      </c>
      <c r="N1443" s="12">
        <v>0</v>
      </c>
      <c r="O1443" s="12">
        <v>0</v>
      </c>
      <c r="P1443" s="12">
        <v>-16.350000000000001</v>
      </c>
      <c r="Q1443" s="12">
        <v>104.177778</v>
      </c>
    </row>
    <row r="1444" spans="1:17" x14ac:dyDescent="0.3">
      <c r="A1444" s="12" t="s">
        <v>92</v>
      </c>
      <c r="B1444" s="12" t="s">
        <v>167</v>
      </c>
      <c r="C1444" s="12" t="s">
        <v>123</v>
      </c>
      <c r="D1444" s="12" t="s">
        <v>110</v>
      </c>
      <c r="E1444" s="12" t="s">
        <v>27</v>
      </c>
      <c r="F1444" s="12">
        <v>0</v>
      </c>
      <c r="G1444" s="12">
        <v>0</v>
      </c>
      <c r="H1444" s="12">
        <v>0</v>
      </c>
      <c r="I1444" s="12">
        <v>0</v>
      </c>
      <c r="J1444" s="12">
        <v>0</v>
      </c>
      <c r="K1444" s="12">
        <v>0</v>
      </c>
      <c r="L1444" s="12">
        <v>965.44904799999995</v>
      </c>
      <c r="M1444" s="12">
        <v>-273.22000000000003</v>
      </c>
      <c r="N1444" s="12">
        <v>0</v>
      </c>
      <c r="O1444" s="12">
        <v>0</v>
      </c>
      <c r="P1444" s="12">
        <v>692.22904800000003</v>
      </c>
      <c r="Q1444" s="12">
        <v>692.22904800000003</v>
      </c>
    </row>
    <row r="1445" spans="1:17" x14ac:dyDescent="0.3">
      <c r="A1445" s="12" t="s">
        <v>92</v>
      </c>
      <c r="B1445" s="12" t="s">
        <v>167</v>
      </c>
      <c r="C1445" s="12" t="s">
        <v>123</v>
      </c>
      <c r="D1445" s="12" t="s">
        <v>110</v>
      </c>
      <c r="E1445" s="12" t="s">
        <v>28</v>
      </c>
      <c r="F1445" s="12">
        <v>0</v>
      </c>
      <c r="G1445" s="12">
        <v>0</v>
      </c>
      <c r="H1445" s="12">
        <v>0</v>
      </c>
      <c r="I1445" s="12">
        <v>0</v>
      </c>
      <c r="J1445" s="12">
        <v>0</v>
      </c>
      <c r="K1445" s="12">
        <v>0</v>
      </c>
      <c r="L1445" s="12">
        <v>743.35795900000005</v>
      </c>
      <c r="M1445" s="12">
        <v>0</v>
      </c>
      <c r="N1445" s="12">
        <v>0</v>
      </c>
      <c r="O1445" s="12">
        <v>0</v>
      </c>
      <c r="P1445" s="12">
        <v>743.35795900000005</v>
      </c>
      <c r="Q1445" s="12">
        <v>743.35795900000005</v>
      </c>
    </row>
    <row r="1446" spans="1:17" x14ac:dyDescent="0.3">
      <c r="A1446" s="12" t="s">
        <v>92</v>
      </c>
      <c r="B1446" s="12" t="s">
        <v>167</v>
      </c>
      <c r="C1446" s="12" t="s">
        <v>123</v>
      </c>
      <c r="D1446" s="12" t="s">
        <v>110</v>
      </c>
      <c r="E1446" s="12" t="s">
        <v>55</v>
      </c>
      <c r="F1446" s="12">
        <v>0</v>
      </c>
      <c r="G1446" s="12">
        <v>0</v>
      </c>
      <c r="H1446" s="12">
        <v>0</v>
      </c>
      <c r="I1446" s="12">
        <v>0</v>
      </c>
      <c r="J1446" s="12">
        <v>0</v>
      </c>
      <c r="K1446" s="12">
        <v>0</v>
      </c>
      <c r="L1446" s="12">
        <v>0</v>
      </c>
      <c r="M1446" s="12">
        <v>-479.3</v>
      </c>
      <c r="N1446" s="12">
        <v>0</v>
      </c>
      <c r="O1446" s="12">
        <v>0</v>
      </c>
      <c r="P1446" s="12">
        <v>-479.3</v>
      </c>
      <c r="Q1446" s="12">
        <v>-479.3</v>
      </c>
    </row>
    <row r="1447" spans="1:17" x14ac:dyDescent="0.3">
      <c r="A1447" s="12" t="s">
        <v>92</v>
      </c>
      <c r="B1447" s="12" t="s">
        <v>167</v>
      </c>
      <c r="C1447" s="12" t="s">
        <v>123</v>
      </c>
      <c r="D1447" s="12" t="s">
        <v>110</v>
      </c>
      <c r="E1447" s="12" t="s">
        <v>50</v>
      </c>
      <c r="F1447" s="12">
        <v>0</v>
      </c>
      <c r="G1447" s="12">
        <v>0</v>
      </c>
      <c r="H1447" s="12">
        <v>0</v>
      </c>
      <c r="I1447" s="12">
        <v>0</v>
      </c>
      <c r="J1447" s="12">
        <v>0</v>
      </c>
      <c r="K1447" s="12">
        <v>0</v>
      </c>
      <c r="L1447" s="12">
        <v>0</v>
      </c>
      <c r="M1447" s="12">
        <v>-389.39</v>
      </c>
      <c r="N1447" s="12">
        <v>0</v>
      </c>
      <c r="O1447" s="12">
        <v>0</v>
      </c>
      <c r="P1447" s="12">
        <v>-389.39</v>
      </c>
      <c r="Q1447" s="12">
        <v>-389.39</v>
      </c>
    </row>
    <row r="1448" spans="1:17" x14ac:dyDescent="0.3">
      <c r="A1448" s="12" t="s">
        <v>92</v>
      </c>
      <c r="B1448" s="12" t="s">
        <v>167</v>
      </c>
      <c r="C1448" s="12" t="s">
        <v>123</v>
      </c>
      <c r="D1448" s="12" t="s">
        <v>110</v>
      </c>
      <c r="E1448" s="12" t="s">
        <v>56</v>
      </c>
      <c r="F1448" s="12">
        <v>0</v>
      </c>
      <c r="G1448" s="12">
        <v>0</v>
      </c>
      <c r="H1448" s="12">
        <v>0</v>
      </c>
      <c r="I1448" s="12">
        <v>0</v>
      </c>
      <c r="J1448" s="12">
        <v>0</v>
      </c>
      <c r="K1448" s="12">
        <v>0</v>
      </c>
      <c r="L1448" s="12">
        <v>110.65</v>
      </c>
      <c r="M1448" s="12">
        <v>0</v>
      </c>
      <c r="N1448" s="12">
        <v>0</v>
      </c>
      <c r="O1448" s="12">
        <v>0</v>
      </c>
      <c r="P1448" s="12">
        <v>110.65</v>
      </c>
      <c r="Q1448" s="12">
        <v>110.65</v>
      </c>
    </row>
    <row r="1449" spans="1:17" x14ac:dyDescent="0.3">
      <c r="A1449" s="12" t="s">
        <v>92</v>
      </c>
      <c r="B1449" s="12" t="s">
        <v>167</v>
      </c>
      <c r="C1449" s="12" t="s">
        <v>123</v>
      </c>
      <c r="D1449" s="12" t="s">
        <v>110</v>
      </c>
      <c r="E1449" s="12" t="s">
        <v>57</v>
      </c>
      <c r="F1449" s="12">
        <v>0</v>
      </c>
      <c r="G1449" s="12">
        <v>0</v>
      </c>
      <c r="H1449" s="12">
        <v>0</v>
      </c>
      <c r="I1449" s="12">
        <v>0</v>
      </c>
      <c r="J1449" s="12">
        <v>0</v>
      </c>
      <c r="K1449" s="12">
        <v>0</v>
      </c>
      <c r="L1449" s="12">
        <v>0</v>
      </c>
      <c r="M1449" s="12">
        <v>-278.75</v>
      </c>
      <c r="N1449" s="12">
        <v>0</v>
      </c>
      <c r="O1449" s="12">
        <v>0</v>
      </c>
      <c r="P1449" s="12">
        <v>-278.75</v>
      </c>
      <c r="Q1449" s="12">
        <v>-278.75</v>
      </c>
    </row>
    <row r="1450" spans="1:17" x14ac:dyDescent="0.3">
      <c r="A1450" s="12" t="s">
        <v>92</v>
      </c>
      <c r="B1450" s="12" t="s">
        <v>167</v>
      </c>
      <c r="C1450" s="12" t="s">
        <v>123</v>
      </c>
      <c r="D1450" s="12" t="s">
        <v>110</v>
      </c>
      <c r="E1450" s="12" t="s">
        <v>29</v>
      </c>
      <c r="F1450" s="12">
        <v>0</v>
      </c>
      <c r="G1450" s="12">
        <v>0</v>
      </c>
      <c r="H1450" s="12">
        <v>0</v>
      </c>
      <c r="I1450" s="12">
        <v>0</v>
      </c>
      <c r="J1450" s="12">
        <v>0</v>
      </c>
      <c r="K1450" s="12">
        <v>0</v>
      </c>
      <c r="L1450" s="12">
        <v>113.75</v>
      </c>
      <c r="M1450" s="12">
        <v>0</v>
      </c>
      <c r="N1450" s="12">
        <v>0</v>
      </c>
      <c r="O1450" s="12">
        <v>0</v>
      </c>
      <c r="P1450" s="12">
        <v>113.75</v>
      </c>
      <c r="Q1450" s="12">
        <v>113.75</v>
      </c>
    </row>
    <row r="1451" spans="1:17" x14ac:dyDescent="0.3">
      <c r="A1451" s="12" t="s">
        <v>92</v>
      </c>
      <c r="B1451" s="12" t="s">
        <v>167</v>
      </c>
      <c r="C1451" s="12" t="s">
        <v>123</v>
      </c>
      <c r="D1451" s="12" t="s">
        <v>110</v>
      </c>
      <c r="E1451" s="12" t="s">
        <v>39</v>
      </c>
      <c r="F1451" s="12">
        <v>0</v>
      </c>
      <c r="G1451" s="12">
        <v>0</v>
      </c>
      <c r="H1451" s="12">
        <v>0</v>
      </c>
      <c r="I1451" s="12">
        <v>0</v>
      </c>
      <c r="J1451" s="12">
        <v>0</v>
      </c>
      <c r="K1451" s="12">
        <v>0</v>
      </c>
      <c r="L1451" s="12">
        <v>485.5</v>
      </c>
      <c r="M1451" s="12">
        <v>-21.25</v>
      </c>
      <c r="N1451" s="12">
        <v>0</v>
      </c>
      <c r="O1451" s="12">
        <v>0</v>
      </c>
      <c r="P1451" s="12">
        <v>464.25</v>
      </c>
      <c r="Q1451" s="12">
        <v>464.25</v>
      </c>
    </row>
    <row r="1452" spans="1:17" x14ac:dyDescent="0.3">
      <c r="A1452" s="12" t="s">
        <v>92</v>
      </c>
      <c r="B1452" s="12" t="s">
        <v>167</v>
      </c>
      <c r="C1452" s="12" t="s">
        <v>123</v>
      </c>
      <c r="D1452" s="12" t="s">
        <v>110</v>
      </c>
      <c r="E1452" s="12" t="s">
        <v>30</v>
      </c>
      <c r="F1452" s="12">
        <v>0</v>
      </c>
      <c r="G1452" s="12">
        <v>0</v>
      </c>
      <c r="H1452" s="12">
        <v>0</v>
      </c>
      <c r="I1452" s="12">
        <v>0</v>
      </c>
      <c r="J1452" s="12">
        <v>0</v>
      </c>
      <c r="K1452" s="12">
        <v>0</v>
      </c>
      <c r="L1452" s="12">
        <v>0</v>
      </c>
      <c r="M1452" s="12">
        <v>-255.71</v>
      </c>
      <c r="N1452" s="12">
        <v>0</v>
      </c>
      <c r="O1452" s="12">
        <v>0</v>
      </c>
      <c r="P1452" s="12">
        <v>-255.71</v>
      </c>
      <c r="Q1452" s="12">
        <v>-255.71</v>
      </c>
    </row>
    <row r="1453" spans="1:17" x14ac:dyDescent="0.3">
      <c r="A1453" s="12" t="s">
        <v>92</v>
      </c>
      <c r="B1453" s="12" t="s">
        <v>167</v>
      </c>
      <c r="C1453" s="12" t="s">
        <v>123</v>
      </c>
      <c r="D1453" s="12" t="s">
        <v>110</v>
      </c>
      <c r="E1453" s="12" t="s">
        <v>51</v>
      </c>
      <c r="F1453" s="12">
        <v>0</v>
      </c>
      <c r="G1453" s="12">
        <v>0</v>
      </c>
      <c r="H1453" s="12">
        <v>-232.35</v>
      </c>
      <c r="I1453" s="12">
        <v>0</v>
      </c>
      <c r="J1453" s="12">
        <v>0</v>
      </c>
      <c r="K1453" s="12">
        <v>-232.35</v>
      </c>
      <c r="L1453" s="12">
        <v>0</v>
      </c>
      <c r="M1453" s="12">
        <v>0</v>
      </c>
      <c r="N1453" s="12">
        <v>0</v>
      </c>
      <c r="O1453" s="12">
        <v>0</v>
      </c>
      <c r="P1453" s="12">
        <v>0</v>
      </c>
      <c r="Q1453" s="12">
        <v>-232.35</v>
      </c>
    </row>
    <row r="1454" spans="1:17" x14ac:dyDescent="0.3">
      <c r="A1454" s="12" t="s">
        <v>92</v>
      </c>
      <c r="B1454" s="12" t="s">
        <v>167</v>
      </c>
      <c r="C1454" s="12" t="s">
        <v>123</v>
      </c>
      <c r="D1454" s="12" t="s">
        <v>110</v>
      </c>
      <c r="E1454" s="12" t="s">
        <v>32</v>
      </c>
      <c r="F1454" s="12">
        <v>0</v>
      </c>
      <c r="G1454" s="12">
        <v>0</v>
      </c>
      <c r="H1454" s="12">
        <v>0</v>
      </c>
      <c r="I1454" s="12">
        <v>0</v>
      </c>
      <c r="J1454" s="12">
        <v>0</v>
      </c>
      <c r="K1454" s="12">
        <v>0</v>
      </c>
      <c r="L1454" s="12">
        <v>139.70150899999999</v>
      </c>
      <c r="M1454" s="12">
        <v>-47.41</v>
      </c>
      <c r="N1454" s="12">
        <v>0</v>
      </c>
      <c r="O1454" s="12">
        <v>0</v>
      </c>
      <c r="P1454" s="12">
        <v>92.291509000000005</v>
      </c>
      <c r="Q1454" s="12">
        <v>92.291509000000005</v>
      </c>
    </row>
    <row r="1455" spans="1:17" x14ac:dyDescent="0.3">
      <c r="A1455" s="12" t="s">
        <v>92</v>
      </c>
      <c r="B1455" s="12" t="s">
        <v>167</v>
      </c>
      <c r="C1455" s="12" t="s">
        <v>123</v>
      </c>
      <c r="D1455" s="12" t="s">
        <v>110</v>
      </c>
      <c r="E1455" s="12" t="s">
        <v>40</v>
      </c>
      <c r="F1455" s="12">
        <v>0</v>
      </c>
      <c r="G1455" s="12">
        <v>0</v>
      </c>
      <c r="H1455" s="12">
        <v>-170.6</v>
      </c>
      <c r="I1455" s="12">
        <v>0</v>
      </c>
      <c r="J1455" s="12">
        <v>0</v>
      </c>
      <c r="K1455" s="12">
        <v>-170.6</v>
      </c>
      <c r="L1455" s="12">
        <v>0</v>
      </c>
      <c r="M1455" s="12">
        <v>0</v>
      </c>
      <c r="N1455" s="12">
        <v>0</v>
      </c>
      <c r="O1455" s="12">
        <v>0</v>
      </c>
      <c r="P1455" s="12">
        <v>0</v>
      </c>
      <c r="Q1455" s="12">
        <v>-170.6</v>
      </c>
    </row>
    <row r="1456" spans="1:17" x14ac:dyDescent="0.3">
      <c r="A1456" s="12" t="s">
        <v>92</v>
      </c>
      <c r="B1456" s="12" t="s">
        <v>167</v>
      </c>
      <c r="C1456" s="12" t="s">
        <v>123</v>
      </c>
      <c r="D1456" s="12" t="s">
        <v>110</v>
      </c>
      <c r="E1456" s="12" t="s">
        <v>34</v>
      </c>
      <c r="F1456" s="12">
        <v>0</v>
      </c>
      <c r="G1456" s="12">
        <v>30.335882349999999</v>
      </c>
      <c r="H1456" s="12">
        <v>-23.085882349999999</v>
      </c>
      <c r="I1456" s="12">
        <v>0</v>
      </c>
      <c r="J1456" s="12">
        <v>0</v>
      </c>
      <c r="K1456" s="12">
        <v>7.25</v>
      </c>
      <c r="L1456" s="12">
        <v>0</v>
      </c>
      <c r="M1456" s="12">
        <v>0</v>
      </c>
      <c r="N1456" s="12">
        <v>0</v>
      </c>
      <c r="O1456" s="12">
        <v>0</v>
      </c>
      <c r="P1456" s="12">
        <v>0</v>
      </c>
      <c r="Q1456" s="12">
        <v>7.25</v>
      </c>
    </row>
    <row r="1457" spans="1:17" x14ac:dyDescent="0.3">
      <c r="A1457" s="12" t="s">
        <v>92</v>
      </c>
      <c r="B1457" s="12" t="s">
        <v>167</v>
      </c>
      <c r="C1457" s="12" t="s">
        <v>123</v>
      </c>
      <c r="D1457" s="12" t="s">
        <v>110</v>
      </c>
      <c r="E1457" s="12" t="s">
        <v>41</v>
      </c>
      <c r="F1457" s="12">
        <v>0</v>
      </c>
      <c r="G1457" s="12">
        <v>505.4</v>
      </c>
      <c r="H1457" s="12">
        <v>0</v>
      </c>
      <c r="I1457" s="12">
        <v>0</v>
      </c>
      <c r="J1457" s="12">
        <v>0</v>
      </c>
      <c r="K1457" s="12">
        <v>505.4</v>
      </c>
      <c r="L1457" s="12">
        <v>0</v>
      </c>
      <c r="M1457" s="12">
        <v>-778.4</v>
      </c>
      <c r="N1457" s="12">
        <v>0</v>
      </c>
      <c r="O1457" s="12">
        <v>0</v>
      </c>
      <c r="P1457" s="12">
        <v>-778.4</v>
      </c>
      <c r="Q1457" s="12">
        <v>-273</v>
      </c>
    </row>
    <row r="1458" spans="1:17" x14ac:dyDescent="0.3">
      <c r="A1458" s="12" t="s">
        <v>92</v>
      </c>
      <c r="B1458" s="12" t="s">
        <v>167</v>
      </c>
      <c r="C1458" s="12" t="s">
        <v>123</v>
      </c>
      <c r="D1458" s="12" t="s">
        <v>110</v>
      </c>
      <c r="E1458" s="12" t="s">
        <v>42</v>
      </c>
      <c r="F1458" s="12">
        <v>0</v>
      </c>
      <c r="G1458" s="12">
        <v>0</v>
      </c>
      <c r="H1458" s="12">
        <v>0</v>
      </c>
      <c r="I1458" s="12">
        <v>0</v>
      </c>
      <c r="J1458" s="12">
        <v>0</v>
      </c>
      <c r="K1458" s="12">
        <v>0</v>
      </c>
      <c r="L1458" s="12">
        <v>0</v>
      </c>
      <c r="M1458" s="12">
        <v>-415.35</v>
      </c>
      <c r="N1458" s="12">
        <v>0</v>
      </c>
      <c r="O1458" s="12">
        <v>0</v>
      </c>
      <c r="P1458" s="12">
        <v>-415.35</v>
      </c>
      <c r="Q1458" s="12">
        <v>-415.35</v>
      </c>
    </row>
    <row r="1459" spans="1:17" x14ac:dyDescent="0.3">
      <c r="A1459" s="12" t="s">
        <v>92</v>
      </c>
      <c r="B1459" s="12" t="s">
        <v>167</v>
      </c>
      <c r="C1459" s="12" t="s">
        <v>123</v>
      </c>
      <c r="D1459" s="12" t="s">
        <v>110</v>
      </c>
      <c r="E1459" s="12" t="s">
        <v>43</v>
      </c>
      <c r="F1459" s="12">
        <v>0</v>
      </c>
      <c r="G1459" s="12">
        <v>0</v>
      </c>
      <c r="H1459" s="12">
        <v>0</v>
      </c>
      <c r="I1459" s="12">
        <v>0</v>
      </c>
      <c r="J1459" s="12">
        <v>0</v>
      </c>
      <c r="K1459" s="12">
        <v>0</v>
      </c>
      <c r="L1459" s="12">
        <v>449.9</v>
      </c>
      <c r="M1459" s="12">
        <v>0</v>
      </c>
      <c r="N1459" s="12">
        <v>0</v>
      </c>
      <c r="O1459" s="12">
        <v>0</v>
      </c>
      <c r="P1459" s="12">
        <v>449.9</v>
      </c>
      <c r="Q1459" s="12">
        <v>449.9</v>
      </c>
    </row>
    <row r="1460" spans="1:17" x14ac:dyDescent="0.3">
      <c r="A1460" s="12" t="s">
        <v>92</v>
      </c>
      <c r="B1460" s="12" t="s">
        <v>167</v>
      </c>
      <c r="C1460" s="12" t="s">
        <v>123</v>
      </c>
      <c r="D1460" s="12" t="s">
        <v>110</v>
      </c>
      <c r="E1460" s="12" t="s">
        <v>44</v>
      </c>
      <c r="F1460" s="12">
        <v>0</v>
      </c>
      <c r="G1460" s="12">
        <v>0</v>
      </c>
      <c r="H1460" s="12">
        <v>0</v>
      </c>
      <c r="I1460" s="12">
        <v>0</v>
      </c>
      <c r="J1460" s="12">
        <v>0</v>
      </c>
      <c r="K1460" s="12">
        <v>0</v>
      </c>
      <c r="L1460" s="12">
        <v>0</v>
      </c>
      <c r="M1460" s="12">
        <v>-169.85</v>
      </c>
      <c r="N1460" s="12">
        <v>0</v>
      </c>
      <c r="O1460" s="12">
        <v>0</v>
      </c>
      <c r="P1460" s="12">
        <v>-169.85</v>
      </c>
      <c r="Q1460" s="12">
        <v>-169.85</v>
      </c>
    </row>
    <row r="1461" spans="1:17" x14ac:dyDescent="0.3">
      <c r="A1461" s="12" t="s">
        <v>92</v>
      </c>
      <c r="B1461" s="12" t="s">
        <v>167</v>
      </c>
      <c r="C1461" s="12" t="s">
        <v>123</v>
      </c>
      <c r="D1461" s="12" t="s">
        <v>110</v>
      </c>
      <c r="E1461" s="12" t="s">
        <v>35</v>
      </c>
      <c r="F1461" s="12">
        <v>0</v>
      </c>
      <c r="G1461" s="12">
        <v>1476.4</v>
      </c>
      <c r="H1461" s="12">
        <v>0</v>
      </c>
      <c r="I1461" s="12">
        <v>0</v>
      </c>
      <c r="J1461" s="12">
        <v>0</v>
      </c>
      <c r="K1461" s="12">
        <v>1476.4</v>
      </c>
      <c r="L1461" s="12">
        <v>0</v>
      </c>
      <c r="M1461" s="12">
        <v>0</v>
      </c>
      <c r="N1461" s="12">
        <v>0</v>
      </c>
      <c r="O1461" s="12">
        <v>0</v>
      </c>
      <c r="P1461" s="12">
        <v>0</v>
      </c>
      <c r="Q1461" s="12">
        <v>1476.4</v>
      </c>
    </row>
    <row r="1462" spans="1:17" x14ac:dyDescent="0.3">
      <c r="A1462" s="12" t="s">
        <v>92</v>
      </c>
      <c r="B1462" s="12" t="s">
        <v>167</v>
      </c>
      <c r="C1462" s="12" t="s">
        <v>123</v>
      </c>
      <c r="D1462" s="12" t="s">
        <v>97</v>
      </c>
      <c r="F1462" s="12">
        <v>0</v>
      </c>
      <c r="G1462" s="12">
        <v>5726.6866741499998</v>
      </c>
      <c r="H1462" s="12">
        <v>-801.97088235000001</v>
      </c>
      <c r="I1462" s="12">
        <v>0</v>
      </c>
      <c r="J1462" s="12">
        <v>0</v>
      </c>
      <c r="K1462" s="12">
        <v>4924.7157918000003</v>
      </c>
      <c r="L1462" s="12">
        <v>9415.5794879999994</v>
      </c>
      <c r="M1462" s="12">
        <v>-5502.29</v>
      </c>
      <c r="N1462" s="12">
        <v>0</v>
      </c>
      <c r="O1462" s="12">
        <v>0</v>
      </c>
      <c r="P1462" s="12">
        <v>3913.2894879999999</v>
      </c>
      <c r="Q1462" s="12">
        <v>8838.0052797999997</v>
      </c>
    </row>
    <row r="1463" spans="1:17" x14ac:dyDescent="0.3">
      <c r="A1463" s="12" t="s">
        <v>92</v>
      </c>
      <c r="B1463" s="12" t="s">
        <v>167</v>
      </c>
      <c r="C1463" s="12" t="s">
        <v>123</v>
      </c>
      <c r="D1463" s="12" t="s">
        <v>112</v>
      </c>
      <c r="E1463" s="12" t="s">
        <v>52</v>
      </c>
      <c r="F1463" s="12">
        <v>0</v>
      </c>
      <c r="G1463" s="12">
        <v>414</v>
      </c>
      <c r="H1463" s="12">
        <v>0</v>
      </c>
      <c r="I1463" s="12">
        <v>0</v>
      </c>
      <c r="J1463" s="12">
        <v>0</v>
      </c>
      <c r="K1463" s="12">
        <v>414</v>
      </c>
      <c r="L1463" s="12">
        <v>2844</v>
      </c>
      <c r="M1463" s="12">
        <v>0</v>
      </c>
      <c r="N1463" s="12">
        <v>0</v>
      </c>
      <c r="O1463" s="12">
        <v>0</v>
      </c>
      <c r="P1463" s="12">
        <v>2844</v>
      </c>
      <c r="Q1463" s="12">
        <v>3258</v>
      </c>
    </row>
    <row r="1464" spans="1:17" x14ac:dyDescent="0.3">
      <c r="A1464" s="12" t="s">
        <v>92</v>
      </c>
      <c r="B1464" s="12" t="s">
        <v>167</v>
      </c>
      <c r="C1464" s="12" t="s">
        <v>123</v>
      </c>
      <c r="D1464" s="12" t="s">
        <v>112</v>
      </c>
      <c r="E1464" s="12" t="s">
        <v>53</v>
      </c>
      <c r="F1464" s="12">
        <v>0</v>
      </c>
      <c r="G1464" s="12">
        <v>0</v>
      </c>
      <c r="H1464" s="12">
        <v>0</v>
      </c>
      <c r="I1464" s="12">
        <v>0</v>
      </c>
      <c r="J1464" s="12">
        <v>0</v>
      </c>
      <c r="K1464" s="12">
        <v>0</v>
      </c>
      <c r="L1464" s="12">
        <v>1956</v>
      </c>
      <c r="M1464" s="12">
        <v>0</v>
      </c>
      <c r="N1464" s="12">
        <v>0</v>
      </c>
      <c r="O1464" s="12">
        <v>0</v>
      </c>
      <c r="P1464" s="12">
        <v>1956</v>
      </c>
      <c r="Q1464" s="12">
        <v>1956</v>
      </c>
    </row>
    <row r="1465" spans="1:17" x14ac:dyDescent="0.3">
      <c r="A1465" s="12" t="s">
        <v>92</v>
      </c>
      <c r="B1465" s="12" t="s">
        <v>167</v>
      </c>
      <c r="C1465" s="12" t="s">
        <v>123</v>
      </c>
      <c r="D1465" s="12" t="s">
        <v>97</v>
      </c>
      <c r="F1465" s="12">
        <v>0</v>
      </c>
      <c r="G1465" s="12">
        <v>414</v>
      </c>
      <c r="H1465" s="12">
        <v>0</v>
      </c>
      <c r="I1465" s="12">
        <v>0</v>
      </c>
      <c r="J1465" s="12">
        <v>0</v>
      </c>
      <c r="K1465" s="12">
        <v>414</v>
      </c>
      <c r="L1465" s="12">
        <v>4800</v>
      </c>
      <c r="M1465" s="12">
        <v>0</v>
      </c>
      <c r="N1465" s="12">
        <v>0</v>
      </c>
      <c r="O1465" s="12">
        <v>0</v>
      </c>
      <c r="P1465" s="12">
        <v>4800</v>
      </c>
      <c r="Q1465" s="12">
        <v>5214</v>
      </c>
    </row>
    <row r="1466" spans="1:17" x14ac:dyDescent="0.3">
      <c r="A1466" s="12" t="s">
        <v>92</v>
      </c>
      <c r="B1466" s="12" t="s">
        <v>167</v>
      </c>
      <c r="C1466" s="12" t="s">
        <v>123</v>
      </c>
      <c r="D1466" s="12" t="s">
        <v>115</v>
      </c>
      <c r="F1466" s="12">
        <v>0</v>
      </c>
      <c r="G1466" s="12">
        <v>6140.6866741499998</v>
      </c>
      <c r="H1466" s="12">
        <v>-801.97088235000001</v>
      </c>
      <c r="I1466" s="12">
        <v>0</v>
      </c>
      <c r="J1466" s="12">
        <v>0</v>
      </c>
      <c r="K1466" s="12">
        <v>5338.7157918000003</v>
      </c>
      <c r="L1466" s="12">
        <v>14215.579487999999</v>
      </c>
      <c r="M1466" s="12">
        <v>-5502.29</v>
      </c>
      <c r="N1466" s="12">
        <v>0</v>
      </c>
      <c r="O1466" s="12">
        <v>0</v>
      </c>
      <c r="P1466" s="12">
        <v>8713.2894880000003</v>
      </c>
      <c r="Q1466" s="12">
        <v>14052.0052798</v>
      </c>
    </row>
    <row r="1467" spans="1:17" x14ac:dyDescent="0.3">
      <c r="A1467" s="12" t="s">
        <v>92</v>
      </c>
      <c r="B1467" s="12" t="s">
        <v>179</v>
      </c>
      <c r="C1467" s="12" t="s">
        <v>120</v>
      </c>
      <c r="D1467" s="12" t="s">
        <v>180</v>
      </c>
      <c r="E1467" s="12" t="s">
        <v>181</v>
      </c>
      <c r="F1467" s="12" t="s">
        <v>97</v>
      </c>
      <c r="G1467" s="12" t="s">
        <v>182</v>
      </c>
      <c r="H1467" s="12" t="s">
        <v>112</v>
      </c>
    </row>
    <row r="1468" spans="1:17" x14ac:dyDescent="0.3">
      <c r="A1468" s="12" t="s">
        <v>92</v>
      </c>
      <c r="B1468" s="12" t="s">
        <v>179</v>
      </c>
      <c r="C1468" s="12" t="s">
        <v>123</v>
      </c>
      <c r="D1468" s="12" t="s">
        <v>183</v>
      </c>
      <c r="E1468" s="12" t="s">
        <v>184</v>
      </c>
      <c r="F1468" s="12">
        <v>9708.4930000000004</v>
      </c>
      <c r="G1468" s="12">
        <v>-2854.4969999999998</v>
      </c>
      <c r="H1468" s="12">
        <v>12562.99</v>
      </c>
    </row>
    <row r="1469" spans="1:17" x14ac:dyDescent="0.3">
      <c r="A1469" s="12" t="s">
        <v>92</v>
      </c>
      <c r="B1469" s="12" t="s">
        <v>179</v>
      </c>
      <c r="C1469" s="12" t="s">
        <v>123</v>
      </c>
      <c r="D1469" s="12" t="s">
        <v>162</v>
      </c>
      <c r="E1469" s="12" t="s">
        <v>184</v>
      </c>
      <c r="F1469" s="12">
        <v>-48.7</v>
      </c>
      <c r="G1469" s="12">
        <v>-45.7</v>
      </c>
      <c r="H1469" s="12">
        <v>-3</v>
      </c>
    </row>
    <row r="1470" spans="1:17" x14ac:dyDescent="0.3">
      <c r="A1470" s="12" t="s">
        <v>92</v>
      </c>
      <c r="B1470" s="12" t="s">
        <v>179</v>
      </c>
      <c r="C1470" s="12" t="s">
        <v>123</v>
      </c>
      <c r="D1470" s="12" t="s">
        <v>185</v>
      </c>
      <c r="E1470" s="12" t="s">
        <v>184</v>
      </c>
      <c r="F1470" s="12">
        <v>0</v>
      </c>
      <c r="G1470" s="12">
        <v>-221.97</v>
      </c>
      <c r="H1470" s="12">
        <v>221.97</v>
      </c>
    </row>
    <row r="1471" spans="1:17" x14ac:dyDescent="0.3">
      <c r="A1471" s="12" t="s">
        <v>92</v>
      </c>
      <c r="B1471" s="12" t="s">
        <v>179</v>
      </c>
      <c r="C1471" s="12" t="s">
        <v>123</v>
      </c>
      <c r="D1471" s="12" t="s">
        <v>157</v>
      </c>
      <c r="E1471" s="12" t="s">
        <v>184</v>
      </c>
      <c r="F1471" s="12">
        <v>123</v>
      </c>
      <c r="G1471" s="12">
        <v>123</v>
      </c>
      <c r="H1471" s="12">
        <v>0</v>
      </c>
    </row>
    <row r="1472" spans="1:17" x14ac:dyDescent="0.3">
      <c r="A1472" s="12" t="s">
        <v>92</v>
      </c>
      <c r="B1472" s="12" t="s">
        <v>179</v>
      </c>
      <c r="C1472" s="12" t="s">
        <v>123</v>
      </c>
      <c r="D1472" s="12" t="s">
        <v>116</v>
      </c>
      <c r="E1472" s="12" t="s">
        <v>184</v>
      </c>
      <c r="F1472" s="12">
        <v>15.58</v>
      </c>
      <c r="G1472" s="12">
        <v>15.58</v>
      </c>
      <c r="H1472" s="12">
        <v>0</v>
      </c>
    </row>
    <row r="1473" spans="1:15" x14ac:dyDescent="0.3">
      <c r="A1473" s="12" t="s">
        <v>92</v>
      </c>
      <c r="B1473" s="12" t="s">
        <v>179</v>
      </c>
      <c r="C1473" s="12" t="s">
        <v>123</v>
      </c>
      <c r="D1473" s="12" t="s">
        <v>186</v>
      </c>
      <c r="E1473" s="12" t="s">
        <v>184</v>
      </c>
      <c r="F1473" s="12">
        <v>11182.5</v>
      </c>
      <c r="G1473" s="12">
        <v>0</v>
      </c>
      <c r="H1473" s="12">
        <v>11182.5</v>
      </c>
    </row>
    <row r="1474" spans="1:15" x14ac:dyDescent="0.3">
      <c r="A1474" s="12" t="s">
        <v>92</v>
      </c>
      <c r="B1474" s="12" t="s">
        <v>179</v>
      </c>
      <c r="C1474" s="12" t="s">
        <v>123</v>
      </c>
      <c r="D1474" s="12" t="s">
        <v>187</v>
      </c>
      <c r="E1474" s="12" t="s">
        <v>184</v>
      </c>
      <c r="F1474" s="12">
        <v>71466.375625000001</v>
      </c>
      <c r="G1474" s="12">
        <v>71466.375625000001</v>
      </c>
      <c r="H1474" s="12">
        <v>0</v>
      </c>
    </row>
    <row r="1475" spans="1:15" x14ac:dyDescent="0.3">
      <c r="A1475" s="12" t="s">
        <v>92</v>
      </c>
      <c r="B1475" s="12" t="s">
        <v>179</v>
      </c>
      <c r="C1475" s="12" t="s">
        <v>123</v>
      </c>
      <c r="D1475" s="12" t="s">
        <v>188</v>
      </c>
      <c r="E1475" s="12" t="s">
        <v>184</v>
      </c>
      <c r="F1475" s="12">
        <v>-51108.77</v>
      </c>
      <c r="G1475" s="12">
        <v>-51108.77</v>
      </c>
      <c r="H1475" s="12">
        <v>0</v>
      </c>
    </row>
    <row r="1476" spans="1:15" x14ac:dyDescent="0.3">
      <c r="A1476" s="12" t="s">
        <v>92</v>
      </c>
      <c r="B1476" s="12" t="s">
        <v>179</v>
      </c>
      <c r="C1476" s="12" t="s">
        <v>123</v>
      </c>
      <c r="D1476" s="12" t="s">
        <v>158</v>
      </c>
      <c r="E1476" s="12" t="s">
        <v>184</v>
      </c>
      <c r="F1476" s="12">
        <v>-30.76</v>
      </c>
      <c r="G1476" s="12">
        <v>-30.76</v>
      </c>
      <c r="H1476" s="12">
        <v>0</v>
      </c>
    </row>
    <row r="1477" spans="1:15" x14ac:dyDescent="0.3">
      <c r="A1477" s="12" t="s">
        <v>92</v>
      </c>
      <c r="B1477" s="12" t="s">
        <v>179</v>
      </c>
      <c r="C1477" s="12" t="s">
        <v>123</v>
      </c>
      <c r="D1477" s="12" t="s">
        <v>189</v>
      </c>
      <c r="E1477" s="12" t="s">
        <v>184</v>
      </c>
      <c r="F1477" s="12">
        <v>41307.718625000001</v>
      </c>
      <c r="G1477" s="12">
        <v>17343.258624999999</v>
      </c>
      <c r="H1477" s="12">
        <v>23964.46</v>
      </c>
    </row>
    <row r="1478" spans="1:15" x14ac:dyDescent="0.3">
      <c r="A1478" s="12" t="s">
        <v>92</v>
      </c>
      <c r="B1478" s="12" t="s">
        <v>179</v>
      </c>
      <c r="C1478" s="12" t="s">
        <v>123</v>
      </c>
      <c r="D1478" s="12" t="s">
        <v>190</v>
      </c>
      <c r="E1478" s="12" t="s">
        <v>184</v>
      </c>
      <c r="F1478" s="12">
        <v>41068.563625000003</v>
      </c>
      <c r="G1478" s="12">
        <v>20570.103625</v>
      </c>
      <c r="H1478" s="12">
        <v>20498.46</v>
      </c>
    </row>
    <row r="1479" spans="1:15" x14ac:dyDescent="0.3">
      <c r="A1479" s="12" t="s">
        <v>92</v>
      </c>
      <c r="B1479" s="12" t="s">
        <v>191</v>
      </c>
      <c r="C1479" s="12" t="s">
        <v>120</v>
      </c>
      <c r="D1479" s="12" t="s">
        <v>192</v>
      </c>
      <c r="E1479" s="12" t="s">
        <v>100</v>
      </c>
      <c r="F1479" s="12" t="s">
        <v>181</v>
      </c>
      <c r="G1479" s="12" t="s">
        <v>0</v>
      </c>
      <c r="H1479" s="12" t="s">
        <v>193</v>
      </c>
      <c r="I1479" s="12" t="s">
        <v>194</v>
      </c>
      <c r="J1479" s="12" t="s">
        <v>195</v>
      </c>
      <c r="K1479" s="12" t="s">
        <v>196</v>
      </c>
      <c r="L1479" s="12" t="s">
        <v>197</v>
      </c>
      <c r="M1479" s="12" t="s">
        <v>198</v>
      </c>
      <c r="N1479" s="12" t="s">
        <v>199</v>
      </c>
      <c r="O1479" s="12" t="s">
        <v>165</v>
      </c>
    </row>
    <row r="1480" spans="1:15" x14ac:dyDescent="0.3">
      <c r="A1480" s="12" t="s">
        <v>92</v>
      </c>
      <c r="B1480" s="12" t="s">
        <v>191</v>
      </c>
      <c r="C1480" s="12" t="s">
        <v>123</v>
      </c>
      <c r="D1480" s="12" t="s">
        <v>200</v>
      </c>
      <c r="E1480" s="12" t="s">
        <v>110</v>
      </c>
      <c r="F1480" s="12" t="s">
        <v>114</v>
      </c>
      <c r="G1480" s="12" t="s">
        <v>2</v>
      </c>
      <c r="H1480" s="12">
        <v>36</v>
      </c>
      <c r="I1480" s="12">
        <v>1</v>
      </c>
      <c r="J1480" s="12">
        <v>183.7</v>
      </c>
      <c r="K1480" s="12">
        <v>6613.2</v>
      </c>
      <c r="L1480" s="12">
        <v>170.33</v>
      </c>
      <c r="M1480" s="12">
        <v>6131.88</v>
      </c>
      <c r="N1480" s="12">
        <v>-481.32</v>
      </c>
    </row>
    <row r="1481" spans="1:15" x14ac:dyDescent="0.3">
      <c r="A1481" s="12" t="s">
        <v>92</v>
      </c>
      <c r="B1481" s="12" t="s">
        <v>191</v>
      </c>
      <c r="C1481" s="12" t="s">
        <v>123</v>
      </c>
      <c r="D1481" s="12" t="s">
        <v>200</v>
      </c>
      <c r="E1481" s="12" t="s">
        <v>110</v>
      </c>
      <c r="F1481" s="12" t="s">
        <v>114</v>
      </c>
      <c r="G1481" s="12" t="s">
        <v>45</v>
      </c>
      <c r="H1481" s="12">
        <v>15</v>
      </c>
      <c r="I1481" s="12">
        <v>1</v>
      </c>
      <c r="J1481" s="12">
        <v>171.66800000000001</v>
      </c>
      <c r="K1481" s="12">
        <v>2575.02</v>
      </c>
      <c r="L1481" s="12">
        <v>158.38</v>
      </c>
      <c r="M1481" s="12">
        <v>2375.6999999999998</v>
      </c>
      <c r="N1481" s="12">
        <v>-199.32</v>
      </c>
    </row>
    <row r="1482" spans="1:15" x14ac:dyDescent="0.3">
      <c r="A1482" s="12" t="s">
        <v>92</v>
      </c>
      <c r="B1482" s="12" t="s">
        <v>191</v>
      </c>
      <c r="C1482" s="12" t="s">
        <v>123</v>
      </c>
      <c r="D1482" s="12" t="s">
        <v>200</v>
      </c>
      <c r="E1482" s="12" t="s">
        <v>110</v>
      </c>
      <c r="F1482" s="12" t="s">
        <v>114</v>
      </c>
      <c r="G1482" s="12" t="s">
        <v>5</v>
      </c>
      <c r="H1482" s="12">
        <v>28</v>
      </c>
      <c r="I1482" s="12">
        <v>1</v>
      </c>
      <c r="J1482" s="12">
        <v>160.892678571</v>
      </c>
      <c r="K1482" s="12">
        <v>4504.9949999999999</v>
      </c>
      <c r="L1482" s="12">
        <v>175</v>
      </c>
      <c r="M1482" s="12">
        <v>4900</v>
      </c>
      <c r="N1482" s="12">
        <v>395.005</v>
      </c>
    </row>
    <row r="1483" spans="1:15" x14ac:dyDescent="0.3">
      <c r="A1483" s="12" t="s">
        <v>92</v>
      </c>
      <c r="B1483" s="12" t="s">
        <v>191</v>
      </c>
      <c r="C1483" s="12" t="s">
        <v>123</v>
      </c>
      <c r="D1483" s="12" t="s">
        <v>200</v>
      </c>
      <c r="E1483" s="12" t="s">
        <v>110</v>
      </c>
      <c r="F1483" s="12" t="s">
        <v>114</v>
      </c>
      <c r="G1483" s="12" t="s">
        <v>7</v>
      </c>
      <c r="H1483" s="12">
        <v>6</v>
      </c>
      <c r="I1483" s="12">
        <v>1</v>
      </c>
      <c r="J1483" s="12">
        <v>1347.6</v>
      </c>
      <c r="K1483" s="12">
        <v>8085.6</v>
      </c>
      <c r="L1483" s="12">
        <v>1300.27</v>
      </c>
      <c r="M1483" s="12">
        <v>7801.62</v>
      </c>
      <c r="N1483" s="12">
        <v>-283.98</v>
      </c>
    </row>
    <row r="1484" spans="1:15" x14ac:dyDescent="0.3">
      <c r="A1484" s="12" t="s">
        <v>92</v>
      </c>
      <c r="B1484" s="12" t="s">
        <v>191</v>
      </c>
      <c r="C1484" s="12" t="s">
        <v>123</v>
      </c>
      <c r="D1484" s="12" t="s">
        <v>200</v>
      </c>
      <c r="E1484" s="12" t="s">
        <v>110</v>
      </c>
      <c r="F1484" s="12" t="s">
        <v>114</v>
      </c>
      <c r="G1484" s="12" t="s">
        <v>8</v>
      </c>
      <c r="H1484" s="12">
        <v>281</v>
      </c>
      <c r="I1484" s="12">
        <v>1</v>
      </c>
      <c r="J1484" s="12">
        <v>32.978423487999997</v>
      </c>
      <c r="K1484" s="12">
        <v>9266.9369999999999</v>
      </c>
      <c r="L1484" s="12">
        <v>37.01</v>
      </c>
      <c r="M1484" s="12">
        <v>10399.81</v>
      </c>
      <c r="N1484" s="12">
        <v>1132.873</v>
      </c>
    </row>
    <row r="1485" spans="1:15" x14ac:dyDescent="0.3">
      <c r="A1485" s="12" t="s">
        <v>92</v>
      </c>
      <c r="B1485" s="12" t="s">
        <v>191</v>
      </c>
      <c r="C1485" s="12" t="s">
        <v>123</v>
      </c>
      <c r="D1485" s="12" t="s">
        <v>200</v>
      </c>
      <c r="E1485" s="12" t="s">
        <v>110</v>
      </c>
      <c r="F1485" s="12" t="s">
        <v>114</v>
      </c>
      <c r="G1485" s="12" t="s">
        <v>3</v>
      </c>
      <c r="H1485" s="12">
        <v>166</v>
      </c>
      <c r="I1485" s="12">
        <v>1</v>
      </c>
      <c r="J1485" s="12">
        <v>57.494032885999999</v>
      </c>
      <c r="K1485" s="12">
        <v>9544.0094590000008</v>
      </c>
      <c r="L1485" s="12">
        <v>61.33</v>
      </c>
      <c r="M1485" s="12">
        <v>10180.780000000001</v>
      </c>
      <c r="N1485" s="12">
        <v>636.77054099999998</v>
      </c>
    </row>
    <row r="1486" spans="1:15" x14ac:dyDescent="0.3">
      <c r="A1486" s="12" t="s">
        <v>92</v>
      </c>
      <c r="B1486" s="12" t="s">
        <v>191</v>
      </c>
      <c r="C1486" s="12" t="s">
        <v>123</v>
      </c>
      <c r="D1486" s="12" t="s">
        <v>200</v>
      </c>
      <c r="E1486" s="12" t="s">
        <v>110</v>
      </c>
      <c r="F1486" s="12" t="s">
        <v>114</v>
      </c>
      <c r="G1486" s="12" t="s">
        <v>46</v>
      </c>
      <c r="H1486" s="12">
        <v>19</v>
      </c>
      <c r="I1486" s="12">
        <v>1</v>
      </c>
      <c r="J1486" s="12">
        <v>348.10631578900001</v>
      </c>
      <c r="K1486" s="12">
        <v>6614.02</v>
      </c>
      <c r="L1486" s="12">
        <v>334.57</v>
      </c>
      <c r="M1486" s="12">
        <v>6356.83</v>
      </c>
      <c r="N1486" s="12">
        <v>-257.19</v>
      </c>
    </row>
    <row r="1487" spans="1:15" x14ac:dyDescent="0.3">
      <c r="A1487" s="12" t="s">
        <v>92</v>
      </c>
      <c r="B1487" s="12" t="s">
        <v>191</v>
      </c>
      <c r="C1487" s="12" t="s">
        <v>123</v>
      </c>
      <c r="D1487" s="12" t="s">
        <v>200</v>
      </c>
      <c r="E1487" s="12" t="s">
        <v>110</v>
      </c>
      <c r="F1487" s="12" t="s">
        <v>114</v>
      </c>
      <c r="G1487" s="12" t="s">
        <v>11</v>
      </c>
      <c r="H1487" s="12">
        <v>10</v>
      </c>
      <c r="I1487" s="12">
        <v>1</v>
      </c>
      <c r="J1487" s="12">
        <v>697.87409090000006</v>
      </c>
      <c r="K1487" s="12">
        <v>6978.7409090000001</v>
      </c>
      <c r="L1487" s="12">
        <v>722.9</v>
      </c>
      <c r="M1487" s="12">
        <v>7229</v>
      </c>
      <c r="N1487" s="12">
        <v>250.25909100000001</v>
      </c>
    </row>
    <row r="1488" spans="1:15" x14ac:dyDescent="0.3">
      <c r="A1488" s="12" t="s">
        <v>92</v>
      </c>
      <c r="B1488" s="12" t="s">
        <v>191</v>
      </c>
      <c r="C1488" s="12" t="s">
        <v>123</v>
      </c>
      <c r="D1488" s="12" t="s">
        <v>200</v>
      </c>
      <c r="E1488" s="12" t="s">
        <v>110</v>
      </c>
      <c r="F1488" s="12" t="s">
        <v>114</v>
      </c>
      <c r="G1488" s="12" t="s">
        <v>47</v>
      </c>
      <c r="H1488" s="12">
        <v>16</v>
      </c>
      <c r="I1488" s="12">
        <v>1</v>
      </c>
      <c r="J1488" s="12">
        <v>260.18124999999998</v>
      </c>
      <c r="K1488" s="12">
        <v>4162.8999999999996</v>
      </c>
      <c r="L1488" s="12">
        <v>229</v>
      </c>
      <c r="M1488" s="12">
        <v>3664</v>
      </c>
      <c r="N1488" s="12">
        <v>-498.9</v>
      </c>
    </row>
    <row r="1489" spans="1:14" x14ac:dyDescent="0.3">
      <c r="A1489" s="12" t="s">
        <v>92</v>
      </c>
      <c r="B1489" s="12" t="s">
        <v>191</v>
      </c>
      <c r="C1489" s="12" t="s">
        <v>123</v>
      </c>
      <c r="D1489" s="12" t="s">
        <v>200</v>
      </c>
      <c r="E1489" s="12" t="s">
        <v>110</v>
      </c>
      <c r="F1489" s="12" t="s">
        <v>114</v>
      </c>
      <c r="G1489" s="12" t="s">
        <v>18</v>
      </c>
      <c r="H1489" s="12">
        <v>19</v>
      </c>
      <c r="I1489" s="12">
        <v>1</v>
      </c>
      <c r="J1489" s="12">
        <v>266.143157895</v>
      </c>
      <c r="K1489" s="12">
        <v>5056.72</v>
      </c>
      <c r="L1489" s="12">
        <v>287.08999999999997</v>
      </c>
      <c r="M1489" s="12">
        <v>5454.71</v>
      </c>
      <c r="N1489" s="12">
        <v>397.99</v>
      </c>
    </row>
    <row r="1490" spans="1:14" x14ac:dyDescent="0.3">
      <c r="A1490" s="12" t="s">
        <v>92</v>
      </c>
      <c r="B1490" s="12" t="s">
        <v>191</v>
      </c>
      <c r="C1490" s="12" t="s">
        <v>123</v>
      </c>
      <c r="D1490" s="12" t="s">
        <v>200</v>
      </c>
      <c r="E1490" s="12" t="s">
        <v>110</v>
      </c>
      <c r="F1490" s="12" t="s">
        <v>114</v>
      </c>
      <c r="G1490" s="12" t="s">
        <v>48</v>
      </c>
      <c r="H1490" s="12">
        <v>25</v>
      </c>
      <c r="I1490" s="12">
        <v>1</v>
      </c>
      <c r="J1490" s="12">
        <v>128.1118788</v>
      </c>
      <c r="K1490" s="12">
        <v>3202.7969699999999</v>
      </c>
      <c r="L1490" s="12">
        <v>161.82</v>
      </c>
      <c r="M1490" s="12">
        <v>4045.5</v>
      </c>
      <c r="N1490" s="12">
        <v>842.70303000000001</v>
      </c>
    </row>
    <row r="1491" spans="1:14" x14ac:dyDescent="0.3">
      <c r="A1491" s="12" t="s">
        <v>92</v>
      </c>
      <c r="B1491" s="12" t="s">
        <v>191</v>
      </c>
      <c r="C1491" s="12" t="s">
        <v>123</v>
      </c>
      <c r="D1491" s="12" t="s">
        <v>200</v>
      </c>
      <c r="E1491" s="12" t="s">
        <v>110</v>
      </c>
      <c r="F1491" s="12" t="s">
        <v>114</v>
      </c>
      <c r="G1491" s="12" t="s">
        <v>54</v>
      </c>
      <c r="H1491" s="12">
        <v>16</v>
      </c>
      <c r="I1491" s="12">
        <v>1</v>
      </c>
      <c r="J1491" s="12">
        <v>130.78143181199999</v>
      </c>
      <c r="K1491" s="12">
        <v>2092.5029089999998</v>
      </c>
      <c r="L1491" s="12">
        <v>153.71</v>
      </c>
      <c r="M1491" s="12">
        <v>2459.36</v>
      </c>
      <c r="N1491" s="12">
        <v>366.85709100000003</v>
      </c>
    </row>
    <row r="1492" spans="1:14" x14ac:dyDescent="0.3">
      <c r="A1492" s="12" t="s">
        <v>92</v>
      </c>
      <c r="B1492" s="12" t="s">
        <v>191</v>
      </c>
      <c r="C1492" s="12" t="s">
        <v>123</v>
      </c>
      <c r="D1492" s="12" t="s">
        <v>200</v>
      </c>
      <c r="E1492" s="12" t="s">
        <v>110</v>
      </c>
      <c r="F1492" s="12" t="s">
        <v>114</v>
      </c>
      <c r="G1492" s="12" t="s">
        <v>19</v>
      </c>
      <c r="H1492" s="12">
        <v>42</v>
      </c>
      <c r="I1492" s="12">
        <v>1</v>
      </c>
      <c r="J1492" s="12">
        <v>139.08214954799999</v>
      </c>
      <c r="K1492" s="12">
        <v>5841.4502810000004</v>
      </c>
      <c r="L1492" s="12">
        <v>162.78</v>
      </c>
      <c r="M1492" s="12">
        <v>6836.76</v>
      </c>
      <c r="N1492" s="12">
        <v>995.30971899999997</v>
      </c>
    </row>
    <row r="1493" spans="1:14" x14ac:dyDescent="0.3">
      <c r="A1493" s="12" t="s">
        <v>92</v>
      </c>
      <c r="B1493" s="12" t="s">
        <v>191</v>
      </c>
      <c r="C1493" s="12" t="s">
        <v>123</v>
      </c>
      <c r="D1493" s="12" t="s">
        <v>200</v>
      </c>
      <c r="E1493" s="12" t="s">
        <v>110</v>
      </c>
      <c r="F1493" s="12" t="s">
        <v>114</v>
      </c>
      <c r="G1493" s="12" t="s">
        <v>20</v>
      </c>
      <c r="H1493" s="12">
        <v>11</v>
      </c>
      <c r="I1493" s="12">
        <v>1</v>
      </c>
      <c r="J1493" s="12">
        <v>339.08818181800001</v>
      </c>
      <c r="K1493" s="12">
        <v>3729.97</v>
      </c>
      <c r="L1493" s="12">
        <v>334.22</v>
      </c>
      <c r="M1493" s="12">
        <v>3676.42</v>
      </c>
      <c r="N1493" s="12">
        <v>-53.55</v>
      </c>
    </row>
    <row r="1494" spans="1:14" x14ac:dyDescent="0.3">
      <c r="A1494" s="12" t="s">
        <v>92</v>
      </c>
      <c r="B1494" s="12" t="s">
        <v>191</v>
      </c>
      <c r="C1494" s="12" t="s">
        <v>123</v>
      </c>
      <c r="D1494" s="12" t="s">
        <v>200</v>
      </c>
      <c r="E1494" s="12" t="s">
        <v>110</v>
      </c>
      <c r="F1494" s="12" t="s">
        <v>114</v>
      </c>
      <c r="G1494" s="12" t="s">
        <v>22</v>
      </c>
      <c r="H1494" s="12">
        <v>83</v>
      </c>
      <c r="I1494" s="12">
        <v>1</v>
      </c>
      <c r="J1494" s="12">
        <v>60.662999999999997</v>
      </c>
      <c r="K1494" s="12">
        <v>5035.0290000000005</v>
      </c>
      <c r="L1494" s="12">
        <v>66.75</v>
      </c>
      <c r="M1494" s="12">
        <v>5540.25</v>
      </c>
      <c r="N1494" s="12">
        <v>505.221</v>
      </c>
    </row>
    <row r="1495" spans="1:14" x14ac:dyDescent="0.3">
      <c r="A1495" s="12" t="s">
        <v>92</v>
      </c>
      <c r="B1495" s="12" t="s">
        <v>191</v>
      </c>
      <c r="C1495" s="12" t="s">
        <v>123</v>
      </c>
      <c r="D1495" s="12" t="s">
        <v>200</v>
      </c>
      <c r="E1495" s="12" t="s">
        <v>110</v>
      </c>
      <c r="F1495" s="12" t="s">
        <v>114</v>
      </c>
      <c r="G1495" s="12" t="s">
        <v>37</v>
      </c>
      <c r="H1495" s="12">
        <v>30</v>
      </c>
      <c r="I1495" s="12">
        <v>1</v>
      </c>
      <c r="J1495" s="12">
        <v>178.93333333300001</v>
      </c>
      <c r="K1495" s="12">
        <v>5368</v>
      </c>
      <c r="L1495" s="12">
        <v>166.2</v>
      </c>
      <c r="M1495" s="12">
        <v>4986</v>
      </c>
      <c r="N1495" s="12">
        <v>-382</v>
      </c>
    </row>
    <row r="1496" spans="1:14" x14ac:dyDescent="0.3">
      <c r="A1496" s="12" t="s">
        <v>92</v>
      </c>
      <c r="B1496" s="12" t="s">
        <v>191</v>
      </c>
      <c r="C1496" s="12" t="s">
        <v>123</v>
      </c>
      <c r="D1496" s="12" t="s">
        <v>200</v>
      </c>
      <c r="E1496" s="12" t="s">
        <v>110</v>
      </c>
      <c r="F1496" s="12" t="s">
        <v>114</v>
      </c>
      <c r="G1496" s="12" t="s">
        <v>24</v>
      </c>
      <c r="H1496" s="12">
        <v>50</v>
      </c>
      <c r="I1496" s="12">
        <v>1</v>
      </c>
      <c r="J1496" s="12">
        <v>80.665750000000003</v>
      </c>
      <c r="K1496" s="12">
        <v>4033.2874999999999</v>
      </c>
      <c r="L1496" s="12">
        <v>93.32</v>
      </c>
      <c r="M1496" s="12">
        <v>4666</v>
      </c>
      <c r="N1496" s="12">
        <v>632.71249999999998</v>
      </c>
    </row>
    <row r="1497" spans="1:14" x14ac:dyDescent="0.3">
      <c r="A1497" s="12" t="s">
        <v>92</v>
      </c>
      <c r="B1497" s="12" t="s">
        <v>191</v>
      </c>
      <c r="C1497" s="12" t="s">
        <v>123</v>
      </c>
      <c r="D1497" s="12" t="s">
        <v>200</v>
      </c>
      <c r="E1497" s="12" t="s">
        <v>110</v>
      </c>
      <c r="F1497" s="12" t="s">
        <v>114</v>
      </c>
      <c r="G1497" s="12" t="s">
        <v>49</v>
      </c>
      <c r="H1497" s="12">
        <v>4</v>
      </c>
      <c r="I1497" s="12">
        <v>1</v>
      </c>
      <c r="J1497" s="12">
        <v>773.47</v>
      </c>
      <c r="K1497" s="12">
        <v>3093.88</v>
      </c>
      <c r="L1497" s="12">
        <v>781.1</v>
      </c>
      <c r="M1497" s="12">
        <v>3124.4</v>
      </c>
      <c r="N1497" s="12">
        <v>30.52</v>
      </c>
    </row>
    <row r="1498" spans="1:14" x14ac:dyDescent="0.3">
      <c r="A1498" s="12" t="s">
        <v>92</v>
      </c>
      <c r="B1498" s="12" t="s">
        <v>191</v>
      </c>
      <c r="C1498" s="12" t="s">
        <v>123</v>
      </c>
      <c r="D1498" s="12" t="s">
        <v>200</v>
      </c>
      <c r="E1498" s="12" t="s">
        <v>110</v>
      </c>
      <c r="F1498" s="12" t="s">
        <v>114</v>
      </c>
      <c r="G1498" s="12" t="s">
        <v>26</v>
      </c>
      <c r="H1498" s="12">
        <v>5</v>
      </c>
      <c r="I1498" s="12">
        <v>1</v>
      </c>
      <c r="J1498" s="12">
        <v>373.6</v>
      </c>
      <c r="K1498" s="12">
        <v>1868</v>
      </c>
      <c r="L1498" s="12">
        <v>370.33</v>
      </c>
      <c r="M1498" s="12">
        <v>1851.65</v>
      </c>
      <c r="N1498" s="12">
        <v>-16.350000000000001</v>
      </c>
    </row>
    <row r="1499" spans="1:14" x14ac:dyDescent="0.3">
      <c r="A1499" s="12" t="s">
        <v>92</v>
      </c>
      <c r="B1499" s="12" t="s">
        <v>191</v>
      </c>
      <c r="C1499" s="12" t="s">
        <v>123</v>
      </c>
      <c r="D1499" s="12" t="s">
        <v>200</v>
      </c>
      <c r="E1499" s="12" t="s">
        <v>110</v>
      </c>
      <c r="F1499" s="12" t="s">
        <v>114</v>
      </c>
      <c r="G1499" s="12" t="s">
        <v>27</v>
      </c>
      <c r="H1499" s="12">
        <v>14</v>
      </c>
      <c r="I1499" s="12">
        <v>1</v>
      </c>
      <c r="J1499" s="12">
        <v>380.72506800000002</v>
      </c>
      <c r="K1499" s="12">
        <v>5330.150952</v>
      </c>
      <c r="L1499" s="12">
        <v>430.17</v>
      </c>
      <c r="M1499" s="12">
        <v>6022.38</v>
      </c>
      <c r="N1499" s="12">
        <v>692.22904800000003</v>
      </c>
    </row>
    <row r="1500" spans="1:14" x14ac:dyDescent="0.3">
      <c r="A1500" s="12" t="s">
        <v>92</v>
      </c>
      <c r="B1500" s="12" t="s">
        <v>191</v>
      </c>
      <c r="C1500" s="12" t="s">
        <v>123</v>
      </c>
      <c r="D1500" s="12" t="s">
        <v>200</v>
      </c>
      <c r="E1500" s="12" t="s">
        <v>110</v>
      </c>
      <c r="F1500" s="12" t="s">
        <v>114</v>
      </c>
      <c r="G1500" s="12" t="s">
        <v>28</v>
      </c>
      <c r="H1500" s="12">
        <v>34</v>
      </c>
      <c r="I1500" s="12">
        <v>1</v>
      </c>
      <c r="J1500" s="12">
        <v>367.46653061799998</v>
      </c>
      <c r="K1500" s="12">
        <v>12493.862041</v>
      </c>
      <c r="L1500" s="12">
        <v>389.33</v>
      </c>
      <c r="M1500" s="12">
        <v>13237.22</v>
      </c>
      <c r="N1500" s="12">
        <v>743.35795900000005</v>
      </c>
    </row>
    <row r="1501" spans="1:14" x14ac:dyDescent="0.3">
      <c r="A1501" s="12" t="s">
        <v>92</v>
      </c>
      <c r="B1501" s="12" t="s">
        <v>191</v>
      </c>
      <c r="C1501" s="12" t="s">
        <v>123</v>
      </c>
      <c r="D1501" s="12" t="s">
        <v>200</v>
      </c>
      <c r="E1501" s="12" t="s">
        <v>110</v>
      </c>
      <c r="F1501" s="12" t="s">
        <v>114</v>
      </c>
      <c r="G1501" s="12" t="s">
        <v>55</v>
      </c>
      <c r="H1501" s="12">
        <v>50</v>
      </c>
      <c r="I1501" s="12">
        <v>1</v>
      </c>
      <c r="J1501" s="12">
        <v>122.54600000000001</v>
      </c>
      <c r="K1501" s="12">
        <v>6127.3</v>
      </c>
      <c r="L1501" s="12">
        <v>112.96</v>
      </c>
      <c r="M1501" s="12">
        <v>5648</v>
      </c>
      <c r="N1501" s="12">
        <v>-479.3</v>
      </c>
    </row>
    <row r="1502" spans="1:14" x14ac:dyDescent="0.3">
      <c r="A1502" s="12" t="s">
        <v>92</v>
      </c>
      <c r="B1502" s="12" t="s">
        <v>191</v>
      </c>
      <c r="C1502" s="12" t="s">
        <v>123</v>
      </c>
      <c r="D1502" s="12" t="s">
        <v>200</v>
      </c>
      <c r="E1502" s="12" t="s">
        <v>110</v>
      </c>
      <c r="F1502" s="12" t="s">
        <v>114</v>
      </c>
      <c r="G1502" s="12" t="s">
        <v>50</v>
      </c>
      <c r="H1502" s="12">
        <v>7</v>
      </c>
      <c r="I1502" s="12">
        <v>1</v>
      </c>
      <c r="J1502" s="12">
        <v>748.95714285700001</v>
      </c>
      <c r="K1502" s="12">
        <v>5242.7</v>
      </c>
      <c r="L1502" s="12">
        <v>693.33</v>
      </c>
      <c r="M1502" s="12">
        <v>4853.3100000000004</v>
      </c>
      <c r="N1502" s="12">
        <v>-389.39</v>
      </c>
    </row>
    <row r="1503" spans="1:14" x14ac:dyDescent="0.3">
      <c r="A1503" s="12" t="s">
        <v>92</v>
      </c>
      <c r="B1503" s="12" t="s">
        <v>191</v>
      </c>
      <c r="C1503" s="12" t="s">
        <v>123</v>
      </c>
      <c r="D1503" s="12" t="s">
        <v>200</v>
      </c>
      <c r="E1503" s="12" t="s">
        <v>110</v>
      </c>
      <c r="F1503" s="12" t="s">
        <v>114</v>
      </c>
      <c r="G1503" s="12" t="s">
        <v>56</v>
      </c>
      <c r="H1503" s="12">
        <v>35</v>
      </c>
      <c r="I1503" s="12">
        <v>1</v>
      </c>
      <c r="J1503" s="12">
        <v>125.148571429</v>
      </c>
      <c r="K1503" s="12">
        <v>4380.2</v>
      </c>
      <c r="L1503" s="12">
        <v>128.31</v>
      </c>
      <c r="M1503" s="12">
        <v>4490.8500000000004</v>
      </c>
      <c r="N1503" s="12">
        <v>110.65</v>
      </c>
    </row>
    <row r="1504" spans="1:14" x14ac:dyDescent="0.3">
      <c r="A1504" s="12" t="s">
        <v>92</v>
      </c>
      <c r="B1504" s="12" t="s">
        <v>191</v>
      </c>
      <c r="C1504" s="12" t="s">
        <v>123</v>
      </c>
      <c r="D1504" s="12" t="s">
        <v>200</v>
      </c>
      <c r="E1504" s="12" t="s">
        <v>110</v>
      </c>
      <c r="F1504" s="12" t="s">
        <v>114</v>
      </c>
      <c r="G1504" s="12" t="s">
        <v>57</v>
      </c>
      <c r="H1504" s="12">
        <v>45</v>
      </c>
      <c r="I1504" s="12">
        <v>1</v>
      </c>
      <c r="J1504" s="12">
        <v>119.944444444</v>
      </c>
      <c r="K1504" s="12">
        <v>5397.5</v>
      </c>
      <c r="L1504" s="12">
        <v>113.75</v>
      </c>
      <c r="M1504" s="12">
        <v>5118.75</v>
      </c>
      <c r="N1504" s="12">
        <v>-278.75</v>
      </c>
    </row>
    <row r="1505" spans="1:17" x14ac:dyDescent="0.3">
      <c r="A1505" s="12" t="s">
        <v>92</v>
      </c>
      <c r="B1505" s="12" t="s">
        <v>191</v>
      </c>
      <c r="C1505" s="12" t="s">
        <v>123</v>
      </c>
      <c r="D1505" s="12" t="s">
        <v>200</v>
      </c>
      <c r="E1505" s="12" t="s">
        <v>110</v>
      </c>
      <c r="F1505" s="12" t="s">
        <v>114</v>
      </c>
      <c r="G1505" s="12" t="s">
        <v>29</v>
      </c>
      <c r="H1505" s="12">
        <v>15</v>
      </c>
      <c r="I1505" s="12">
        <v>1</v>
      </c>
      <c r="J1505" s="12">
        <v>283.306666667</v>
      </c>
      <c r="K1505" s="12">
        <v>4249.6000000000004</v>
      </c>
      <c r="L1505" s="12">
        <v>290.89</v>
      </c>
      <c r="M1505" s="12">
        <v>4363.3500000000004</v>
      </c>
      <c r="N1505" s="12">
        <v>113.75</v>
      </c>
    </row>
    <row r="1506" spans="1:17" x14ac:dyDescent="0.3">
      <c r="A1506" s="12" t="s">
        <v>92</v>
      </c>
      <c r="B1506" s="12" t="s">
        <v>191</v>
      </c>
      <c r="C1506" s="12" t="s">
        <v>123</v>
      </c>
      <c r="D1506" s="12" t="s">
        <v>200</v>
      </c>
      <c r="E1506" s="12" t="s">
        <v>110</v>
      </c>
      <c r="F1506" s="12" t="s">
        <v>114</v>
      </c>
      <c r="G1506" s="12" t="s">
        <v>39</v>
      </c>
      <c r="H1506" s="12">
        <v>35</v>
      </c>
      <c r="I1506" s="12">
        <v>1</v>
      </c>
      <c r="J1506" s="12">
        <v>152.58571428600001</v>
      </c>
      <c r="K1506" s="12">
        <v>5340.5</v>
      </c>
      <c r="L1506" s="12">
        <v>165.85</v>
      </c>
      <c r="M1506" s="12">
        <v>5804.75</v>
      </c>
      <c r="N1506" s="12">
        <v>464.25</v>
      </c>
    </row>
    <row r="1507" spans="1:17" x14ac:dyDescent="0.3">
      <c r="A1507" s="12" t="s">
        <v>92</v>
      </c>
      <c r="B1507" s="12" t="s">
        <v>191</v>
      </c>
      <c r="C1507" s="12" t="s">
        <v>123</v>
      </c>
      <c r="D1507" s="12" t="s">
        <v>200</v>
      </c>
      <c r="E1507" s="12" t="s">
        <v>110</v>
      </c>
      <c r="F1507" s="12" t="s">
        <v>114</v>
      </c>
      <c r="G1507" s="12" t="s">
        <v>30</v>
      </c>
      <c r="H1507" s="12">
        <v>26</v>
      </c>
      <c r="I1507" s="12">
        <v>1</v>
      </c>
      <c r="J1507" s="12">
        <v>139.38499999999999</v>
      </c>
      <c r="K1507" s="12">
        <v>3624.01</v>
      </c>
      <c r="L1507" s="12">
        <v>129.55000000000001</v>
      </c>
      <c r="M1507" s="12">
        <v>3368.3</v>
      </c>
      <c r="N1507" s="12">
        <v>-255.71</v>
      </c>
    </row>
    <row r="1508" spans="1:17" x14ac:dyDescent="0.3">
      <c r="A1508" s="12" t="s">
        <v>92</v>
      </c>
      <c r="B1508" s="12" t="s">
        <v>191</v>
      </c>
      <c r="C1508" s="12" t="s">
        <v>123</v>
      </c>
      <c r="D1508" s="12" t="s">
        <v>200</v>
      </c>
      <c r="E1508" s="12" t="s">
        <v>110</v>
      </c>
      <c r="F1508" s="12" t="s">
        <v>114</v>
      </c>
      <c r="G1508" s="12" t="s">
        <v>32</v>
      </c>
      <c r="H1508" s="12">
        <v>70</v>
      </c>
      <c r="I1508" s="12">
        <v>1</v>
      </c>
      <c r="J1508" s="12">
        <v>64.951549870999997</v>
      </c>
      <c r="K1508" s="12">
        <v>4546.608491</v>
      </c>
      <c r="L1508" s="12">
        <v>66.27</v>
      </c>
      <c r="M1508" s="12">
        <v>4638.8999999999996</v>
      </c>
      <c r="N1508" s="12">
        <v>92.291509000000005</v>
      </c>
    </row>
    <row r="1509" spans="1:17" x14ac:dyDescent="0.3">
      <c r="A1509" s="12" t="s">
        <v>92</v>
      </c>
      <c r="B1509" s="12" t="s">
        <v>191</v>
      </c>
      <c r="C1509" s="12" t="s">
        <v>123</v>
      </c>
      <c r="D1509" s="12" t="s">
        <v>200</v>
      </c>
      <c r="E1509" s="12" t="s">
        <v>110</v>
      </c>
      <c r="F1509" s="12" t="s">
        <v>114</v>
      </c>
      <c r="G1509" s="12" t="s">
        <v>41</v>
      </c>
      <c r="H1509" s="12">
        <v>800</v>
      </c>
      <c r="I1509" s="12">
        <v>1</v>
      </c>
      <c r="J1509" s="12">
        <v>41.533000000000001</v>
      </c>
      <c r="K1509" s="12">
        <v>33226.400000000001</v>
      </c>
      <c r="L1509" s="12">
        <v>40.56</v>
      </c>
      <c r="M1509" s="12">
        <v>32448</v>
      </c>
      <c r="N1509" s="12">
        <v>-778.4</v>
      </c>
      <c r="O1509" s="12" t="s">
        <v>555</v>
      </c>
    </row>
    <row r="1510" spans="1:17" x14ac:dyDescent="0.3">
      <c r="A1510" s="12" t="s">
        <v>92</v>
      </c>
      <c r="B1510" s="12" t="s">
        <v>191</v>
      </c>
      <c r="C1510" s="12" t="s">
        <v>123</v>
      </c>
      <c r="D1510" s="12" t="s">
        <v>200</v>
      </c>
      <c r="E1510" s="12" t="s">
        <v>110</v>
      </c>
      <c r="F1510" s="12" t="s">
        <v>114</v>
      </c>
      <c r="G1510" s="12" t="s">
        <v>42</v>
      </c>
      <c r="H1510" s="12">
        <v>75</v>
      </c>
      <c r="I1510" s="12">
        <v>1</v>
      </c>
      <c r="J1510" s="12">
        <v>201.80799999999999</v>
      </c>
      <c r="K1510" s="12">
        <v>15135.6</v>
      </c>
      <c r="L1510" s="12">
        <v>196.27</v>
      </c>
      <c r="M1510" s="12">
        <v>14720.25</v>
      </c>
      <c r="N1510" s="12">
        <v>-415.35</v>
      </c>
    </row>
    <row r="1511" spans="1:17" x14ac:dyDescent="0.3">
      <c r="A1511" s="12" t="s">
        <v>92</v>
      </c>
      <c r="B1511" s="12" t="s">
        <v>191</v>
      </c>
      <c r="C1511" s="12" t="s">
        <v>123</v>
      </c>
      <c r="D1511" s="12" t="s">
        <v>200</v>
      </c>
      <c r="E1511" s="12" t="s">
        <v>110</v>
      </c>
      <c r="F1511" s="12" t="s">
        <v>114</v>
      </c>
      <c r="G1511" s="12" t="s">
        <v>43</v>
      </c>
      <c r="H1511" s="12">
        <v>80</v>
      </c>
      <c r="I1511" s="12">
        <v>1</v>
      </c>
      <c r="J1511" s="12">
        <v>61.116250000000001</v>
      </c>
      <c r="K1511" s="12">
        <v>4889.3</v>
      </c>
      <c r="L1511" s="12">
        <v>66.739999999999995</v>
      </c>
      <c r="M1511" s="12">
        <v>5339.2</v>
      </c>
      <c r="N1511" s="12">
        <v>449.9</v>
      </c>
    </row>
    <row r="1512" spans="1:17" x14ac:dyDescent="0.3">
      <c r="A1512" s="12" t="s">
        <v>92</v>
      </c>
      <c r="B1512" s="12" t="s">
        <v>191</v>
      </c>
      <c r="C1512" s="12" t="s">
        <v>123</v>
      </c>
      <c r="D1512" s="12" t="s">
        <v>200</v>
      </c>
      <c r="E1512" s="12" t="s">
        <v>110</v>
      </c>
      <c r="F1512" s="12" t="s">
        <v>114</v>
      </c>
      <c r="G1512" s="12" t="s">
        <v>44</v>
      </c>
      <c r="H1512" s="12">
        <v>60</v>
      </c>
      <c r="I1512" s="12">
        <v>1</v>
      </c>
      <c r="J1512" s="12">
        <v>143.160833333</v>
      </c>
      <c r="K1512" s="12">
        <v>8589.65</v>
      </c>
      <c r="L1512" s="12">
        <v>140.33000000000001</v>
      </c>
      <c r="M1512" s="12">
        <v>8419.7999999999993</v>
      </c>
      <c r="N1512" s="12">
        <v>-169.85</v>
      </c>
    </row>
    <row r="1513" spans="1:17" x14ac:dyDescent="0.3">
      <c r="A1513" s="12" t="s">
        <v>92</v>
      </c>
      <c r="B1513" s="12" t="s">
        <v>191</v>
      </c>
      <c r="C1513" s="12" t="s">
        <v>97</v>
      </c>
      <c r="E1513" s="12" t="s">
        <v>110</v>
      </c>
      <c r="F1513" s="12" t="s">
        <v>114</v>
      </c>
      <c r="K1513" s="12">
        <v>216240.440512</v>
      </c>
      <c r="M1513" s="12">
        <v>220153.73</v>
      </c>
      <c r="N1513" s="12">
        <v>3913.2894879999999</v>
      </c>
    </row>
    <row r="1514" spans="1:17" x14ac:dyDescent="0.3">
      <c r="A1514" s="12" t="s">
        <v>92</v>
      </c>
      <c r="B1514" s="12" t="s">
        <v>191</v>
      </c>
      <c r="C1514" s="12" t="s">
        <v>120</v>
      </c>
      <c r="D1514" s="12" t="s">
        <v>192</v>
      </c>
      <c r="E1514" s="12" t="s">
        <v>100</v>
      </c>
      <c r="F1514" s="12" t="s">
        <v>181</v>
      </c>
      <c r="G1514" s="12" t="s">
        <v>0</v>
      </c>
      <c r="H1514" s="12" t="s">
        <v>193</v>
      </c>
      <c r="I1514" s="12" t="s">
        <v>194</v>
      </c>
      <c r="J1514" s="12" t="s">
        <v>195</v>
      </c>
      <c r="K1514" s="12" t="s">
        <v>196</v>
      </c>
      <c r="L1514" s="12" t="s">
        <v>197</v>
      </c>
      <c r="M1514" s="12" t="s">
        <v>198</v>
      </c>
      <c r="N1514" s="12" t="s">
        <v>199</v>
      </c>
      <c r="O1514" s="12" t="s">
        <v>165</v>
      </c>
    </row>
    <row r="1515" spans="1:17" x14ac:dyDescent="0.3">
      <c r="A1515" s="12" t="s">
        <v>92</v>
      </c>
      <c r="B1515" s="12" t="s">
        <v>191</v>
      </c>
      <c r="C1515" s="12" t="s">
        <v>123</v>
      </c>
      <c r="D1515" s="12" t="s">
        <v>200</v>
      </c>
      <c r="E1515" s="12" t="s">
        <v>112</v>
      </c>
      <c r="F1515" s="12" t="s">
        <v>114</v>
      </c>
      <c r="G1515" s="12" t="s">
        <v>52</v>
      </c>
      <c r="H1515" s="12">
        <v>-7</v>
      </c>
      <c r="I1515" s="12">
        <v>5</v>
      </c>
      <c r="J1515" s="12">
        <v>5148.257142857</v>
      </c>
      <c r="K1515" s="12">
        <v>-180189</v>
      </c>
      <c r="L1515" s="12">
        <v>5067</v>
      </c>
      <c r="M1515" s="12">
        <v>-177345</v>
      </c>
      <c r="N1515" s="12">
        <v>2844</v>
      </c>
    </row>
    <row r="1516" spans="1:17" x14ac:dyDescent="0.3">
      <c r="A1516" s="12" t="s">
        <v>92</v>
      </c>
      <c r="B1516" s="12" t="s">
        <v>191</v>
      </c>
      <c r="C1516" s="12" t="s">
        <v>123</v>
      </c>
      <c r="D1516" s="12" t="s">
        <v>200</v>
      </c>
      <c r="E1516" s="12" t="s">
        <v>112</v>
      </c>
      <c r="F1516" s="12" t="s">
        <v>114</v>
      </c>
      <c r="G1516" s="12" t="s">
        <v>53</v>
      </c>
      <c r="H1516" s="12">
        <v>-1</v>
      </c>
      <c r="I1516" s="12">
        <v>2</v>
      </c>
      <c r="J1516" s="12">
        <v>18549.25</v>
      </c>
      <c r="K1516" s="12">
        <v>-37098.5</v>
      </c>
      <c r="L1516" s="12">
        <v>17571.25</v>
      </c>
      <c r="M1516" s="12">
        <v>-35142.5</v>
      </c>
      <c r="N1516" s="12">
        <v>1956</v>
      </c>
    </row>
    <row r="1517" spans="1:17" x14ac:dyDescent="0.3">
      <c r="A1517" s="12" t="s">
        <v>92</v>
      </c>
      <c r="B1517" s="12" t="s">
        <v>191</v>
      </c>
      <c r="C1517" s="12" t="s">
        <v>97</v>
      </c>
      <c r="E1517" s="12" t="s">
        <v>112</v>
      </c>
      <c r="F1517" s="12" t="s">
        <v>114</v>
      </c>
      <c r="K1517" s="12">
        <v>-217287.5</v>
      </c>
      <c r="M1517" s="12">
        <v>-212487.5</v>
      </c>
      <c r="N1517" s="12">
        <v>4800</v>
      </c>
    </row>
    <row r="1518" spans="1:17" x14ac:dyDescent="0.3">
      <c r="A1518" s="12" t="s">
        <v>92</v>
      </c>
      <c r="B1518" s="12" t="s">
        <v>201</v>
      </c>
      <c r="C1518" s="12" t="s">
        <v>120</v>
      </c>
      <c r="D1518" s="12" t="s">
        <v>192</v>
      </c>
      <c r="E1518" s="12" t="s">
        <v>100</v>
      </c>
      <c r="F1518" s="12" t="s">
        <v>181</v>
      </c>
      <c r="G1518" s="12" t="s">
        <v>0</v>
      </c>
      <c r="H1518" s="12" t="s">
        <v>202</v>
      </c>
      <c r="I1518" s="12" t="s">
        <v>193</v>
      </c>
      <c r="J1518" s="12" t="s">
        <v>203</v>
      </c>
      <c r="K1518" s="12" t="s">
        <v>204</v>
      </c>
      <c r="L1518" s="12" t="s">
        <v>205</v>
      </c>
      <c r="M1518" s="12" t="s">
        <v>206</v>
      </c>
      <c r="N1518" s="12" t="s">
        <v>1</v>
      </c>
      <c r="O1518" s="12" t="s">
        <v>207</v>
      </c>
      <c r="P1518" s="12" t="s">
        <v>208</v>
      </c>
      <c r="Q1518" s="12" t="s">
        <v>165</v>
      </c>
    </row>
    <row r="1519" spans="1:17" x14ac:dyDescent="0.3">
      <c r="A1519" s="12" t="s">
        <v>92</v>
      </c>
      <c r="B1519" s="12" t="s">
        <v>201</v>
      </c>
      <c r="C1519" s="12" t="s">
        <v>123</v>
      </c>
      <c r="D1519" s="12" t="s">
        <v>209</v>
      </c>
      <c r="E1519" s="12" t="s">
        <v>110</v>
      </c>
      <c r="F1519" s="12" t="s">
        <v>114</v>
      </c>
      <c r="G1519" s="12" t="s">
        <v>45</v>
      </c>
      <c r="H1519" s="12" t="s">
        <v>710</v>
      </c>
      <c r="I1519" s="12">
        <v>5</v>
      </c>
      <c r="J1519" s="12">
        <v>164.92</v>
      </c>
      <c r="K1519" s="12">
        <v>167.14</v>
      </c>
      <c r="L1519" s="12">
        <v>-824.6</v>
      </c>
      <c r="M1519" s="12">
        <v>-1.3</v>
      </c>
      <c r="N1519" s="12">
        <v>825.9</v>
      </c>
      <c r="O1519" s="12">
        <v>0</v>
      </c>
      <c r="P1519" s="12">
        <v>11.1</v>
      </c>
      <c r="Q1519" s="12" t="s">
        <v>215</v>
      </c>
    </row>
    <row r="1520" spans="1:17" x14ac:dyDescent="0.3">
      <c r="A1520" s="12" t="s">
        <v>92</v>
      </c>
      <c r="B1520" s="12" t="s">
        <v>201</v>
      </c>
      <c r="C1520" s="12" t="s">
        <v>123</v>
      </c>
      <c r="D1520" s="12" t="s">
        <v>209</v>
      </c>
      <c r="E1520" s="12" t="s">
        <v>110</v>
      </c>
      <c r="F1520" s="12" t="s">
        <v>114</v>
      </c>
      <c r="G1520" s="12" t="s">
        <v>45</v>
      </c>
      <c r="H1520" s="12" t="s">
        <v>711</v>
      </c>
      <c r="I1520" s="12">
        <v>-15</v>
      </c>
      <c r="J1520" s="12">
        <v>160.08000000000001</v>
      </c>
      <c r="K1520" s="12">
        <v>160.19999999999999</v>
      </c>
      <c r="L1520" s="12">
        <v>2401.1999999999998</v>
      </c>
      <c r="M1520" s="12">
        <v>-1.3</v>
      </c>
      <c r="N1520" s="12">
        <v>-2623.68</v>
      </c>
      <c r="O1520" s="12">
        <v>-223.78</v>
      </c>
      <c r="P1520" s="12">
        <v>-1.8</v>
      </c>
      <c r="Q1520" s="12" t="s">
        <v>3</v>
      </c>
    </row>
    <row r="1521" spans="1:17" x14ac:dyDescent="0.3">
      <c r="A1521" s="12" t="s">
        <v>92</v>
      </c>
      <c r="B1521" s="12" t="s">
        <v>201</v>
      </c>
      <c r="C1521" s="12" t="s">
        <v>213</v>
      </c>
      <c r="E1521" s="12" t="s">
        <v>110</v>
      </c>
      <c r="F1521" s="12" t="s">
        <v>114</v>
      </c>
      <c r="G1521" s="12" t="s">
        <v>45</v>
      </c>
      <c r="I1521" s="12">
        <v>-10</v>
      </c>
      <c r="L1521" s="12">
        <v>1576.6</v>
      </c>
      <c r="M1521" s="12">
        <v>-2.6</v>
      </c>
      <c r="N1521" s="12">
        <v>-1797.78</v>
      </c>
      <c r="O1521" s="12">
        <v>-223.78</v>
      </c>
      <c r="P1521" s="12">
        <v>9.3000000000000007</v>
      </c>
    </row>
    <row r="1522" spans="1:17" x14ac:dyDescent="0.3">
      <c r="A1522" s="12" t="s">
        <v>92</v>
      </c>
      <c r="B1522" s="12" t="s">
        <v>201</v>
      </c>
      <c r="C1522" s="12" t="s">
        <v>123</v>
      </c>
      <c r="D1522" s="12" t="s">
        <v>209</v>
      </c>
      <c r="E1522" s="12" t="s">
        <v>110</v>
      </c>
      <c r="F1522" s="12" t="s">
        <v>114</v>
      </c>
      <c r="G1522" s="12" t="s">
        <v>5</v>
      </c>
      <c r="H1522" s="12" t="s">
        <v>712</v>
      </c>
      <c r="I1522" s="12">
        <v>-25</v>
      </c>
      <c r="J1522" s="12">
        <v>176</v>
      </c>
      <c r="K1522" s="12">
        <v>173.67</v>
      </c>
      <c r="L1522" s="12">
        <v>4400</v>
      </c>
      <c r="M1522" s="12">
        <v>-1.3</v>
      </c>
      <c r="N1522" s="12">
        <v>-3631.5625</v>
      </c>
      <c r="O1522" s="12">
        <v>767.13750000000005</v>
      </c>
      <c r="P1522" s="12">
        <v>58.25</v>
      </c>
      <c r="Q1522" s="12" t="s">
        <v>3</v>
      </c>
    </row>
    <row r="1523" spans="1:17" x14ac:dyDescent="0.3">
      <c r="A1523" s="12" t="s">
        <v>92</v>
      </c>
      <c r="B1523" s="12" t="s">
        <v>201</v>
      </c>
      <c r="C1523" s="12" t="s">
        <v>123</v>
      </c>
      <c r="D1523" s="12" t="s">
        <v>209</v>
      </c>
      <c r="E1523" s="12" t="s">
        <v>110</v>
      </c>
      <c r="F1523" s="12" t="s">
        <v>114</v>
      </c>
      <c r="G1523" s="12" t="s">
        <v>5</v>
      </c>
      <c r="H1523" s="12" t="s">
        <v>713</v>
      </c>
      <c r="I1523" s="12">
        <v>-15</v>
      </c>
      <c r="J1523" s="12">
        <v>180.88</v>
      </c>
      <c r="K1523" s="12">
        <v>180.96</v>
      </c>
      <c r="L1523" s="12">
        <v>2713.2</v>
      </c>
      <c r="M1523" s="12">
        <v>-1.3</v>
      </c>
      <c r="N1523" s="12">
        <v>-2178.9375</v>
      </c>
      <c r="O1523" s="12">
        <v>532.96249999999998</v>
      </c>
      <c r="P1523" s="12">
        <v>-1.2</v>
      </c>
      <c r="Q1523" s="12" t="s">
        <v>3</v>
      </c>
    </row>
    <row r="1524" spans="1:17" x14ac:dyDescent="0.3">
      <c r="A1524" s="12" t="s">
        <v>92</v>
      </c>
      <c r="B1524" s="12" t="s">
        <v>201</v>
      </c>
      <c r="C1524" s="12" t="s">
        <v>123</v>
      </c>
      <c r="D1524" s="12" t="s">
        <v>209</v>
      </c>
      <c r="E1524" s="12" t="s">
        <v>110</v>
      </c>
      <c r="F1524" s="12" t="s">
        <v>114</v>
      </c>
      <c r="G1524" s="12" t="s">
        <v>5</v>
      </c>
      <c r="H1524" s="12" t="s">
        <v>714</v>
      </c>
      <c r="I1524" s="12">
        <v>14</v>
      </c>
      <c r="J1524" s="12">
        <v>176.43</v>
      </c>
      <c r="K1524" s="12">
        <v>175</v>
      </c>
      <c r="L1524" s="12">
        <v>-2470.02</v>
      </c>
      <c r="M1524" s="12">
        <v>-1.3</v>
      </c>
      <c r="N1524" s="12">
        <v>2471.3200000000002</v>
      </c>
      <c r="O1524" s="12">
        <v>0</v>
      </c>
      <c r="P1524" s="12">
        <v>-20.02</v>
      </c>
      <c r="Q1524" s="12" t="s">
        <v>215</v>
      </c>
    </row>
    <row r="1525" spans="1:17" x14ac:dyDescent="0.3">
      <c r="A1525" s="12" t="s">
        <v>92</v>
      </c>
      <c r="B1525" s="12" t="s">
        <v>201</v>
      </c>
      <c r="C1525" s="12" t="s">
        <v>213</v>
      </c>
      <c r="E1525" s="12" t="s">
        <v>110</v>
      </c>
      <c r="F1525" s="12" t="s">
        <v>114</v>
      </c>
      <c r="G1525" s="12" t="s">
        <v>5</v>
      </c>
      <c r="I1525" s="12">
        <v>-26</v>
      </c>
      <c r="L1525" s="12">
        <v>4643.18</v>
      </c>
      <c r="M1525" s="12">
        <v>-3.9</v>
      </c>
      <c r="N1525" s="12">
        <v>-3339.18</v>
      </c>
      <c r="O1525" s="12">
        <v>1300.0999999999999</v>
      </c>
      <c r="P1525" s="12">
        <v>37.03</v>
      </c>
    </row>
    <row r="1526" spans="1:17" x14ac:dyDescent="0.3">
      <c r="A1526" s="12" t="s">
        <v>92</v>
      </c>
      <c r="B1526" s="12" t="s">
        <v>201</v>
      </c>
      <c r="C1526" s="12" t="s">
        <v>123</v>
      </c>
      <c r="D1526" s="12" t="s">
        <v>209</v>
      </c>
      <c r="E1526" s="12" t="s">
        <v>110</v>
      </c>
      <c r="F1526" s="12" t="s">
        <v>114</v>
      </c>
      <c r="G1526" s="12" t="s">
        <v>6</v>
      </c>
      <c r="H1526" s="12" t="s">
        <v>715</v>
      </c>
      <c r="I1526" s="12">
        <v>-21</v>
      </c>
      <c r="J1526" s="12">
        <v>273.27</v>
      </c>
      <c r="K1526" s="12">
        <v>263.2</v>
      </c>
      <c r="L1526" s="12">
        <v>5738.67</v>
      </c>
      <c r="M1526" s="12">
        <v>-1.3</v>
      </c>
      <c r="N1526" s="12">
        <v>-4942.6909679999999</v>
      </c>
      <c r="O1526" s="12">
        <v>794.67903200000001</v>
      </c>
      <c r="P1526" s="12">
        <v>211.47</v>
      </c>
      <c r="Q1526" s="12" t="s">
        <v>3</v>
      </c>
    </row>
    <row r="1527" spans="1:17" x14ac:dyDescent="0.3">
      <c r="A1527" s="12" t="s">
        <v>92</v>
      </c>
      <c r="B1527" s="12" t="s">
        <v>201</v>
      </c>
      <c r="C1527" s="12" t="s">
        <v>213</v>
      </c>
      <c r="E1527" s="12" t="s">
        <v>110</v>
      </c>
      <c r="F1527" s="12" t="s">
        <v>114</v>
      </c>
      <c r="G1527" s="12" t="s">
        <v>6</v>
      </c>
      <c r="I1527" s="12">
        <v>-21</v>
      </c>
      <c r="L1527" s="12">
        <v>5738.67</v>
      </c>
      <c r="M1527" s="12">
        <v>-1.3</v>
      </c>
      <c r="N1527" s="12">
        <v>-4942.6909679999999</v>
      </c>
      <c r="O1527" s="12">
        <v>794.67903200000001</v>
      </c>
      <c r="P1527" s="12">
        <v>211.47</v>
      </c>
    </row>
    <row r="1528" spans="1:17" x14ac:dyDescent="0.3">
      <c r="A1528" s="12" t="s">
        <v>92</v>
      </c>
      <c r="B1528" s="12" t="s">
        <v>201</v>
      </c>
      <c r="C1528" s="12" t="s">
        <v>123</v>
      </c>
      <c r="D1528" s="12" t="s">
        <v>209</v>
      </c>
      <c r="E1528" s="12" t="s">
        <v>110</v>
      </c>
      <c r="F1528" s="12" t="s">
        <v>114</v>
      </c>
      <c r="G1528" s="12" t="s">
        <v>8</v>
      </c>
      <c r="H1528" s="12" t="s">
        <v>716</v>
      </c>
      <c r="I1528" s="12">
        <v>50</v>
      </c>
      <c r="J1528" s="12">
        <v>36.655000000000001</v>
      </c>
      <c r="K1528" s="12">
        <v>36.65</v>
      </c>
      <c r="L1528" s="12">
        <v>-1832.75</v>
      </c>
      <c r="M1528" s="12">
        <v>-1.3</v>
      </c>
      <c r="N1528" s="12">
        <v>1834.05</v>
      </c>
      <c r="O1528" s="12">
        <v>0</v>
      </c>
      <c r="P1528" s="12">
        <v>-0.25</v>
      </c>
      <c r="Q1528" s="12" t="s">
        <v>215</v>
      </c>
    </row>
    <row r="1529" spans="1:17" x14ac:dyDescent="0.3">
      <c r="A1529" s="12" t="s">
        <v>92</v>
      </c>
      <c r="B1529" s="12" t="s">
        <v>201</v>
      </c>
      <c r="C1529" s="12" t="s">
        <v>213</v>
      </c>
      <c r="E1529" s="12" t="s">
        <v>110</v>
      </c>
      <c r="F1529" s="12" t="s">
        <v>114</v>
      </c>
      <c r="G1529" s="12" t="s">
        <v>8</v>
      </c>
      <c r="I1529" s="12">
        <v>50</v>
      </c>
      <c r="L1529" s="12">
        <v>-1832.75</v>
      </c>
      <c r="M1529" s="12">
        <v>-1.3</v>
      </c>
      <c r="N1529" s="12">
        <v>1834.05</v>
      </c>
      <c r="O1529" s="12">
        <v>0</v>
      </c>
      <c r="P1529" s="12">
        <v>-0.25</v>
      </c>
    </row>
    <row r="1530" spans="1:17" x14ac:dyDescent="0.3">
      <c r="A1530" s="12" t="s">
        <v>92</v>
      </c>
      <c r="B1530" s="12" t="s">
        <v>201</v>
      </c>
      <c r="C1530" s="12" t="s">
        <v>123</v>
      </c>
      <c r="D1530" s="12" t="s">
        <v>209</v>
      </c>
      <c r="E1530" s="12" t="s">
        <v>110</v>
      </c>
      <c r="F1530" s="12" t="s">
        <v>114</v>
      </c>
      <c r="G1530" s="12" t="s">
        <v>3</v>
      </c>
      <c r="H1530" s="12" t="s">
        <v>717</v>
      </c>
      <c r="I1530" s="12">
        <v>25</v>
      </c>
      <c r="J1530" s="12">
        <v>60.19</v>
      </c>
      <c r="K1530" s="12">
        <v>60.18</v>
      </c>
      <c r="L1530" s="12">
        <v>-1504.75</v>
      </c>
      <c r="M1530" s="12">
        <v>-1.3</v>
      </c>
      <c r="N1530" s="12">
        <v>1506.05</v>
      </c>
      <c r="O1530" s="12">
        <v>0</v>
      </c>
      <c r="P1530" s="12">
        <v>-0.25</v>
      </c>
      <c r="Q1530" s="12" t="s">
        <v>215</v>
      </c>
    </row>
    <row r="1531" spans="1:17" x14ac:dyDescent="0.3">
      <c r="A1531" s="12" t="s">
        <v>92</v>
      </c>
      <c r="B1531" s="12" t="s">
        <v>201</v>
      </c>
      <c r="C1531" s="12" t="s">
        <v>123</v>
      </c>
      <c r="D1531" s="12" t="s">
        <v>209</v>
      </c>
      <c r="E1531" s="12" t="s">
        <v>110</v>
      </c>
      <c r="F1531" s="12" t="s">
        <v>114</v>
      </c>
      <c r="G1531" s="12" t="s">
        <v>3</v>
      </c>
      <c r="H1531" s="12" t="s">
        <v>718</v>
      </c>
      <c r="I1531" s="12">
        <v>-90</v>
      </c>
      <c r="J1531" s="12">
        <v>60.09</v>
      </c>
      <c r="K1531" s="12">
        <v>60.71</v>
      </c>
      <c r="L1531" s="12">
        <v>5408.1</v>
      </c>
      <c r="M1531" s="12">
        <v>-1.3</v>
      </c>
      <c r="N1531" s="12">
        <v>-4625.8905400000003</v>
      </c>
      <c r="O1531" s="12">
        <v>780.90945999999997</v>
      </c>
      <c r="P1531" s="12">
        <v>-55.8</v>
      </c>
      <c r="Q1531" s="12" t="s">
        <v>230</v>
      </c>
    </row>
    <row r="1532" spans="1:17" x14ac:dyDescent="0.3">
      <c r="A1532" s="12" t="s">
        <v>92</v>
      </c>
      <c r="B1532" s="12" t="s">
        <v>201</v>
      </c>
      <c r="C1532" s="12" t="s">
        <v>123</v>
      </c>
      <c r="D1532" s="12" t="s">
        <v>209</v>
      </c>
      <c r="E1532" s="12" t="s">
        <v>110</v>
      </c>
      <c r="F1532" s="12" t="s">
        <v>114</v>
      </c>
      <c r="G1532" s="12" t="s">
        <v>3</v>
      </c>
      <c r="H1532" s="12" t="s">
        <v>719</v>
      </c>
      <c r="I1532" s="12">
        <v>83</v>
      </c>
      <c r="J1532" s="12">
        <v>60.91</v>
      </c>
      <c r="K1532" s="12">
        <v>59.68</v>
      </c>
      <c r="L1532" s="12">
        <v>-5055.53</v>
      </c>
      <c r="M1532" s="12">
        <v>-1.3</v>
      </c>
      <c r="N1532" s="12">
        <v>5056.83</v>
      </c>
      <c r="O1532" s="12">
        <v>0</v>
      </c>
      <c r="P1532" s="12">
        <v>-102.09</v>
      </c>
      <c r="Q1532" s="12" t="s">
        <v>215</v>
      </c>
    </row>
    <row r="1533" spans="1:17" x14ac:dyDescent="0.3">
      <c r="A1533" s="12" t="s">
        <v>92</v>
      </c>
      <c r="B1533" s="12" t="s">
        <v>201</v>
      </c>
      <c r="C1533" s="12" t="s">
        <v>213</v>
      </c>
      <c r="E1533" s="12" t="s">
        <v>110</v>
      </c>
      <c r="F1533" s="12" t="s">
        <v>114</v>
      </c>
      <c r="G1533" s="12" t="s">
        <v>3</v>
      </c>
      <c r="I1533" s="12">
        <v>18</v>
      </c>
      <c r="L1533" s="12">
        <v>-1152.18</v>
      </c>
      <c r="M1533" s="12">
        <v>-3.9</v>
      </c>
      <c r="N1533" s="12">
        <v>1936.98946</v>
      </c>
      <c r="O1533" s="12">
        <v>780.90945999999997</v>
      </c>
      <c r="P1533" s="12">
        <v>-158.13999999999999</v>
      </c>
    </row>
    <row r="1534" spans="1:17" x14ac:dyDescent="0.3">
      <c r="A1534" s="12" t="s">
        <v>92</v>
      </c>
      <c r="B1534" s="12" t="s">
        <v>201</v>
      </c>
      <c r="C1534" s="12" t="s">
        <v>123</v>
      </c>
      <c r="D1534" s="12" t="s">
        <v>209</v>
      </c>
      <c r="E1534" s="12" t="s">
        <v>110</v>
      </c>
      <c r="F1534" s="12" t="s">
        <v>114</v>
      </c>
      <c r="G1534" s="12" t="s">
        <v>46</v>
      </c>
      <c r="H1534" s="12" t="s">
        <v>720</v>
      </c>
      <c r="I1534" s="12">
        <v>3</v>
      </c>
      <c r="J1534" s="12">
        <v>370.86</v>
      </c>
      <c r="K1534" s="12">
        <v>372.07</v>
      </c>
      <c r="L1534" s="12">
        <v>-1112.58</v>
      </c>
      <c r="M1534" s="12">
        <v>-1.3</v>
      </c>
      <c r="N1534" s="12">
        <v>1113.8800000000001</v>
      </c>
      <c r="O1534" s="12">
        <v>0</v>
      </c>
      <c r="P1534" s="12">
        <v>3.63</v>
      </c>
      <c r="Q1534" s="12" t="s">
        <v>215</v>
      </c>
    </row>
    <row r="1535" spans="1:17" x14ac:dyDescent="0.3">
      <c r="A1535" s="12" t="s">
        <v>92</v>
      </c>
      <c r="B1535" s="12" t="s">
        <v>201</v>
      </c>
      <c r="C1535" s="12" t="s">
        <v>123</v>
      </c>
      <c r="D1535" s="12" t="s">
        <v>209</v>
      </c>
      <c r="E1535" s="12" t="s">
        <v>110</v>
      </c>
      <c r="F1535" s="12" t="s">
        <v>114</v>
      </c>
      <c r="G1535" s="12" t="s">
        <v>46</v>
      </c>
      <c r="H1535" s="12" t="s">
        <v>721</v>
      </c>
      <c r="I1535" s="12">
        <v>6</v>
      </c>
      <c r="J1535" s="12">
        <v>350.49</v>
      </c>
      <c r="K1535" s="12">
        <v>349.8</v>
      </c>
      <c r="L1535" s="12">
        <v>-2102.94</v>
      </c>
      <c r="M1535" s="12">
        <v>-1.3</v>
      </c>
      <c r="N1535" s="12">
        <v>2104.2399999999998</v>
      </c>
      <c r="O1535" s="12">
        <v>0</v>
      </c>
      <c r="P1535" s="12">
        <v>-4.1399999999999997</v>
      </c>
      <c r="Q1535" s="12" t="s">
        <v>215</v>
      </c>
    </row>
    <row r="1536" spans="1:17" x14ac:dyDescent="0.3">
      <c r="A1536" s="12" t="s">
        <v>92</v>
      </c>
      <c r="B1536" s="12" t="s">
        <v>201</v>
      </c>
      <c r="C1536" s="12" t="s">
        <v>213</v>
      </c>
      <c r="E1536" s="12" t="s">
        <v>110</v>
      </c>
      <c r="F1536" s="12" t="s">
        <v>114</v>
      </c>
      <c r="G1536" s="12" t="s">
        <v>46</v>
      </c>
      <c r="I1536" s="12">
        <v>9</v>
      </c>
      <c r="L1536" s="12">
        <v>-3215.52</v>
      </c>
      <c r="M1536" s="12">
        <v>-2.6</v>
      </c>
      <c r="N1536" s="12">
        <v>3218.12</v>
      </c>
      <c r="O1536" s="12">
        <v>0</v>
      </c>
      <c r="P1536" s="12">
        <v>-0.51</v>
      </c>
    </row>
    <row r="1537" spans="1:17" x14ac:dyDescent="0.3">
      <c r="A1537" s="12" t="s">
        <v>92</v>
      </c>
      <c r="B1537" s="12" t="s">
        <v>201</v>
      </c>
      <c r="C1537" s="12" t="s">
        <v>123</v>
      </c>
      <c r="D1537" s="12" t="s">
        <v>209</v>
      </c>
      <c r="E1537" s="12" t="s">
        <v>110</v>
      </c>
      <c r="F1537" s="12" t="s">
        <v>114</v>
      </c>
      <c r="G1537" s="12" t="s">
        <v>18</v>
      </c>
      <c r="H1537" s="12" t="s">
        <v>722</v>
      </c>
      <c r="I1537" s="12">
        <v>5</v>
      </c>
      <c r="J1537" s="12">
        <v>290.3</v>
      </c>
      <c r="K1537" s="12">
        <v>290.04000000000002</v>
      </c>
      <c r="L1537" s="12">
        <v>-1451.5</v>
      </c>
      <c r="M1537" s="12">
        <v>-1.3</v>
      </c>
      <c r="N1537" s="12">
        <v>1452.8</v>
      </c>
      <c r="O1537" s="12">
        <v>0</v>
      </c>
      <c r="P1537" s="12">
        <v>-1.3</v>
      </c>
      <c r="Q1537" s="12" t="s">
        <v>215</v>
      </c>
    </row>
    <row r="1538" spans="1:17" x14ac:dyDescent="0.3">
      <c r="A1538" s="12" t="s">
        <v>92</v>
      </c>
      <c r="B1538" s="12" t="s">
        <v>201</v>
      </c>
      <c r="C1538" s="12" t="s">
        <v>213</v>
      </c>
      <c r="E1538" s="12" t="s">
        <v>110</v>
      </c>
      <c r="F1538" s="12" t="s">
        <v>114</v>
      </c>
      <c r="G1538" s="12" t="s">
        <v>18</v>
      </c>
      <c r="I1538" s="12">
        <v>5</v>
      </c>
      <c r="L1538" s="12">
        <v>-1451.5</v>
      </c>
      <c r="M1538" s="12">
        <v>-1.3</v>
      </c>
      <c r="N1538" s="12">
        <v>1452.8</v>
      </c>
      <c r="O1538" s="12">
        <v>0</v>
      </c>
      <c r="P1538" s="12">
        <v>-1.3</v>
      </c>
    </row>
    <row r="1539" spans="1:17" x14ac:dyDescent="0.3">
      <c r="A1539" s="12" t="s">
        <v>92</v>
      </c>
      <c r="B1539" s="12" t="s">
        <v>201</v>
      </c>
      <c r="C1539" s="12" t="s">
        <v>123</v>
      </c>
      <c r="D1539" s="12" t="s">
        <v>209</v>
      </c>
      <c r="E1539" s="12" t="s">
        <v>110</v>
      </c>
      <c r="F1539" s="12" t="s">
        <v>114</v>
      </c>
      <c r="G1539" s="12" t="s">
        <v>54</v>
      </c>
      <c r="H1539" s="12" t="s">
        <v>723</v>
      </c>
      <c r="I1539" s="12">
        <v>-0.25</v>
      </c>
      <c r="J1539" s="12">
        <v>141.88249999999999</v>
      </c>
      <c r="K1539" s="12">
        <v>140</v>
      </c>
      <c r="L1539" s="12">
        <v>35.470624999999998</v>
      </c>
      <c r="M1539" s="12">
        <v>0</v>
      </c>
      <c r="N1539" s="12">
        <v>-32.550120999999997</v>
      </c>
      <c r="O1539" s="12">
        <v>2.9205040000000002</v>
      </c>
      <c r="P1539" s="12">
        <v>0.47060000000000002</v>
      </c>
      <c r="Q1539" s="12" t="s">
        <v>3</v>
      </c>
    </row>
    <row r="1540" spans="1:17" x14ac:dyDescent="0.3">
      <c r="A1540" s="12" t="s">
        <v>92</v>
      </c>
      <c r="B1540" s="12" t="s">
        <v>201</v>
      </c>
      <c r="C1540" s="12" t="s">
        <v>123</v>
      </c>
      <c r="D1540" s="12" t="s">
        <v>209</v>
      </c>
      <c r="E1540" s="12" t="s">
        <v>110</v>
      </c>
      <c r="F1540" s="12" t="s">
        <v>114</v>
      </c>
      <c r="G1540" s="12" t="s">
        <v>54</v>
      </c>
      <c r="H1540" s="12" t="s">
        <v>724</v>
      </c>
      <c r="I1540" s="12">
        <v>10</v>
      </c>
      <c r="J1540" s="12">
        <v>131</v>
      </c>
      <c r="K1540" s="12">
        <v>132.16999999999999</v>
      </c>
      <c r="L1540" s="12">
        <v>-1310</v>
      </c>
      <c r="M1540" s="12">
        <v>-1.3</v>
      </c>
      <c r="N1540" s="12">
        <v>1311.3</v>
      </c>
      <c r="O1540" s="12">
        <v>0</v>
      </c>
      <c r="P1540" s="12">
        <v>11.7</v>
      </c>
      <c r="Q1540" s="12" t="s">
        <v>211</v>
      </c>
    </row>
    <row r="1541" spans="1:17" x14ac:dyDescent="0.3">
      <c r="A1541" s="12" t="s">
        <v>92</v>
      </c>
      <c r="B1541" s="12" t="s">
        <v>201</v>
      </c>
      <c r="C1541" s="12" t="s">
        <v>213</v>
      </c>
      <c r="E1541" s="12" t="s">
        <v>110</v>
      </c>
      <c r="F1541" s="12" t="s">
        <v>114</v>
      </c>
      <c r="G1541" s="12" t="s">
        <v>54</v>
      </c>
      <c r="I1541" s="12">
        <v>9.75</v>
      </c>
      <c r="L1541" s="12">
        <v>-1274.5293750000001</v>
      </c>
      <c r="M1541" s="12">
        <v>-1.3</v>
      </c>
      <c r="N1541" s="12">
        <v>1278.749879</v>
      </c>
      <c r="O1541" s="12">
        <v>2.9205040000000002</v>
      </c>
      <c r="P1541" s="12">
        <v>12.1706</v>
      </c>
    </row>
    <row r="1542" spans="1:17" x14ac:dyDescent="0.3">
      <c r="A1542" s="12" t="s">
        <v>92</v>
      </c>
      <c r="B1542" s="12" t="s">
        <v>201</v>
      </c>
      <c r="C1542" s="12" t="s">
        <v>123</v>
      </c>
      <c r="D1542" s="12" t="s">
        <v>209</v>
      </c>
      <c r="E1542" s="12" t="s">
        <v>110</v>
      </c>
      <c r="F1542" s="12" t="s">
        <v>114</v>
      </c>
      <c r="G1542" s="12" t="s">
        <v>19</v>
      </c>
      <c r="H1542" s="12" t="s">
        <v>725</v>
      </c>
      <c r="I1542" s="12">
        <v>-40</v>
      </c>
      <c r="J1542" s="12">
        <v>157</v>
      </c>
      <c r="K1542" s="12">
        <v>156</v>
      </c>
      <c r="L1542" s="12">
        <v>6280</v>
      </c>
      <c r="M1542" s="12">
        <v>-1.3</v>
      </c>
      <c r="N1542" s="12">
        <v>-5563.285981</v>
      </c>
      <c r="O1542" s="12">
        <v>715.41401900000005</v>
      </c>
      <c r="P1542" s="12">
        <v>40</v>
      </c>
      <c r="Q1542" s="12" t="s">
        <v>3</v>
      </c>
    </row>
    <row r="1543" spans="1:17" x14ac:dyDescent="0.3">
      <c r="A1543" s="12" t="s">
        <v>92</v>
      </c>
      <c r="B1543" s="12" t="s">
        <v>201</v>
      </c>
      <c r="C1543" s="12" t="s">
        <v>213</v>
      </c>
      <c r="E1543" s="12" t="s">
        <v>110</v>
      </c>
      <c r="F1543" s="12" t="s">
        <v>114</v>
      </c>
      <c r="G1543" s="12" t="s">
        <v>19</v>
      </c>
      <c r="I1543" s="12">
        <v>-40</v>
      </c>
      <c r="L1543" s="12">
        <v>6280</v>
      </c>
      <c r="M1543" s="12">
        <v>-1.3</v>
      </c>
      <c r="N1543" s="12">
        <v>-5563.285981</v>
      </c>
      <c r="O1543" s="12">
        <v>715.41401900000005</v>
      </c>
      <c r="P1543" s="12">
        <v>40</v>
      </c>
    </row>
    <row r="1544" spans="1:17" x14ac:dyDescent="0.3">
      <c r="A1544" s="12" t="s">
        <v>92</v>
      </c>
      <c r="B1544" s="12" t="s">
        <v>201</v>
      </c>
      <c r="C1544" s="12" t="s">
        <v>123</v>
      </c>
      <c r="D1544" s="12" t="s">
        <v>209</v>
      </c>
      <c r="E1544" s="12" t="s">
        <v>110</v>
      </c>
      <c r="F1544" s="12" t="s">
        <v>114</v>
      </c>
      <c r="G1544" s="12" t="s">
        <v>37</v>
      </c>
      <c r="H1544" s="12" t="s">
        <v>726</v>
      </c>
      <c r="I1544" s="12">
        <v>10</v>
      </c>
      <c r="J1544" s="12">
        <v>166.98</v>
      </c>
      <c r="K1544" s="12">
        <v>167.13</v>
      </c>
      <c r="L1544" s="12">
        <v>-1669.8</v>
      </c>
      <c r="M1544" s="12">
        <v>-1.3</v>
      </c>
      <c r="N1544" s="12">
        <v>1671.1</v>
      </c>
      <c r="O1544" s="12">
        <v>0</v>
      </c>
      <c r="P1544" s="12">
        <v>1.5</v>
      </c>
      <c r="Q1544" s="12" t="s">
        <v>215</v>
      </c>
    </row>
    <row r="1545" spans="1:17" x14ac:dyDescent="0.3">
      <c r="A1545" s="12" t="s">
        <v>92</v>
      </c>
      <c r="B1545" s="12" t="s">
        <v>201</v>
      </c>
      <c r="C1545" s="12" t="s">
        <v>213</v>
      </c>
      <c r="E1545" s="12" t="s">
        <v>110</v>
      </c>
      <c r="F1545" s="12" t="s">
        <v>114</v>
      </c>
      <c r="G1545" s="12" t="s">
        <v>37</v>
      </c>
      <c r="I1545" s="12">
        <v>10</v>
      </c>
      <c r="L1545" s="12">
        <v>-1669.8</v>
      </c>
      <c r="M1545" s="12">
        <v>-1.3</v>
      </c>
      <c r="N1545" s="12">
        <v>1671.1</v>
      </c>
      <c r="O1545" s="12">
        <v>0</v>
      </c>
      <c r="P1545" s="12">
        <v>1.5</v>
      </c>
    </row>
    <row r="1546" spans="1:17" x14ac:dyDescent="0.3">
      <c r="A1546" s="12" t="s">
        <v>92</v>
      </c>
      <c r="B1546" s="12" t="s">
        <v>201</v>
      </c>
      <c r="C1546" s="12" t="s">
        <v>123</v>
      </c>
      <c r="D1546" s="12" t="s">
        <v>209</v>
      </c>
      <c r="E1546" s="12" t="s">
        <v>110</v>
      </c>
      <c r="F1546" s="12" t="s">
        <v>114</v>
      </c>
      <c r="G1546" s="12" t="s">
        <v>49</v>
      </c>
      <c r="H1546" s="12" t="s">
        <v>727</v>
      </c>
      <c r="I1546" s="12">
        <v>2</v>
      </c>
      <c r="J1546" s="12">
        <v>761.65</v>
      </c>
      <c r="K1546" s="12">
        <v>761.98</v>
      </c>
      <c r="L1546" s="12">
        <v>-1523.3</v>
      </c>
      <c r="M1546" s="12">
        <v>-1.3</v>
      </c>
      <c r="N1546" s="12">
        <v>1524.6</v>
      </c>
      <c r="O1546" s="12">
        <v>0</v>
      </c>
      <c r="P1546" s="12">
        <v>0.66</v>
      </c>
      <c r="Q1546" s="12" t="s">
        <v>215</v>
      </c>
    </row>
    <row r="1547" spans="1:17" x14ac:dyDescent="0.3">
      <c r="A1547" s="12" t="s">
        <v>92</v>
      </c>
      <c r="B1547" s="12" t="s">
        <v>201</v>
      </c>
      <c r="C1547" s="12" t="s">
        <v>123</v>
      </c>
      <c r="D1547" s="12" t="s">
        <v>209</v>
      </c>
      <c r="E1547" s="12" t="s">
        <v>110</v>
      </c>
      <c r="F1547" s="12" t="s">
        <v>114</v>
      </c>
      <c r="G1547" s="12" t="s">
        <v>49</v>
      </c>
      <c r="H1547" s="12" t="s">
        <v>728</v>
      </c>
      <c r="I1547" s="12">
        <v>-3</v>
      </c>
      <c r="J1547" s="12">
        <v>734.35500000000002</v>
      </c>
      <c r="K1547" s="12">
        <v>737.2</v>
      </c>
      <c r="L1547" s="12">
        <v>2203.0650000000001</v>
      </c>
      <c r="M1547" s="12">
        <v>-1.3</v>
      </c>
      <c r="N1547" s="12">
        <v>-2353.92</v>
      </c>
      <c r="O1547" s="12">
        <v>-152.155</v>
      </c>
      <c r="P1547" s="12">
        <v>-8.5350000000000001</v>
      </c>
      <c r="Q1547" s="12" t="s">
        <v>3</v>
      </c>
    </row>
    <row r="1548" spans="1:17" x14ac:dyDescent="0.3">
      <c r="A1548" s="12" t="s">
        <v>92</v>
      </c>
      <c r="B1548" s="12" t="s">
        <v>201</v>
      </c>
      <c r="C1548" s="12" t="s">
        <v>213</v>
      </c>
      <c r="E1548" s="12" t="s">
        <v>110</v>
      </c>
      <c r="F1548" s="12" t="s">
        <v>114</v>
      </c>
      <c r="G1548" s="12" t="s">
        <v>49</v>
      </c>
      <c r="I1548" s="12">
        <v>-1</v>
      </c>
      <c r="L1548" s="12">
        <v>679.76499999999999</v>
      </c>
      <c r="M1548" s="12">
        <v>-2.6</v>
      </c>
      <c r="N1548" s="12">
        <v>-829.32</v>
      </c>
      <c r="O1548" s="12">
        <v>-152.155</v>
      </c>
      <c r="P1548" s="12">
        <v>-7.875</v>
      </c>
    </row>
    <row r="1549" spans="1:17" x14ac:dyDescent="0.3">
      <c r="A1549" s="12" t="s">
        <v>92</v>
      </c>
      <c r="B1549" s="12" t="s">
        <v>201</v>
      </c>
      <c r="C1549" s="12" t="s">
        <v>123</v>
      </c>
      <c r="D1549" s="12" t="s">
        <v>209</v>
      </c>
      <c r="E1549" s="12" t="s">
        <v>110</v>
      </c>
      <c r="F1549" s="12" t="s">
        <v>114</v>
      </c>
      <c r="G1549" s="12" t="s">
        <v>26</v>
      </c>
      <c r="H1549" s="12" t="s">
        <v>729</v>
      </c>
      <c r="I1549" s="12">
        <v>-5</v>
      </c>
      <c r="J1549" s="12">
        <v>400.15</v>
      </c>
      <c r="K1549" s="12">
        <v>391.57</v>
      </c>
      <c r="L1549" s="12">
        <v>2000.75</v>
      </c>
      <c r="M1549" s="12">
        <v>-1.3</v>
      </c>
      <c r="N1549" s="12">
        <v>-1878.9222219999999</v>
      </c>
      <c r="O1549" s="12">
        <v>120.527778</v>
      </c>
      <c r="P1549" s="12">
        <v>42.9</v>
      </c>
      <c r="Q1549" s="12" t="s">
        <v>3</v>
      </c>
    </row>
    <row r="1550" spans="1:17" x14ac:dyDescent="0.3">
      <c r="A1550" s="12" t="s">
        <v>92</v>
      </c>
      <c r="B1550" s="12" t="s">
        <v>201</v>
      </c>
      <c r="C1550" s="12" t="s">
        <v>213</v>
      </c>
      <c r="E1550" s="12" t="s">
        <v>110</v>
      </c>
      <c r="F1550" s="12" t="s">
        <v>114</v>
      </c>
      <c r="G1550" s="12" t="s">
        <v>26</v>
      </c>
      <c r="I1550" s="12">
        <v>-5</v>
      </c>
      <c r="L1550" s="12">
        <v>2000.75</v>
      </c>
      <c r="M1550" s="12">
        <v>-1.3</v>
      </c>
      <c r="N1550" s="12">
        <v>-1878.9222219999999</v>
      </c>
      <c r="O1550" s="12">
        <v>120.527778</v>
      </c>
      <c r="P1550" s="12">
        <v>42.9</v>
      </c>
    </row>
    <row r="1551" spans="1:17" x14ac:dyDescent="0.3">
      <c r="A1551" s="12" t="s">
        <v>92</v>
      </c>
      <c r="B1551" s="12" t="s">
        <v>201</v>
      </c>
      <c r="C1551" s="12" t="s">
        <v>123</v>
      </c>
      <c r="D1551" s="12" t="s">
        <v>209</v>
      </c>
      <c r="E1551" s="12" t="s">
        <v>110</v>
      </c>
      <c r="F1551" s="12" t="s">
        <v>114</v>
      </c>
      <c r="G1551" s="12" t="s">
        <v>27</v>
      </c>
      <c r="H1551" s="12" t="s">
        <v>730</v>
      </c>
      <c r="I1551" s="12">
        <v>3</v>
      </c>
      <c r="J1551" s="12">
        <v>520.80999999999995</v>
      </c>
      <c r="K1551" s="12">
        <v>519.83000000000004</v>
      </c>
      <c r="L1551" s="12">
        <v>-1562.43</v>
      </c>
      <c r="M1551" s="12">
        <v>-1.3</v>
      </c>
      <c r="N1551" s="12">
        <v>1563.73</v>
      </c>
      <c r="O1551" s="12">
        <v>0</v>
      </c>
      <c r="P1551" s="12">
        <v>-2.94</v>
      </c>
      <c r="Q1551" s="12" t="s">
        <v>215</v>
      </c>
    </row>
    <row r="1552" spans="1:17" x14ac:dyDescent="0.3">
      <c r="A1552" s="12" t="s">
        <v>92</v>
      </c>
      <c r="B1552" s="12" t="s">
        <v>201</v>
      </c>
      <c r="C1552" s="12" t="s">
        <v>213</v>
      </c>
      <c r="E1552" s="12" t="s">
        <v>110</v>
      </c>
      <c r="F1552" s="12" t="s">
        <v>114</v>
      </c>
      <c r="G1552" s="12" t="s">
        <v>27</v>
      </c>
      <c r="I1552" s="12">
        <v>3</v>
      </c>
      <c r="L1552" s="12">
        <v>-1562.43</v>
      </c>
      <c r="M1552" s="12">
        <v>-1.3</v>
      </c>
      <c r="N1552" s="12">
        <v>1563.73</v>
      </c>
      <c r="O1552" s="12">
        <v>0</v>
      </c>
      <c r="P1552" s="12">
        <v>-2.94</v>
      </c>
    </row>
    <row r="1553" spans="1:17" x14ac:dyDescent="0.3">
      <c r="A1553" s="12" t="s">
        <v>92</v>
      </c>
      <c r="B1553" s="12" t="s">
        <v>201</v>
      </c>
      <c r="C1553" s="12" t="s">
        <v>123</v>
      </c>
      <c r="D1553" s="12" t="s">
        <v>209</v>
      </c>
      <c r="E1553" s="12" t="s">
        <v>110</v>
      </c>
      <c r="F1553" s="12" t="s">
        <v>114</v>
      </c>
      <c r="G1553" s="12" t="s">
        <v>55</v>
      </c>
      <c r="H1553" s="12" t="s">
        <v>731</v>
      </c>
      <c r="I1553" s="12">
        <v>50</v>
      </c>
      <c r="J1553" s="12">
        <v>122.52</v>
      </c>
      <c r="K1553" s="12">
        <v>116.33</v>
      </c>
      <c r="L1553" s="12">
        <v>-6126</v>
      </c>
      <c r="M1553" s="12">
        <v>-1.3</v>
      </c>
      <c r="N1553" s="12">
        <v>6127.3</v>
      </c>
      <c r="O1553" s="12">
        <v>0</v>
      </c>
      <c r="P1553" s="12">
        <v>-309.5</v>
      </c>
      <c r="Q1553" s="12" t="s">
        <v>211</v>
      </c>
    </row>
    <row r="1554" spans="1:17" x14ac:dyDescent="0.3">
      <c r="A1554" s="12" t="s">
        <v>92</v>
      </c>
      <c r="B1554" s="12" t="s">
        <v>201</v>
      </c>
      <c r="C1554" s="12" t="s">
        <v>213</v>
      </c>
      <c r="E1554" s="12" t="s">
        <v>110</v>
      </c>
      <c r="F1554" s="12" t="s">
        <v>114</v>
      </c>
      <c r="G1554" s="12" t="s">
        <v>55</v>
      </c>
      <c r="I1554" s="12">
        <v>50</v>
      </c>
      <c r="L1554" s="12">
        <v>-6126</v>
      </c>
      <c r="M1554" s="12">
        <v>-1.3</v>
      </c>
      <c r="N1554" s="12">
        <v>6127.3</v>
      </c>
      <c r="O1554" s="12">
        <v>0</v>
      </c>
      <c r="P1554" s="12">
        <v>-309.5</v>
      </c>
    </row>
    <row r="1555" spans="1:17" x14ac:dyDescent="0.3">
      <c r="A1555" s="12" t="s">
        <v>92</v>
      </c>
      <c r="B1555" s="12" t="s">
        <v>201</v>
      </c>
      <c r="C1555" s="12" t="s">
        <v>123</v>
      </c>
      <c r="D1555" s="12" t="s">
        <v>209</v>
      </c>
      <c r="E1555" s="12" t="s">
        <v>110</v>
      </c>
      <c r="F1555" s="12" t="s">
        <v>114</v>
      </c>
      <c r="G1555" s="12" t="s">
        <v>50</v>
      </c>
      <c r="H1555" s="12" t="s">
        <v>732</v>
      </c>
      <c r="I1555" s="12">
        <v>2</v>
      </c>
      <c r="J1555" s="12">
        <v>769.55</v>
      </c>
      <c r="K1555" s="12">
        <v>769.19</v>
      </c>
      <c r="L1555" s="12">
        <v>-1539.1</v>
      </c>
      <c r="M1555" s="12">
        <v>-1.3</v>
      </c>
      <c r="N1555" s="12">
        <v>1540.4</v>
      </c>
      <c r="O1555" s="12">
        <v>0</v>
      </c>
      <c r="P1555" s="12">
        <v>-0.72</v>
      </c>
      <c r="Q1555" s="12" t="s">
        <v>215</v>
      </c>
    </row>
    <row r="1556" spans="1:17" x14ac:dyDescent="0.3">
      <c r="A1556" s="12" t="s">
        <v>92</v>
      </c>
      <c r="B1556" s="12" t="s">
        <v>201</v>
      </c>
      <c r="C1556" s="12" t="s">
        <v>213</v>
      </c>
      <c r="E1556" s="12" t="s">
        <v>110</v>
      </c>
      <c r="F1556" s="12" t="s">
        <v>114</v>
      </c>
      <c r="G1556" s="12" t="s">
        <v>50</v>
      </c>
      <c r="I1556" s="12">
        <v>2</v>
      </c>
      <c r="L1556" s="12">
        <v>-1539.1</v>
      </c>
      <c r="M1556" s="12">
        <v>-1.3</v>
      </c>
      <c r="N1556" s="12">
        <v>1540.4</v>
      </c>
      <c r="O1556" s="12">
        <v>0</v>
      </c>
      <c r="P1556" s="12">
        <v>-0.72</v>
      </c>
    </row>
    <row r="1557" spans="1:17" x14ac:dyDescent="0.3">
      <c r="A1557" s="12" t="s">
        <v>92</v>
      </c>
      <c r="B1557" s="12" t="s">
        <v>201</v>
      </c>
      <c r="C1557" s="12" t="s">
        <v>123</v>
      </c>
      <c r="D1557" s="12" t="s">
        <v>209</v>
      </c>
      <c r="E1557" s="12" t="s">
        <v>110</v>
      </c>
      <c r="F1557" s="12" t="s">
        <v>114</v>
      </c>
      <c r="G1557" s="12" t="s">
        <v>56</v>
      </c>
      <c r="H1557" s="12" t="s">
        <v>733</v>
      </c>
      <c r="I1557" s="12">
        <v>30</v>
      </c>
      <c r="J1557" s="12">
        <v>125.1</v>
      </c>
      <c r="K1557" s="12">
        <v>126.46</v>
      </c>
      <c r="L1557" s="12">
        <v>-3753</v>
      </c>
      <c r="M1557" s="12">
        <v>-1.3</v>
      </c>
      <c r="N1557" s="12">
        <v>3754.3</v>
      </c>
      <c r="O1557" s="12">
        <v>0</v>
      </c>
      <c r="P1557" s="12">
        <v>40.799999999999997</v>
      </c>
      <c r="Q1557" s="12" t="s">
        <v>215</v>
      </c>
    </row>
    <row r="1558" spans="1:17" x14ac:dyDescent="0.3">
      <c r="A1558" s="12" t="s">
        <v>92</v>
      </c>
      <c r="B1558" s="12" t="s">
        <v>201</v>
      </c>
      <c r="C1558" s="12" t="s">
        <v>123</v>
      </c>
      <c r="D1558" s="12" t="s">
        <v>209</v>
      </c>
      <c r="E1558" s="12" t="s">
        <v>110</v>
      </c>
      <c r="F1558" s="12" t="s">
        <v>114</v>
      </c>
      <c r="G1558" s="12" t="s">
        <v>56</v>
      </c>
      <c r="H1558" s="12" t="s">
        <v>734</v>
      </c>
      <c r="I1558" s="12">
        <v>5</v>
      </c>
      <c r="J1558" s="12">
        <v>124.92</v>
      </c>
      <c r="K1558" s="12">
        <v>124.93</v>
      </c>
      <c r="L1558" s="12">
        <v>-624.6</v>
      </c>
      <c r="M1558" s="12">
        <v>-1.3</v>
      </c>
      <c r="N1558" s="12">
        <v>625.9</v>
      </c>
      <c r="O1558" s="12">
        <v>0</v>
      </c>
      <c r="P1558" s="12">
        <v>0.05</v>
      </c>
      <c r="Q1558" s="12" t="s">
        <v>215</v>
      </c>
    </row>
    <row r="1559" spans="1:17" x14ac:dyDescent="0.3">
      <c r="A1559" s="12" t="s">
        <v>92</v>
      </c>
      <c r="B1559" s="12" t="s">
        <v>201</v>
      </c>
      <c r="C1559" s="12" t="s">
        <v>213</v>
      </c>
      <c r="E1559" s="12" t="s">
        <v>110</v>
      </c>
      <c r="F1559" s="12" t="s">
        <v>114</v>
      </c>
      <c r="G1559" s="12" t="s">
        <v>56</v>
      </c>
      <c r="I1559" s="12">
        <v>35</v>
      </c>
      <c r="L1559" s="12">
        <v>-4377.6000000000004</v>
      </c>
      <c r="M1559" s="12">
        <v>-2.6</v>
      </c>
      <c r="N1559" s="12">
        <v>4380.2</v>
      </c>
      <c r="O1559" s="12">
        <v>0</v>
      </c>
      <c r="P1559" s="12">
        <v>40.85</v>
      </c>
    </row>
    <row r="1560" spans="1:17" x14ac:dyDescent="0.3">
      <c r="A1560" s="12" t="s">
        <v>92</v>
      </c>
      <c r="B1560" s="12" t="s">
        <v>201</v>
      </c>
      <c r="C1560" s="12" t="s">
        <v>123</v>
      </c>
      <c r="D1560" s="12" t="s">
        <v>209</v>
      </c>
      <c r="E1560" s="12" t="s">
        <v>110</v>
      </c>
      <c r="F1560" s="12" t="s">
        <v>114</v>
      </c>
      <c r="G1560" s="12" t="s">
        <v>57</v>
      </c>
      <c r="H1560" s="12" t="s">
        <v>735</v>
      </c>
      <c r="I1560" s="12">
        <v>30</v>
      </c>
      <c r="J1560" s="12">
        <v>121.91</v>
      </c>
      <c r="K1560" s="12">
        <v>119.88</v>
      </c>
      <c r="L1560" s="12">
        <v>-3657.3</v>
      </c>
      <c r="M1560" s="12">
        <v>-1.3</v>
      </c>
      <c r="N1560" s="12">
        <v>3658.6</v>
      </c>
      <c r="O1560" s="12">
        <v>0</v>
      </c>
      <c r="P1560" s="12">
        <v>-60.9</v>
      </c>
      <c r="Q1560" s="12" t="s">
        <v>215</v>
      </c>
    </row>
    <row r="1561" spans="1:17" x14ac:dyDescent="0.3">
      <c r="A1561" s="12" t="s">
        <v>92</v>
      </c>
      <c r="B1561" s="12" t="s">
        <v>201</v>
      </c>
      <c r="C1561" s="12" t="s">
        <v>123</v>
      </c>
      <c r="D1561" s="12" t="s">
        <v>209</v>
      </c>
      <c r="E1561" s="12" t="s">
        <v>110</v>
      </c>
      <c r="F1561" s="12" t="s">
        <v>114</v>
      </c>
      <c r="G1561" s="12" t="s">
        <v>57</v>
      </c>
      <c r="H1561" s="12" t="s">
        <v>736</v>
      </c>
      <c r="I1561" s="12">
        <v>15</v>
      </c>
      <c r="J1561" s="12">
        <v>115.84</v>
      </c>
      <c r="K1561" s="12">
        <v>116.49</v>
      </c>
      <c r="L1561" s="12">
        <v>-1737.6</v>
      </c>
      <c r="M1561" s="12">
        <v>-1.3</v>
      </c>
      <c r="N1561" s="12">
        <v>1738.9</v>
      </c>
      <c r="O1561" s="12">
        <v>0</v>
      </c>
      <c r="P1561" s="12">
        <v>9.75</v>
      </c>
      <c r="Q1561" s="12" t="s">
        <v>215</v>
      </c>
    </row>
    <row r="1562" spans="1:17" x14ac:dyDescent="0.3">
      <c r="A1562" s="12" t="s">
        <v>92</v>
      </c>
      <c r="B1562" s="12" t="s">
        <v>201</v>
      </c>
      <c r="C1562" s="12" t="s">
        <v>213</v>
      </c>
      <c r="E1562" s="12" t="s">
        <v>110</v>
      </c>
      <c r="F1562" s="12" t="s">
        <v>114</v>
      </c>
      <c r="G1562" s="12" t="s">
        <v>57</v>
      </c>
      <c r="I1562" s="12">
        <v>45</v>
      </c>
      <c r="L1562" s="12">
        <v>-5394.9</v>
      </c>
      <c r="M1562" s="12">
        <v>-2.6</v>
      </c>
      <c r="N1562" s="12">
        <v>5397.5</v>
      </c>
      <c r="O1562" s="12">
        <v>0</v>
      </c>
      <c r="P1562" s="12">
        <v>-51.15</v>
      </c>
    </row>
    <row r="1563" spans="1:17" x14ac:dyDescent="0.3">
      <c r="A1563" s="12" t="s">
        <v>92</v>
      </c>
      <c r="B1563" s="12" t="s">
        <v>201</v>
      </c>
      <c r="C1563" s="12" t="s">
        <v>123</v>
      </c>
      <c r="D1563" s="12" t="s">
        <v>209</v>
      </c>
      <c r="E1563" s="12" t="s">
        <v>110</v>
      </c>
      <c r="F1563" s="12" t="s">
        <v>114</v>
      </c>
      <c r="G1563" s="12" t="s">
        <v>51</v>
      </c>
      <c r="H1563" s="12" t="s">
        <v>737</v>
      </c>
      <c r="I1563" s="12">
        <v>2</v>
      </c>
      <c r="J1563" s="12">
        <v>956.11</v>
      </c>
      <c r="K1563" s="12">
        <v>948.02</v>
      </c>
      <c r="L1563" s="12">
        <v>-1912.22</v>
      </c>
      <c r="M1563" s="12">
        <v>-1.3</v>
      </c>
      <c r="N1563" s="12">
        <v>1913.52</v>
      </c>
      <c r="O1563" s="12">
        <v>0</v>
      </c>
      <c r="P1563" s="12">
        <v>-16.18</v>
      </c>
      <c r="Q1563" s="12" t="s">
        <v>215</v>
      </c>
    </row>
    <row r="1564" spans="1:17" x14ac:dyDescent="0.3">
      <c r="A1564" s="12" t="s">
        <v>92</v>
      </c>
      <c r="B1564" s="12" t="s">
        <v>201</v>
      </c>
      <c r="C1564" s="12" t="s">
        <v>123</v>
      </c>
      <c r="D1564" s="12" t="s">
        <v>209</v>
      </c>
      <c r="E1564" s="12" t="s">
        <v>110</v>
      </c>
      <c r="F1564" s="12" t="s">
        <v>114</v>
      </c>
      <c r="G1564" s="12" t="s">
        <v>51</v>
      </c>
      <c r="H1564" s="12" t="s">
        <v>738</v>
      </c>
      <c r="I1564" s="12">
        <v>-4</v>
      </c>
      <c r="J1564" s="12">
        <v>928.98</v>
      </c>
      <c r="K1564" s="12">
        <v>904.2</v>
      </c>
      <c r="L1564" s="12">
        <v>3715.92</v>
      </c>
      <c r="M1564" s="12">
        <v>-1.3</v>
      </c>
      <c r="N1564" s="12">
        <v>-3946.97</v>
      </c>
      <c r="O1564" s="12">
        <v>-232.35</v>
      </c>
      <c r="P1564" s="12">
        <v>99.12</v>
      </c>
      <c r="Q1564" s="12" t="s">
        <v>3</v>
      </c>
    </row>
    <row r="1565" spans="1:17" x14ac:dyDescent="0.3">
      <c r="A1565" s="12" t="s">
        <v>92</v>
      </c>
      <c r="B1565" s="12" t="s">
        <v>201</v>
      </c>
      <c r="C1565" s="12" t="s">
        <v>213</v>
      </c>
      <c r="E1565" s="12" t="s">
        <v>110</v>
      </c>
      <c r="F1565" s="12" t="s">
        <v>114</v>
      </c>
      <c r="G1565" s="12" t="s">
        <v>51</v>
      </c>
      <c r="I1565" s="12">
        <v>-2</v>
      </c>
      <c r="L1565" s="12">
        <v>1803.7</v>
      </c>
      <c r="M1565" s="12">
        <v>-2.6</v>
      </c>
      <c r="N1565" s="12">
        <v>-2033.45</v>
      </c>
      <c r="O1565" s="12">
        <v>-232.35</v>
      </c>
      <c r="P1565" s="12">
        <v>82.94</v>
      </c>
    </row>
    <row r="1566" spans="1:17" x14ac:dyDescent="0.3">
      <c r="A1566" s="12" t="s">
        <v>92</v>
      </c>
      <c r="B1566" s="12" t="s">
        <v>201</v>
      </c>
      <c r="C1566" s="12" t="s">
        <v>123</v>
      </c>
      <c r="D1566" s="12" t="s">
        <v>209</v>
      </c>
      <c r="E1566" s="12" t="s">
        <v>110</v>
      </c>
      <c r="F1566" s="12" t="s">
        <v>114</v>
      </c>
      <c r="G1566" s="12" t="s">
        <v>40</v>
      </c>
      <c r="H1566" s="12" t="s">
        <v>739</v>
      </c>
      <c r="I1566" s="12">
        <v>-15</v>
      </c>
      <c r="J1566" s="12">
        <v>235.8</v>
      </c>
      <c r="K1566" s="12">
        <v>236.16</v>
      </c>
      <c r="L1566" s="12">
        <v>3537</v>
      </c>
      <c r="M1566" s="12">
        <v>-1.3</v>
      </c>
      <c r="N1566" s="12">
        <v>-3706.3</v>
      </c>
      <c r="O1566" s="12">
        <v>-170.6</v>
      </c>
      <c r="P1566" s="12">
        <v>-5.4</v>
      </c>
      <c r="Q1566" s="12" t="s">
        <v>3</v>
      </c>
    </row>
    <row r="1567" spans="1:17" x14ac:dyDescent="0.3">
      <c r="A1567" s="12" t="s">
        <v>92</v>
      </c>
      <c r="B1567" s="12" t="s">
        <v>201</v>
      </c>
      <c r="C1567" s="12" t="s">
        <v>213</v>
      </c>
      <c r="E1567" s="12" t="s">
        <v>110</v>
      </c>
      <c r="F1567" s="12" t="s">
        <v>114</v>
      </c>
      <c r="G1567" s="12" t="s">
        <v>40</v>
      </c>
      <c r="I1567" s="12">
        <v>-15</v>
      </c>
      <c r="L1567" s="12">
        <v>3537</v>
      </c>
      <c r="M1567" s="12">
        <v>-1.3</v>
      </c>
      <c r="N1567" s="12">
        <v>-3706.3</v>
      </c>
      <c r="O1567" s="12">
        <v>-170.6</v>
      </c>
      <c r="P1567" s="12">
        <v>-5.4</v>
      </c>
    </row>
    <row r="1568" spans="1:17" x14ac:dyDescent="0.3">
      <c r="A1568" s="12" t="s">
        <v>92</v>
      </c>
      <c r="B1568" s="12" t="s">
        <v>201</v>
      </c>
      <c r="C1568" s="12" t="s">
        <v>123</v>
      </c>
      <c r="D1568" s="12" t="s">
        <v>209</v>
      </c>
      <c r="E1568" s="12" t="s">
        <v>110</v>
      </c>
      <c r="F1568" s="12" t="s">
        <v>114</v>
      </c>
      <c r="G1568" s="12" t="s">
        <v>34</v>
      </c>
      <c r="H1568" s="12" t="s">
        <v>740</v>
      </c>
      <c r="I1568" s="12">
        <v>-17</v>
      </c>
      <c r="J1568" s="12">
        <v>271</v>
      </c>
      <c r="K1568" s="12">
        <v>271.10000000000002</v>
      </c>
      <c r="L1568" s="12">
        <v>4607</v>
      </c>
      <c r="M1568" s="12">
        <v>-1.3</v>
      </c>
      <c r="N1568" s="12">
        <v>-4598.45</v>
      </c>
      <c r="O1568" s="12">
        <v>7.25</v>
      </c>
      <c r="P1568" s="12">
        <v>-1.7</v>
      </c>
      <c r="Q1568" s="12" t="s">
        <v>3</v>
      </c>
    </row>
    <row r="1569" spans="1:17" x14ac:dyDescent="0.3">
      <c r="A1569" s="12" t="s">
        <v>92</v>
      </c>
      <c r="B1569" s="12" t="s">
        <v>201</v>
      </c>
      <c r="C1569" s="12" t="s">
        <v>213</v>
      </c>
      <c r="E1569" s="12" t="s">
        <v>110</v>
      </c>
      <c r="F1569" s="12" t="s">
        <v>114</v>
      </c>
      <c r="G1569" s="12" t="s">
        <v>34</v>
      </c>
      <c r="I1569" s="12">
        <v>-17</v>
      </c>
      <c r="L1569" s="12">
        <v>4607</v>
      </c>
      <c r="M1569" s="12">
        <v>-1.3</v>
      </c>
      <c r="N1569" s="12">
        <v>-4598.45</v>
      </c>
      <c r="O1569" s="12">
        <v>7.25</v>
      </c>
      <c r="P1569" s="12">
        <v>-1.7</v>
      </c>
    </row>
    <row r="1570" spans="1:17" x14ac:dyDescent="0.3">
      <c r="A1570" s="12" t="s">
        <v>92</v>
      </c>
      <c r="B1570" s="12" t="s">
        <v>201</v>
      </c>
      <c r="C1570" s="12" t="s">
        <v>123</v>
      </c>
      <c r="D1570" s="12" t="s">
        <v>209</v>
      </c>
      <c r="E1570" s="12" t="s">
        <v>110</v>
      </c>
      <c r="F1570" s="12" t="s">
        <v>114</v>
      </c>
      <c r="G1570" s="12" t="s">
        <v>41</v>
      </c>
      <c r="H1570" s="12" t="s">
        <v>741</v>
      </c>
      <c r="I1570" s="12">
        <v>-400</v>
      </c>
      <c r="J1570" s="12">
        <v>41.74</v>
      </c>
      <c r="K1570" s="12">
        <v>41.85</v>
      </c>
      <c r="L1570" s="12">
        <v>16696</v>
      </c>
      <c r="M1570" s="12">
        <v>-2.8</v>
      </c>
      <c r="N1570" s="12">
        <v>-16187.8</v>
      </c>
      <c r="O1570" s="12">
        <v>505.4</v>
      </c>
      <c r="P1570" s="12">
        <v>-44</v>
      </c>
      <c r="Q1570" s="12" t="s">
        <v>3</v>
      </c>
    </row>
    <row r="1571" spans="1:17" x14ac:dyDescent="0.3">
      <c r="A1571" s="12" t="s">
        <v>92</v>
      </c>
      <c r="B1571" s="12" t="s">
        <v>201</v>
      </c>
      <c r="C1571" s="12" t="s">
        <v>213</v>
      </c>
      <c r="E1571" s="12" t="s">
        <v>110</v>
      </c>
      <c r="F1571" s="12" t="s">
        <v>114</v>
      </c>
      <c r="G1571" s="12" t="s">
        <v>41</v>
      </c>
      <c r="I1571" s="12">
        <v>-400</v>
      </c>
      <c r="L1571" s="12">
        <v>16696</v>
      </c>
      <c r="M1571" s="12">
        <v>-2.8</v>
      </c>
      <c r="N1571" s="12">
        <v>-16187.8</v>
      </c>
      <c r="O1571" s="12">
        <v>505.4</v>
      </c>
      <c r="P1571" s="12">
        <v>-44</v>
      </c>
    </row>
    <row r="1572" spans="1:17" x14ac:dyDescent="0.3">
      <c r="A1572" s="12" t="s">
        <v>92</v>
      </c>
      <c r="B1572" s="12" t="s">
        <v>201</v>
      </c>
      <c r="C1572" s="12" t="s">
        <v>123</v>
      </c>
      <c r="D1572" s="12" t="s">
        <v>209</v>
      </c>
      <c r="E1572" s="12" t="s">
        <v>110</v>
      </c>
      <c r="F1572" s="12" t="s">
        <v>114</v>
      </c>
      <c r="G1572" s="12" t="s">
        <v>42</v>
      </c>
      <c r="H1572" s="12" t="s">
        <v>742</v>
      </c>
      <c r="I1572" s="12">
        <v>25</v>
      </c>
      <c r="J1572" s="12">
        <v>204.2</v>
      </c>
      <c r="K1572" s="12">
        <v>204.71</v>
      </c>
      <c r="L1572" s="12">
        <v>-5105</v>
      </c>
      <c r="M1572" s="12">
        <v>-1.3</v>
      </c>
      <c r="N1572" s="12">
        <v>5106.3</v>
      </c>
      <c r="O1572" s="12">
        <v>0</v>
      </c>
      <c r="P1572" s="12">
        <v>12.75</v>
      </c>
      <c r="Q1572" s="12" t="s">
        <v>215</v>
      </c>
    </row>
    <row r="1573" spans="1:17" x14ac:dyDescent="0.3">
      <c r="A1573" s="12" t="s">
        <v>92</v>
      </c>
      <c r="B1573" s="12" t="s">
        <v>201</v>
      </c>
      <c r="C1573" s="12" t="s">
        <v>213</v>
      </c>
      <c r="E1573" s="12" t="s">
        <v>110</v>
      </c>
      <c r="F1573" s="12" t="s">
        <v>114</v>
      </c>
      <c r="G1573" s="12" t="s">
        <v>42</v>
      </c>
      <c r="I1573" s="12">
        <v>25</v>
      </c>
      <c r="L1573" s="12">
        <v>-5105</v>
      </c>
      <c r="M1573" s="12">
        <v>-1.3</v>
      </c>
      <c r="N1573" s="12">
        <v>5106.3</v>
      </c>
      <c r="O1573" s="12">
        <v>0</v>
      </c>
      <c r="P1573" s="12">
        <v>12.75</v>
      </c>
    </row>
    <row r="1574" spans="1:17" x14ac:dyDescent="0.3">
      <c r="A1574" s="12" t="s">
        <v>92</v>
      </c>
      <c r="B1574" s="12" t="s">
        <v>201</v>
      </c>
      <c r="C1574" s="12" t="s">
        <v>123</v>
      </c>
      <c r="D1574" s="12" t="s">
        <v>209</v>
      </c>
      <c r="E1574" s="12" t="s">
        <v>110</v>
      </c>
      <c r="F1574" s="12" t="s">
        <v>114</v>
      </c>
      <c r="G1574" s="12" t="s">
        <v>44</v>
      </c>
      <c r="H1574" s="12" t="s">
        <v>743</v>
      </c>
      <c r="I1574" s="12">
        <v>30</v>
      </c>
      <c r="J1574" s="12">
        <v>141.125</v>
      </c>
      <c r="K1574" s="12">
        <v>140.33000000000001</v>
      </c>
      <c r="L1574" s="12">
        <v>-4233.75</v>
      </c>
      <c r="M1574" s="12">
        <v>-1.3</v>
      </c>
      <c r="N1574" s="12">
        <v>4235.05</v>
      </c>
      <c r="O1574" s="12">
        <v>0</v>
      </c>
      <c r="P1574" s="12">
        <v>-23.85</v>
      </c>
      <c r="Q1574" s="12" t="s">
        <v>215</v>
      </c>
    </row>
    <row r="1575" spans="1:17" x14ac:dyDescent="0.3">
      <c r="A1575" s="12" t="s">
        <v>92</v>
      </c>
      <c r="B1575" s="12" t="s">
        <v>201</v>
      </c>
      <c r="C1575" s="12" t="s">
        <v>213</v>
      </c>
      <c r="E1575" s="12" t="s">
        <v>110</v>
      </c>
      <c r="F1575" s="12" t="s">
        <v>114</v>
      </c>
      <c r="G1575" s="12" t="s">
        <v>44</v>
      </c>
      <c r="I1575" s="12">
        <v>30</v>
      </c>
      <c r="L1575" s="12">
        <v>-4233.75</v>
      </c>
      <c r="M1575" s="12">
        <v>-1.3</v>
      </c>
      <c r="N1575" s="12">
        <v>4235.05</v>
      </c>
      <c r="O1575" s="12">
        <v>0</v>
      </c>
      <c r="P1575" s="12">
        <v>-23.85</v>
      </c>
    </row>
    <row r="1576" spans="1:17" x14ac:dyDescent="0.3">
      <c r="A1576" s="12" t="s">
        <v>92</v>
      </c>
      <c r="B1576" s="12" t="s">
        <v>201</v>
      </c>
      <c r="C1576" s="12" t="s">
        <v>123</v>
      </c>
      <c r="D1576" s="12" t="s">
        <v>209</v>
      </c>
      <c r="E1576" s="12" t="s">
        <v>110</v>
      </c>
      <c r="F1576" s="12" t="s">
        <v>114</v>
      </c>
      <c r="G1576" s="12" t="s">
        <v>35</v>
      </c>
      <c r="H1576" s="12" t="s">
        <v>744</v>
      </c>
      <c r="I1576" s="12">
        <v>-100</v>
      </c>
      <c r="J1576" s="12">
        <v>117.3</v>
      </c>
      <c r="K1576" s="12">
        <v>117.96</v>
      </c>
      <c r="L1576" s="12">
        <v>11730</v>
      </c>
      <c r="M1576" s="12">
        <v>-1.3</v>
      </c>
      <c r="N1576" s="12">
        <v>-10252.299999999999</v>
      </c>
      <c r="O1576" s="12">
        <v>1476.4</v>
      </c>
      <c r="P1576" s="12">
        <v>-66</v>
      </c>
      <c r="Q1576" s="12" t="s">
        <v>3</v>
      </c>
    </row>
    <row r="1577" spans="1:17" x14ac:dyDescent="0.3">
      <c r="A1577" s="12" t="s">
        <v>92</v>
      </c>
      <c r="B1577" s="12" t="s">
        <v>201</v>
      </c>
      <c r="C1577" s="12" t="s">
        <v>213</v>
      </c>
      <c r="E1577" s="12" t="s">
        <v>110</v>
      </c>
      <c r="F1577" s="12" t="s">
        <v>114</v>
      </c>
      <c r="G1577" s="12" t="s">
        <v>35</v>
      </c>
      <c r="I1577" s="12">
        <v>-100</v>
      </c>
      <c r="L1577" s="12">
        <v>11730</v>
      </c>
      <c r="M1577" s="12">
        <v>-1.3</v>
      </c>
      <c r="N1577" s="12">
        <v>-10252.299999999999</v>
      </c>
      <c r="O1577" s="12">
        <v>1476.4</v>
      </c>
      <c r="P1577" s="12">
        <v>-66</v>
      </c>
    </row>
    <row r="1578" spans="1:17" x14ac:dyDescent="0.3">
      <c r="A1578" s="12" t="s">
        <v>92</v>
      </c>
      <c r="B1578" s="12" t="s">
        <v>201</v>
      </c>
      <c r="C1578" s="12" t="s">
        <v>97</v>
      </c>
      <c r="E1578" s="12" t="s">
        <v>110</v>
      </c>
      <c r="F1578" s="12" t="s">
        <v>114</v>
      </c>
      <c r="L1578" s="12">
        <v>20357.605625</v>
      </c>
      <c r="M1578" s="12">
        <v>-45.7</v>
      </c>
      <c r="N1578" s="12">
        <v>-15387.189832</v>
      </c>
      <c r="O1578" s="12">
        <v>4924.7157930000003</v>
      </c>
      <c r="P1578" s="12">
        <v>-182.42439999999999</v>
      </c>
      <c r="Q1578" s="12" t="s">
        <v>257</v>
      </c>
    </row>
    <row r="1579" spans="1:17" x14ac:dyDescent="0.3">
      <c r="A1579" s="12" t="s">
        <v>92</v>
      </c>
      <c r="B1579" s="12" t="s">
        <v>201</v>
      </c>
      <c r="C1579" s="12" t="s">
        <v>120</v>
      </c>
      <c r="D1579" s="12" t="s">
        <v>192</v>
      </c>
      <c r="E1579" s="12" t="s">
        <v>100</v>
      </c>
      <c r="F1579" s="12" t="s">
        <v>181</v>
      </c>
      <c r="G1579" s="12" t="s">
        <v>0</v>
      </c>
      <c r="H1579" s="12" t="s">
        <v>202</v>
      </c>
      <c r="I1579" s="12" t="s">
        <v>193</v>
      </c>
      <c r="J1579" s="12" t="s">
        <v>203</v>
      </c>
      <c r="K1579" s="12" t="s">
        <v>204</v>
      </c>
      <c r="L1579" s="12" t="s">
        <v>258</v>
      </c>
      <c r="M1579" s="12" t="s">
        <v>206</v>
      </c>
      <c r="N1579" s="12" t="s">
        <v>1</v>
      </c>
      <c r="O1579" s="12" t="s">
        <v>207</v>
      </c>
      <c r="P1579" s="12" t="s">
        <v>208</v>
      </c>
      <c r="Q1579" s="12" t="s">
        <v>165</v>
      </c>
    </row>
    <row r="1580" spans="1:17" x14ac:dyDescent="0.3">
      <c r="A1580" s="12" t="s">
        <v>92</v>
      </c>
      <c r="B1580" s="12" t="s">
        <v>201</v>
      </c>
      <c r="C1580" s="12" t="s">
        <v>123</v>
      </c>
      <c r="D1580" s="12" t="s">
        <v>209</v>
      </c>
      <c r="E1580" s="12" t="s">
        <v>112</v>
      </c>
      <c r="F1580" s="12" t="s">
        <v>114</v>
      </c>
      <c r="G1580" s="12" t="s">
        <v>52</v>
      </c>
      <c r="H1580" s="12" t="s">
        <v>745</v>
      </c>
      <c r="I1580" s="12">
        <v>1</v>
      </c>
      <c r="J1580" s="12">
        <v>5124</v>
      </c>
      <c r="K1580" s="12">
        <v>5131.5</v>
      </c>
      <c r="L1580" s="12">
        <v>-25620</v>
      </c>
      <c r="M1580" s="12">
        <v>-3</v>
      </c>
      <c r="N1580" s="12">
        <v>26037</v>
      </c>
      <c r="O1580" s="12">
        <v>414</v>
      </c>
      <c r="P1580" s="12">
        <v>37.5</v>
      </c>
      <c r="Q1580" s="12" t="s">
        <v>3</v>
      </c>
    </row>
    <row r="1581" spans="1:17" x14ac:dyDescent="0.3">
      <c r="A1581" s="12" t="s">
        <v>92</v>
      </c>
      <c r="B1581" s="12" t="s">
        <v>201</v>
      </c>
      <c r="C1581" s="12" t="s">
        <v>213</v>
      </c>
      <c r="E1581" s="12" t="s">
        <v>112</v>
      </c>
      <c r="F1581" s="12" t="s">
        <v>114</v>
      </c>
      <c r="G1581" s="12" t="s">
        <v>52</v>
      </c>
      <c r="I1581" s="12">
        <v>1</v>
      </c>
      <c r="L1581" s="12">
        <v>-25620</v>
      </c>
      <c r="M1581" s="12">
        <v>-3</v>
      </c>
      <c r="N1581" s="12">
        <v>26037</v>
      </c>
      <c r="O1581" s="12">
        <v>414</v>
      </c>
      <c r="P1581" s="12">
        <v>37.5</v>
      </c>
    </row>
    <row r="1582" spans="1:17" x14ac:dyDescent="0.3">
      <c r="A1582" s="12" t="s">
        <v>92</v>
      </c>
      <c r="B1582" s="12" t="s">
        <v>201</v>
      </c>
      <c r="C1582" s="12" t="s">
        <v>97</v>
      </c>
      <c r="E1582" s="12" t="s">
        <v>112</v>
      </c>
      <c r="F1582" s="12" t="s">
        <v>114</v>
      </c>
      <c r="L1582" s="12">
        <v>-25620</v>
      </c>
      <c r="M1582" s="12">
        <v>-3</v>
      </c>
      <c r="N1582" s="12">
        <v>26037</v>
      </c>
      <c r="O1582" s="12">
        <v>414</v>
      </c>
      <c r="P1582" s="12">
        <v>37.5</v>
      </c>
      <c r="Q1582" s="12" t="s">
        <v>257</v>
      </c>
    </row>
    <row r="1583" spans="1:17" x14ac:dyDescent="0.3">
      <c r="A1583" s="12" t="s">
        <v>92</v>
      </c>
      <c r="B1583" s="12" t="s">
        <v>746</v>
      </c>
      <c r="C1583" s="12" t="s">
        <v>120</v>
      </c>
      <c r="D1583" s="12" t="s">
        <v>100</v>
      </c>
      <c r="E1583" s="12" t="s">
        <v>181</v>
      </c>
      <c r="F1583" s="12" t="s">
        <v>747</v>
      </c>
      <c r="G1583" s="12" t="s">
        <v>202</v>
      </c>
      <c r="H1583" s="12" t="s">
        <v>269</v>
      </c>
      <c r="I1583" s="12" t="s">
        <v>193</v>
      </c>
      <c r="J1583" s="12" t="s">
        <v>205</v>
      </c>
      <c r="K1583" s="12" t="s">
        <v>198</v>
      </c>
      <c r="L1583" s="12" t="s">
        <v>207</v>
      </c>
      <c r="M1583" s="12" t="s">
        <v>165</v>
      </c>
    </row>
    <row r="1584" spans="1:17" x14ac:dyDescent="0.3">
      <c r="A1584" s="12" t="s">
        <v>92</v>
      </c>
      <c r="B1584" s="12" t="s">
        <v>746</v>
      </c>
      <c r="C1584" s="12" t="s">
        <v>123</v>
      </c>
      <c r="D1584" s="12" t="s">
        <v>110</v>
      </c>
      <c r="E1584" s="12" t="s">
        <v>114</v>
      </c>
      <c r="F1584" s="20">
        <v>45384</v>
      </c>
      <c r="G1584" s="12" t="s">
        <v>723</v>
      </c>
      <c r="H1584" s="12" t="s">
        <v>748</v>
      </c>
      <c r="I1584" s="12">
        <v>6.25</v>
      </c>
      <c r="J1584" s="12">
        <v>0</v>
      </c>
      <c r="K1584" s="12">
        <v>0</v>
      </c>
      <c r="L1584" s="12">
        <v>0</v>
      </c>
    </row>
    <row r="1585" spans="1:12" x14ac:dyDescent="0.3">
      <c r="A1585" s="12" t="s">
        <v>92</v>
      </c>
      <c r="B1585" s="12" t="s">
        <v>746</v>
      </c>
      <c r="C1585" s="12" t="s">
        <v>123</v>
      </c>
      <c r="D1585" s="12" t="s">
        <v>97</v>
      </c>
      <c r="J1585" s="12">
        <v>0</v>
      </c>
      <c r="K1585" s="12">
        <v>0</v>
      </c>
      <c r="L1585" s="12">
        <v>0</v>
      </c>
    </row>
    <row r="1586" spans="1:12" x14ac:dyDescent="0.3">
      <c r="A1586" s="12" t="s">
        <v>92</v>
      </c>
      <c r="B1586" s="12" t="s">
        <v>157</v>
      </c>
      <c r="C1586" s="12" t="s">
        <v>120</v>
      </c>
      <c r="D1586" s="12" t="s">
        <v>181</v>
      </c>
      <c r="E1586" s="12" t="s">
        <v>268</v>
      </c>
      <c r="F1586" s="12" t="s">
        <v>269</v>
      </c>
      <c r="G1586" s="12" t="s">
        <v>270</v>
      </c>
    </row>
    <row r="1587" spans="1:12" x14ac:dyDescent="0.3">
      <c r="A1587" s="12" t="s">
        <v>92</v>
      </c>
      <c r="B1587" s="12" t="s">
        <v>157</v>
      </c>
      <c r="C1587" s="12" t="s">
        <v>123</v>
      </c>
      <c r="D1587" s="12" t="s">
        <v>114</v>
      </c>
      <c r="E1587" s="20">
        <v>45383</v>
      </c>
      <c r="F1587" s="12" t="s">
        <v>749</v>
      </c>
      <c r="G1587" s="12">
        <v>31.5</v>
      </c>
    </row>
    <row r="1588" spans="1:12" x14ac:dyDescent="0.3">
      <c r="A1588" s="12" t="s">
        <v>92</v>
      </c>
      <c r="B1588" s="12" t="s">
        <v>157</v>
      </c>
      <c r="C1588" s="12" t="s">
        <v>123</v>
      </c>
      <c r="D1588" s="12" t="s">
        <v>114</v>
      </c>
      <c r="E1588" s="20">
        <v>45383</v>
      </c>
      <c r="F1588" s="12" t="s">
        <v>750</v>
      </c>
      <c r="G1588" s="12">
        <v>55.44</v>
      </c>
    </row>
    <row r="1589" spans="1:12" x14ac:dyDescent="0.3">
      <c r="A1589" s="12" t="s">
        <v>92</v>
      </c>
      <c r="B1589" s="12" t="s">
        <v>157</v>
      </c>
      <c r="C1589" s="12" t="s">
        <v>123</v>
      </c>
      <c r="D1589" s="12" t="s">
        <v>114</v>
      </c>
      <c r="E1589" s="20">
        <v>45383</v>
      </c>
      <c r="F1589" s="12" t="s">
        <v>751</v>
      </c>
      <c r="G1589" s="12">
        <v>9.56</v>
      </c>
    </row>
    <row r="1590" spans="1:12" x14ac:dyDescent="0.3">
      <c r="A1590" s="12" t="s">
        <v>92</v>
      </c>
      <c r="B1590" s="12" t="s">
        <v>157</v>
      </c>
      <c r="C1590" s="12" t="s">
        <v>123</v>
      </c>
      <c r="D1590" s="12" t="s">
        <v>114</v>
      </c>
      <c r="E1590" s="20">
        <v>45383</v>
      </c>
      <c r="F1590" s="12" t="s">
        <v>752</v>
      </c>
      <c r="G1590" s="12">
        <v>19.5</v>
      </c>
    </row>
    <row r="1591" spans="1:12" x14ac:dyDescent="0.3">
      <c r="A1591" s="12" t="s">
        <v>92</v>
      </c>
      <c r="B1591" s="12" t="s">
        <v>157</v>
      </c>
      <c r="C1591" s="12" t="s">
        <v>123</v>
      </c>
      <c r="D1591" s="12" t="s">
        <v>114</v>
      </c>
      <c r="E1591" s="20">
        <v>45407</v>
      </c>
      <c r="F1591" s="12" t="s">
        <v>753</v>
      </c>
      <c r="G1591" s="12">
        <v>7</v>
      </c>
    </row>
    <row r="1592" spans="1:12" x14ac:dyDescent="0.3">
      <c r="A1592" s="12" t="s">
        <v>92</v>
      </c>
      <c r="B1592" s="12" t="s">
        <v>157</v>
      </c>
      <c r="C1592" s="12" t="s">
        <v>123</v>
      </c>
      <c r="D1592" s="12" t="s">
        <v>97</v>
      </c>
      <c r="G1592" s="12">
        <v>123</v>
      </c>
    </row>
    <row r="1593" spans="1:12" x14ac:dyDescent="0.3">
      <c r="A1593" s="12" t="s">
        <v>92</v>
      </c>
      <c r="B1593" s="12" t="s">
        <v>158</v>
      </c>
      <c r="C1593" s="12" t="s">
        <v>120</v>
      </c>
      <c r="D1593" s="12" t="s">
        <v>181</v>
      </c>
      <c r="E1593" s="12" t="s">
        <v>268</v>
      </c>
      <c r="F1593" s="12" t="s">
        <v>269</v>
      </c>
      <c r="G1593" s="12" t="s">
        <v>270</v>
      </c>
      <c r="H1593" s="12" t="s">
        <v>165</v>
      </c>
    </row>
    <row r="1594" spans="1:12" x14ac:dyDescent="0.3">
      <c r="A1594" s="12" t="s">
        <v>92</v>
      </c>
      <c r="B1594" s="12" t="s">
        <v>158</v>
      </c>
      <c r="C1594" s="12" t="s">
        <v>123</v>
      </c>
      <c r="D1594" s="12" t="s">
        <v>114</v>
      </c>
      <c r="E1594" s="20">
        <v>45383</v>
      </c>
      <c r="F1594" s="12" t="s">
        <v>754</v>
      </c>
      <c r="G1594" s="12">
        <v>-7.88</v>
      </c>
    </row>
    <row r="1595" spans="1:12" x14ac:dyDescent="0.3">
      <c r="A1595" s="12" t="s">
        <v>92</v>
      </c>
      <c r="B1595" s="12" t="s">
        <v>158</v>
      </c>
      <c r="C1595" s="12" t="s">
        <v>123</v>
      </c>
      <c r="D1595" s="12" t="s">
        <v>114</v>
      </c>
      <c r="E1595" s="20">
        <v>45383</v>
      </c>
      <c r="F1595" s="12" t="s">
        <v>755</v>
      </c>
      <c r="G1595" s="12">
        <v>-13.86</v>
      </c>
    </row>
    <row r="1596" spans="1:12" x14ac:dyDescent="0.3">
      <c r="A1596" s="12" t="s">
        <v>92</v>
      </c>
      <c r="B1596" s="12" t="s">
        <v>158</v>
      </c>
      <c r="C1596" s="12" t="s">
        <v>123</v>
      </c>
      <c r="D1596" s="12" t="s">
        <v>114</v>
      </c>
      <c r="E1596" s="20">
        <v>45383</v>
      </c>
      <c r="F1596" s="12" t="s">
        <v>756</v>
      </c>
      <c r="G1596" s="12">
        <v>-2.39</v>
      </c>
    </row>
    <row r="1597" spans="1:12" x14ac:dyDescent="0.3">
      <c r="A1597" s="12" t="s">
        <v>92</v>
      </c>
      <c r="B1597" s="12" t="s">
        <v>158</v>
      </c>
      <c r="C1597" s="12" t="s">
        <v>123</v>
      </c>
      <c r="D1597" s="12" t="s">
        <v>114</v>
      </c>
      <c r="E1597" s="20">
        <v>45383</v>
      </c>
      <c r="F1597" s="12" t="s">
        <v>757</v>
      </c>
      <c r="G1597" s="12">
        <v>-4.88</v>
      </c>
    </row>
    <row r="1598" spans="1:12" x14ac:dyDescent="0.3">
      <c r="A1598" s="12" t="s">
        <v>92</v>
      </c>
      <c r="B1598" s="12" t="s">
        <v>158</v>
      </c>
      <c r="C1598" s="12" t="s">
        <v>123</v>
      </c>
      <c r="D1598" s="12" t="s">
        <v>114</v>
      </c>
      <c r="E1598" s="20">
        <v>45407</v>
      </c>
      <c r="F1598" s="12" t="s">
        <v>758</v>
      </c>
      <c r="G1598" s="12">
        <v>-1.75</v>
      </c>
    </row>
    <row r="1599" spans="1:12" x14ac:dyDescent="0.3">
      <c r="A1599" s="12" t="s">
        <v>92</v>
      </c>
      <c r="B1599" s="12" t="s">
        <v>158</v>
      </c>
      <c r="C1599" s="12" t="s">
        <v>123</v>
      </c>
      <c r="D1599" s="12" t="s">
        <v>97</v>
      </c>
      <c r="G1599" s="12">
        <v>-30.76</v>
      </c>
    </row>
    <row r="1600" spans="1:12" x14ac:dyDescent="0.3">
      <c r="A1600" s="12" t="s">
        <v>92</v>
      </c>
      <c r="B1600" s="12" t="s">
        <v>160</v>
      </c>
      <c r="C1600" s="12" t="s">
        <v>120</v>
      </c>
      <c r="D1600" s="12" t="s">
        <v>181</v>
      </c>
      <c r="E1600" s="12" t="s">
        <v>268</v>
      </c>
      <c r="F1600" s="12" t="s">
        <v>269</v>
      </c>
      <c r="G1600" s="12" t="s">
        <v>270</v>
      </c>
    </row>
    <row r="1601" spans="1:16" x14ac:dyDescent="0.3">
      <c r="A1601" s="12" t="s">
        <v>92</v>
      </c>
      <c r="B1601" s="12" t="s">
        <v>160</v>
      </c>
      <c r="C1601" s="12" t="s">
        <v>123</v>
      </c>
      <c r="D1601" s="12" t="s">
        <v>114</v>
      </c>
      <c r="E1601" s="20">
        <v>45385</v>
      </c>
      <c r="F1601" s="12" t="s">
        <v>759</v>
      </c>
      <c r="G1601" s="12">
        <v>18.5</v>
      </c>
    </row>
    <row r="1602" spans="1:16" x14ac:dyDescent="0.3">
      <c r="A1602" s="12" t="s">
        <v>92</v>
      </c>
      <c r="B1602" s="12" t="s">
        <v>160</v>
      </c>
      <c r="C1602" s="12" t="s">
        <v>123</v>
      </c>
      <c r="D1602" s="12" t="s">
        <v>114</v>
      </c>
      <c r="E1602" s="20">
        <v>45385</v>
      </c>
      <c r="F1602" s="12" t="s">
        <v>760</v>
      </c>
      <c r="G1602" s="12">
        <v>-2.92</v>
      </c>
    </row>
    <row r="1603" spans="1:16" x14ac:dyDescent="0.3">
      <c r="A1603" s="12" t="s">
        <v>92</v>
      </c>
      <c r="B1603" s="12" t="s">
        <v>160</v>
      </c>
      <c r="C1603" s="12" t="s">
        <v>123</v>
      </c>
      <c r="D1603" s="12" t="s">
        <v>97</v>
      </c>
      <c r="G1603" s="12">
        <v>15.58</v>
      </c>
    </row>
    <row r="1604" spans="1:16" x14ac:dyDescent="0.3">
      <c r="A1604" s="12" t="s">
        <v>92</v>
      </c>
      <c r="B1604" s="12" t="s">
        <v>151</v>
      </c>
      <c r="C1604" s="12" t="s">
        <v>120</v>
      </c>
      <c r="D1604" s="12" t="s">
        <v>181</v>
      </c>
      <c r="E1604" s="12" t="s">
        <v>121</v>
      </c>
      <c r="F1604" s="12" t="s">
        <v>122</v>
      </c>
    </row>
    <row r="1605" spans="1:16" x14ac:dyDescent="0.3">
      <c r="A1605" s="12" t="s">
        <v>92</v>
      </c>
      <c r="B1605" s="12" t="s">
        <v>151</v>
      </c>
      <c r="C1605" s="12" t="s">
        <v>123</v>
      </c>
      <c r="D1605" s="12" t="s">
        <v>184</v>
      </c>
      <c r="E1605" s="12" t="s">
        <v>278</v>
      </c>
      <c r="F1605" s="12">
        <v>17.45</v>
      </c>
    </row>
    <row r="1606" spans="1:16" x14ac:dyDescent="0.3">
      <c r="A1606" s="12" t="s">
        <v>92</v>
      </c>
      <c r="B1606" s="12" t="s">
        <v>151</v>
      </c>
      <c r="C1606" s="12" t="s">
        <v>123</v>
      </c>
      <c r="D1606" s="12" t="s">
        <v>184</v>
      </c>
      <c r="E1606" s="12" t="s">
        <v>279</v>
      </c>
      <c r="F1606" s="12">
        <v>-3.3</v>
      </c>
    </row>
    <row r="1607" spans="1:16" x14ac:dyDescent="0.3">
      <c r="A1607" s="12" t="s">
        <v>92</v>
      </c>
      <c r="B1607" s="12" t="s">
        <v>151</v>
      </c>
      <c r="C1607" s="12" t="s">
        <v>123</v>
      </c>
      <c r="D1607" s="12" t="s">
        <v>184</v>
      </c>
      <c r="E1607" s="12" t="s">
        <v>280</v>
      </c>
      <c r="F1607" s="12">
        <v>-15.58</v>
      </c>
    </row>
    <row r="1608" spans="1:16" x14ac:dyDescent="0.3">
      <c r="A1608" s="12" t="s">
        <v>92</v>
      </c>
      <c r="B1608" s="12" t="s">
        <v>151</v>
      </c>
      <c r="C1608" s="12" t="s">
        <v>123</v>
      </c>
      <c r="D1608" s="12" t="s">
        <v>184</v>
      </c>
      <c r="E1608" s="12" t="s">
        <v>282</v>
      </c>
      <c r="F1608" s="12">
        <v>-1.43</v>
      </c>
    </row>
    <row r="1609" spans="1:16" x14ac:dyDescent="0.3">
      <c r="A1609" s="12" t="s">
        <v>92</v>
      </c>
      <c r="B1609" s="12" t="s">
        <v>159</v>
      </c>
      <c r="C1609" s="12" t="s">
        <v>120</v>
      </c>
      <c r="D1609" s="12" t="s">
        <v>100</v>
      </c>
      <c r="E1609" s="12" t="s">
        <v>181</v>
      </c>
      <c r="F1609" s="12" t="s">
        <v>0</v>
      </c>
      <c r="G1609" s="12" t="s">
        <v>268</v>
      </c>
      <c r="H1609" s="12" t="s">
        <v>283</v>
      </c>
      <c r="I1609" s="12" t="s">
        <v>284</v>
      </c>
      <c r="J1609" s="12" t="s">
        <v>193</v>
      </c>
      <c r="K1609" s="12" t="s">
        <v>285</v>
      </c>
      <c r="L1609" s="12" t="s">
        <v>286</v>
      </c>
      <c r="M1609" s="12" t="s">
        <v>287</v>
      </c>
      <c r="N1609" s="12" t="s">
        <v>288</v>
      </c>
      <c r="O1609" s="12" t="s">
        <v>289</v>
      </c>
      <c r="P1609" s="12" t="s">
        <v>165</v>
      </c>
    </row>
    <row r="1610" spans="1:16" x14ac:dyDescent="0.3">
      <c r="A1610" s="12" t="s">
        <v>92</v>
      </c>
      <c r="B1610" s="12" t="s">
        <v>159</v>
      </c>
      <c r="C1610" s="12" t="s">
        <v>123</v>
      </c>
      <c r="D1610" s="12" t="s">
        <v>290</v>
      </c>
      <c r="O1610" s="12">
        <v>86.99</v>
      </c>
    </row>
    <row r="1611" spans="1:16" x14ac:dyDescent="0.3">
      <c r="A1611" s="12" t="s">
        <v>92</v>
      </c>
      <c r="B1611" s="12" t="s">
        <v>159</v>
      </c>
      <c r="C1611" s="12" t="s">
        <v>123</v>
      </c>
      <c r="D1611" s="12" t="s">
        <v>110</v>
      </c>
      <c r="E1611" s="12" t="s">
        <v>114</v>
      </c>
      <c r="F1611" s="12" t="s">
        <v>7</v>
      </c>
      <c r="G1611" s="20">
        <v>45383</v>
      </c>
      <c r="H1611" s="20">
        <v>45371</v>
      </c>
      <c r="I1611" s="20">
        <v>45383</v>
      </c>
      <c r="J1611" s="12">
        <v>6</v>
      </c>
      <c r="K1611" s="12">
        <v>-7.88</v>
      </c>
      <c r="L1611" s="12">
        <v>0</v>
      </c>
      <c r="M1611" s="12">
        <v>5.25</v>
      </c>
      <c r="N1611" s="12">
        <v>-31.5</v>
      </c>
      <c r="O1611" s="12">
        <v>-23.62</v>
      </c>
      <c r="P1611" s="12" t="s">
        <v>292</v>
      </c>
    </row>
    <row r="1612" spans="1:16" x14ac:dyDescent="0.3">
      <c r="A1612" s="12" t="s">
        <v>92</v>
      </c>
      <c r="B1612" s="12" t="s">
        <v>159</v>
      </c>
      <c r="C1612" s="12" t="s">
        <v>123</v>
      </c>
      <c r="D1612" s="12" t="s">
        <v>110</v>
      </c>
      <c r="E1612" s="12" t="s">
        <v>114</v>
      </c>
      <c r="F1612" s="12" t="s">
        <v>8</v>
      </c>
      <c r="G1612" s="20">
        <v>45383</v>
      </c>
      <c r="H1612" s="20">
        <v>45351</v>
      </c>
      <c r="I1612" s="20">
        <v>45383</v>
      </c>
      <c r="J1612" s="12">
        <v>231</v>
      </c>
      <c r="K1612" s="12">
        <v>-13.86</v>
      </c>
      <c r="L1612" s="12">
        <v>0</v>
      </c>
      <c r="M1612" s="12">
        <v>0.24</v>
      </c>
      <c r="N1612" s="12">
        <v>-55.44</v>
      </c>
      <c r="O1612" s="12">
        <v>-41.58</v>
      </c>
      <c r="P1612" s="12" t="s">
        <v>292</v>
      </c>
    </row>
    <row r="1613" spans="1:16" x14ac:dyDescent="0.3">
      <c r="A1613" s="12" t="s">
        <v>92</v>
      </c>
      <c r="B1613" s="12" t="s">
        <v>159</v>
      </c>
      <c r="C1613" s="12" t="s">
        <v>123</v>
      </c>
      <c r="D1613" s="12" t="s">
        <v>110</v>
      </c>
      <c r="E1613" s="12" t="s">
        <v>114</v>
      </c>
      <c r="F1613" s="12" t="s">
        <v>46</v>
      </c>
      <c r="G1613" s="20">
        <v>45400</v>
      </c>
      <c r="H1613" s="20">
        <v>45401</v>
      </c>
      <c r="I1613" s="20">
        <v>45432</v>
      </c>
      <c r="J1613" s="12">
        <v>13</v>
      </c>
      <c r="K1613" s="12">
        <v>4.2300000000000004</v>
      </c>
      <c r="L1613" s="12">
        <v>0</v>
      </c>
      <c r="M1613" s="12">
        <v>1.3</v>
      </c>
      <c r="N1613" s="12">
        <v>16.899999999999999</v>
      </c>
      <c r="O1613" s="12">
        <v>12.67</v>
      </c>
      <c r="P1613" s="12" t="s">
        <v>291</v>
      </c>
    </row>
    <row r="1614" spans="1:16" x14ac:dyDescent="0.3">
      <c r="A1614" s="12" t="s">
        <v>92</v>
      </c>
      <c r="B1614" s="12" t="s">
        <v>159</v>
      </c>
      <c r="C1614" s="12" t="s">
        <v>123</v>
      </c>
      <c r="D1614" s="12" t="s">
        <v>110</v>
      </c>
      <c r="E1614" s="12" t="s">
        <v>114</v>
      </c>
      <c r="F1614" s="12" t="s">
        <v>11</v>
      </c>
      <c r="G1614" s="20">
        <v>45406</v>
      </c>
      <c r="H1614" s="20">
        <v>45407</v>
      </c>
      <c r="I1614" s="20">
        <v>45422</v>
      </c>
      <c r="J1614" s="12">
        <v>10</v>
      </c>
      <c r="K1614" s="12">
        <v>2.9</v>
      </c>
      <c r="L1614" s="12">
        <v>0</v>
      </c>
      <c r="M1614" s="12">
        <v>1.1599999999999999</v>
      </c>
      <c r="N1614" s="12">
        <v>11.6</v>
      </c>
      <c r="O1614" s="12">
        <v>8.6999999999999993</v>
      </c>
      <c r="P1614" s="12" t="s">
        <v>291</v>
      </c>
    </row>
    <row r="1615" spans="1:16" x14ac:dyDescent="0.3">
      <c r="A1615" s="12" t="s">
        <v>92</v>
      </c>
      <c r="B1615" s="12" t="s">
        <v>159</v>
      </c>
      <c r="C1615" s="12" t="s">
        <v>123</v>
      </c>
      <c r="D1615" s="12" t="s">
        <v>110</v>
      </c>
      <c r="E1615" s="12" t="s">
        <v>114</v>
      </c>
      <c r="F1615" s="12" t="s">
        <v>18</v>
      </c>
      <c r="G1615" s="20">
        <v>45392</v>
      </c>
      <c r="H1615" s="20">
        <v>45393</v>
      </c>
      <c r="I1615" s="20">
        <v>45422</v>
      </c>
      <c r="J1615" s="12">
        <v>19</v>
      </c>
      <c r="K1615" s="12">
        <v>6.75</v>
      </c>
      <c r="L1615" s="12">
        <v>0</v>
      </c>
      <c r="M1615" s="12">
        <v>1.42</v>
      </c>
      <c r="N1615" s="12">
        <v>26.98</v>
      </c>
      <c r="O1615" s="12">
        <v>20.23</v>
      </c>
      <c r="P1615" s="12" t="s">
        <v>291</v>
      </c>
    </row>
    <row r="1616" spans="1:16" x14ac:dyDescent="0.3">
      <c r="A1616" s="12" t="s">
        <v>92</v>
      </c>
      <c r="B1616" s="12" t="s">
        <v>159</v>
      </c>
      <c r="C1616" s="12" t="s">
        <v>123</v>
      </c>
      <c r="D1616" s="12" t="s">
        <v>110</v>
      </c>
      <c r="E1616" s="12" t="s">
        <v>114</v>
      </c>
      <c r="F1616" s="12" t="s">
        <v>48</v>
      </c>
      <c r="G1616" s="20">
        <v>45393</v>
      </c>
      <c r="H1616" s="20">
        <v>45394</v>
      </c>
      <c r="I1616" s="20">
        <v>45407</v>
      </c>
      <c r="J1616" s="12">
        <v>25</v>
      </c>
      <c r="K1616" s="12">
        <v>1.75</v>
      </c>
      <c r="L1616" s="12">
        <v>0</v>
      </c>
      <c r="M1616" s="12">
        <v>0.28000000000000003</v>
      </c>
      <c r="N1616" s="12">
        <v>7</v>
      </c>
      <c r="O1616" s="12">
        <v>5.25</v>
      </c>
      <c r="P1616" s="12" t="s">
        <v>291</v>
      </c>
    </row>
    <row r="1617" spans="1:16" x14ac:dyDescent="0.3">
      <c r="A1617" s="12" t="s">
        <v>92</v>
      </c>
      <c r="B1617" s="12" t="s">
        <v>159</v>
      </c>
      <c r="C1617" s="12" t="s">
        <v>123</v>
      </c>
      <c r="D1617" s="12" t="s">
        <v>110</v>
      </c>
      <c r="E1617" s="12" t="s">
        <v>114</v>
      </c>
      <c r="F1617" s="12" t="s">
        <v>48</v>
      </c>
      <c r="G1617" s="20">
        <v>45407</v>
      </c>
      <c r="H1617" s="20">
        <v>45394</v>
      </c>
      <c r="I1617" s="20">
        <v>45407</v>
      </c>
      <c r="J1617" s="12">
        <v>25</v>
      </c>
      <c r="K1617" s="12">
        <v>-1.75</v>
      </c>
      <c r="L1617" s="12">
        <v>0</v>
      </c>
      <c r="M1617" s="12">
        <v>0.28000000000000003</v>
      </c>
      <c r="N1617" s="12">
        <v>-7</v>
      </c>
      <c r="O1617" s="12">
        <v>-5.25</v>
      </c>
      <c r="P1617" s="12" t="s">
        <v>292</v>
      </c>
    </row>
    <row r="1618" spans="1:16" x14ac:dyDescent="0.3">
      <c r="A1618" s="12" t="s">
        <v>92</v>
      </c>
      <c r="B1618" s="12" t="s">
        <v>159</v>
      </c>
      <c r="C1618" s="12" t="s">
        <v>123</v>
      </c>
      <c r="D1618" s="12" t="s">
        <v>110</v>
      </c>
      <c r="E1618" s="12" t="s">
        <v>114</v>
      </c>
      <c r="F1618" s="12" t="s">
        <v>30</v>
      </c>
      <c r="G1618" s="20">
        <v>45383</v>
      </c>
      <c r="H1618" s="20">
        <v>45365</v>
      </c>
      <c r="I1618" s="20">
        <v>45383</v>
      </c>
      <c r="J1618" s="12">
        <v>26</v>
      </c>
      <c r="K1618" s="12">
        <v>-2.39</v>
      </c>
      <c r="L1618" s="12">
        <v>0</v>
      </c>
      <c r="M1618" s="12">
        <v>0.36749999999999999</v>
      </c>
      <c r="N1618" s="12">
        <v>-9.56</v>
      </c>
      <c r="O1618" s="12">
        <v>-7.17</v>
      </c>
      <c r="P1618" s="12" t="s">
        <v>292</v>
      </c>
    </row>
    <row r="1619" spans="1:16" x14ac:dyDescent="0.3">
      <c r="A1619" s="12" t="s">
        <v>92</v>
      </c>
      <c r="B1619" s="12" t="s">
        <v>159</v>
      </c>
      <c r="C1619" s="12" t="s">
        <v>123</v>
      </c>
      <c r="D1619" s="12" t="s">
        <v>110</v>
      </c>
      <c r="E1619" s="12" t="s">
        <v>114</v>
      </c>
      <c r="F1619" s="12" t="s">
        <v>40</v>
      </c>
      <c r="G1619" s="20">
        <v>45383</v>
      </c>
      <c r="H1619" s="20">
        <v>45350</v>
      </c>
      <c r="I1619" s="20">
        <v>45383</v>
      </c>
      <c r="J1619" s="12">
        <v>15</v>
      </c>
      <c r="K1619" s="12">
        <v>-4.88</v>
      </c>
      <c r="L1619" s="12">
        <v>0</v>
      </c>
      <c r="M1619" s="12">
        <v>1.3</v>
      </c>
      <c r="N1619" s="12">
        <v>-19.5</v>
      </c>
      <c r="O1619" s="12">
        <v>-14.62</v>
      </c>
      <c r="P1619" s="12" t="s">
        <v>292</v>
      </c>
    </row>
    <row r="1620" spans="1:16" x14ac:dyDescent="0.3">
      <c r="A1620" s="12" t="s">
        <v>92</v>
      </c>
      <c r="B1620" s="12" t="s">
        <v>159</v>
      </c>
      <c r="C1620" s="12" t="s">
        <v>123</v>
      </c>
      <c r="D1620" s="12" t="s">
        <v>97</v>
      </c>
      <c r="K1620" s="12">
        <v>-15.13</v>
      </c>
      <c r="L1620" s="12">
        <v>0</v>
      </c>
      <c r="N1620" s="12">
        <v>-60.52</v>
      </c>
      <c r="O1620" s="12">
        <v>-45.39</v>
      </c>
    </row>
    <row r="1621" spans="1:16" x14ac:dyDescent="0.3">
      <c r="A1621" s="12" t="s">
        <v>92</v>
      </c>
      <c r="B1621" s="12" t="s">
        <v>159</v>
      </c>
      <c r="C1621" s="12" t="s">
        <v>123</v>
      </c>
      <c r="D1621" s="12" t="s">
        <v>293</v>
      </c>
      <c r="O1621" s="12">
        <v>41.6</v>
      </c>
    </row>
    <row r="1622" spans="1:16" x14ac:dyDescent="0.3">
      <c r="A1622" s="12" t="s">
        <v>92</v>
      </c>
      <c r="B1622" s="12" t="s">
        <v>294</v>
      </c>
      <c r="C1622" s="12" t="s">
        <v>120</v>
      </c>
      <c r="D1622" s="12" t="s">
        <v>100</v>
      </c>
      <c r="E1622" s="12" t="s">
        <v>0</v>
      </c>
      <c r="F1622" s="12" t="s">
        <v>269</v>
      </c>
      <c r="G1622" s="12" t="s">
        <v>295</v>
      </c>
      <c r="H1622" s="12" t="s">
        <v>296</v>
      </c>
      <c r="I1622" s="12" t="s">
        <v>297</v>
      </c>
      <c r="J1622" s="12" t="s">
        <v>298</v>
      </c>
      <c r="K1622" s="12" t="s">
        <v>299</v>
      </c>
      <c r="L1622" s="12" t="s">
        <v>165</v>
      </c>
    </row>
    <row r="1623" spans="1:16" x14ac:dyDescent="0.3">
      <c r="A1623" s="12" t="s">
        <v>92</v>
      </c>
      <c r="B1623" s="12" t="s">
        <v>294</v>
      </c>
      <c r="C1623" s="12" t="s">
        <v>123</v>
      </c>
      <c r="D1623" s="12" t="s">
        <v>110</v>
      </c>
      <c r="E1623" s="12" t="s">
        <v>2</v>
      </c>
      <c r="F1623" s="12" t="s">
        <v>300</v>
      </c>
      <c r="G1623" s="12">
        <v>265598</v>
      </c>
      <c r="H1623" s="12" t="s">
        <v>301</v>
      </c>
      <c r="I1623" s="12" t="s">
        <v>302</v>
      </c>
      <c r="J1623" s="12">
        <v>1</v>
      </c>
      <c r="K1623" s="12" t="s">
        <v>303</v>
      </c>
    </row>
    <row r="1624" spans="1:16" x14ac:dyDescent="0.3">
      <c r="A1624" s="12" t="s">
        <v>92</v>
      </c>
      <c r="B1624" s="12" t="s">
        <v>294</v>
      </c>
      <c r="C1624" s="12" t="s">
        <v>123</v>
      </c>
      <c r="D1624" s="12" t="s">
        <v>110</v>
      </c>
      <c r="E1624" s="12" t="s">
        <v>45</v>
      </c>
      <c r="F1624" s="12" t="s">
        <v>692</v>
      </c>
      <c r="G1624" s="12">
        <v>4391</v>
      </c>
      <c r="H1624" s="12" t="s">
        <v>693</v>
      </c>
      <c r="I1624" s="12" t="s">
        <v>302</v>
      </c>
      <c r="J1624" s="12">
        <v>1</v>
      </c>
      <c r="K1624" s="12" t="s">
        <v>303</v>
      </c>
    </row>
    <row r="1625" spans="1:16" x14ac:dyDescent="0.3">
      <c r="A1625" s="12" t="s">
        <v>92</v>
      </c>
      <c r="B1625" s="12" t="s">
        <v>294</v>
      </c>
      <c r="C1625" s="12" t="s">
        <v>123</v>
      </c>
      <c r="D1625" s="12" t="s">
        <v>110</v>
      </c>
      <c r="E1625" s="12" t="s">
        <v>5</v>
      </c>
      <c r="F1625" s="12" t="s">
        <v>308</v>
      </c>
      <c r="G1625" s="12">
        <v>3691937</v>
      </c>
      <c r="H1625" s="12" t="s">
        <v>309</v>
      </c>
      <c r="I1625" s="12" t="s">
        <v>302</v>
      </c>
      <c r="J1625" s="12">
        <v>1</v>
      </c>
      <c r="K1625" s="12" t="s">
        <v>303</v>
      </c>
    </row>
    <row r="1626" spans="1:16" x14ac:dyDescent="0.3">
      <c r="A1626" s="12" t="s">
        <v>92</v>
      </c>
      <c r="B1626" s="12" t="s">
        <v>294</v>
      </c>
      <c r="C1626" s="12" t="s">
        <v>123</v>
      </c>
      <c r="D1626" s="12" t="s">
        <v>110</v>
      </c>
      <c r="E1626" s="12" t="s">
        <v>6</v>
      </c>
      <c r="F1626" s="12" t="s">
        <v>310</v>
      </c>
      <c r="G1626" s="12">
        <v>153912055</v>
      </c>
      <c r="H1626" s="12" t="s">
        <v>311</v>
      </c>
      <c r="I1626" s="12" t="s">
        <v>306</v>
      </c>
      <c r="J1626" s="12">
        <v>1</v>
      </c>
      <c r="K1626" s="12" t="s">
        <v>303</v>
      </c>
    </row>
    <row r="1627" spans="1:16" x14ac:dyDescent="0.3">
      <c r="A1627" s="12" t="s">
        <v>92</v>
      </c>
      <c r="B1627" s="12" t="s">
        <v>294</v>
      </c>
      <c r="C1627" s="12" t="s">
        <v>123</v>
      </c>
      <c r="D1627" s="12" t="s">
        <v>110</v>
      </c>
      <c r="E1627" s="12" t="s">
        <v>7</v>
      </c>
      <c r="F1627" s="12" t="s">
        <v>312</v>
      </c>
      <c r="G1627" s="12">
        <v>313130367</v>
      </c>
      <c r="H1627" s="12" t="s">
        <v>313</v>
      </c>
      <c r="I1627" s="12" t="s">
        <v>302</v>
      </c>
      <c r="J1627" s="12">
        <v>1</v>
      </c>
      <c r="K1627" s="12" t="s">
        <v>303</v>
      </c>
    </row>
    <row r="1628" spans="1:16" x14ac:dyDescent="0.3">
      <c r="A1628" s="12" t="s">
        <v>92</v>
      </c>
      <c r="B1628" s="12" t="s">
        <v>294</v>
      </c>
      <c r="C1628" s="12" t="s">
        <v>123</v>
      </c>
      <c r="D1628" s="12" t="s">
        <v>110</v>
      </c>
      <c r="E1628" s="12" t="s">
        <v>8</v>
      </c>
      <c r="F1628" s="12" t="s">
        <v>314</v>
      </c>
      <c r="G1628" s="12">
        <v>10098</v>
      </c>
      <c r="H1628" s="12" t="s">
        <v>315</v>
      </c>
      <c r="I1628" s="12" t="s">
        <v>306</v>
      </c>
      <c r="J1628" s="12">
        <v>1</v>
      </c>
      <c r="K1628" s="12" t="s">
        <v>303</v>
      </c>
    </row>
    <row r="1629" spans="1:16" x14ac:dyDescent="0.3">
      <c r="A1629" s="12" t="s">
        <v>92</v>
      </c>
      <c r="B1629" s="12" t="s">
        <v>294</v>
      </c>
      <c r="C1629" s="12" t="s">
        <v>123</v>
      </c>
      <c r="D1629" s="12" t="s">
        <v>110</v>
      </c>
      <c r="E1629" s="12" t="s">
        <v>3</v>
      </c>
      <c r="F1629" s="12" t="s">
        <v>318</v>
      </c>
      <c r="G1629" s="12">
        <v>87335484</v>
      </c>
      <c r="H1629" s="12" t="s">
        <v>319</v>
      </c>
      <c r="I1629" s="12" t="s">
        <v>306</v>
      </c>
      <c r="J1629" s="12">
        <v>1</v>
      </c>
      <c r="K1629" s="12" t="s">
        <v>303</v>
      </c>
    </row>
    <row r="1630" spans="1:16" x14ac:dyDescent="0.3">
      <c r="A1630" s="12" t="s">
        <v>92</v>
      </c>
      <c r="B1630" s="12" t="s">
        <v>294</v>
      </c>
      <c r="C1630" s="12" t="s">
        <v>123</v>
      </c>
      <c r="D1630" s="12" t="s">
        <v>110</v>
      </c>
      <c r="E1630" s="12" t="s">
        <v>46</v>
      </c>
      <c r="F1630" s="12" t="s">
        <v>694</v>
      </c>
      <c r="G1630" s="12">
        <v>5437</v>
      </c>
      <c r="H1630" s="12" t="s">
        <v>695</v>
      </c>
      <c r="I1630" s="12" t="s">
        <v>306</v>
      </c>
      <c r="J1630" s="12">
        <v>1</v>
      </c>
      <c r="K1630" s="12" t="s">
        <v>303</v>
      </c>
    </row>
    <row r="1631" spans="1:16" x14ac:dyDescent="0.3">
      <c r="A1631" s="12" t="s">
        <v>92</v>
      </c>
      <c r="B1631" s="12" t="s">
        <v>294</v>
      </c>
      <c r="C1631" s="12" t="s">
        <v>123</v>
      </c>
      <c r="D1631" s="12" t="s">
        <v>110</v>
      </c>
      <c r="E1631" s="12" t="s">
        <v>11</v>
      </c>
      <c r="F1631" s="12" t="s">
        <v>322</v>
      </c>
      <c r="G1631" s="12">
        <v>272997</v>
      </c>
      <c r="H1631" s="12" t="s">
        <v>323</v>
      </c>
      <c r="I1631" s="12" t="s">
        <v>302</v>
      </c>
      <c r="J1631" s="12">
        <v>1</v>
      </c>
      <c r="K1631" s="12" t="s">
        <v>303</v>
      </c>
    </row>
    <row r="1632" spans="1:16" x14ac:dyDescent="0.3">
      <c r="A1632" s="12" t="s">
        <v>92</v>
      </c>
      <c r="B1632" s="12" t="s">
        <v>294</v>
      </c>
      <c r="C1632" s="12" t="s">
        <v>123</v>
      </c>
      <c r="D1632" s="12" t="s">
        <v>110</v>
      </c>
      <c r="E1632" s="12" t="s">
        <v>47</v>
      </c>
      <c r="F1632" s="12" t="s">
        <v>696</v>
      </c>
      <c r="G1632" s="12">
        <v>2730877</v>
      </c>
      <c r="H1632" s="12" t="s">
        <v>697</v>
      </c>
      <c r="I1632" s="12" t="s">
        <v>306</v>
      </c>
      <c r="J1632" s="12">
        <v>1</v>
      </c>
      <c r="K1632" s="12" t="s">
        <v>303</v>
      </c>
    </row>
    <row r="1633" spans="1:11" x14ac:dyDescent="0.3">
      <c r="A1633" s="12" t="s">
        <v>92</v>
      </c>
      <c r="B1633" s="12" t="s">
        <v>294</v>
      </c>
      <c r="C1633" s="12" t="s">
        <v>123</v>
      </c>
      <c r="D1633" s="12" t="s">
        <v>110</v>
      </c>
      <c r="E1633" s="12" t="s">
        <v>18</v>
      </c>
      <c r="F1633" s="12" t="s">
        <v>336</v>
      </c>
      <c r="G1633" s="12">
        <v>7496</v>
      </c>
      <c r="H1633" s="12" t="s">
        <v>337</v>
      </c>
      <c r="I1633" s="12" t="s">
        <v>306</v>
      </c>
      <c r="J1633" s="12">
        <v>1</v>
      </c>
      <c r="K1633" s="12" t="s">
        <v>303</v>
      </c>
    </row>
    <row r="1634" spans="1:11" x14ac:dyDescent="0.3">
      <c r="A1634" s="12" t="s">
        <v>92</v>
      </c>
      <c r="B1634" s="12" t="s">
        <v>294</v>
      </c>
      <c r="C1634" s="12" t="s">
        <v>123</v>
      </c>
      <c r="D1634" s="12" t="s">
        <v>110</v>
      </c>
      <c r="E1634" s="12" t="s">
        <v>48</v>
      </c>
      <c r="F1634" s="12" t="s">
        <v>698</v>
      </c>
      <c r="G1634" s="12">
        <v>498843743</v>
      </c>
      <c r="H1634" s="12" t="s">
        <v>699</v>
      </c>
      <c r="I1634" s="12" t="s">
        <v>306</v>
      </c>
      <c r="J1634" s="12">
        <v>1</v>
      </c>
      <c r="K1634" s="12" t="s">
        <v>303</v>
      </c>
    </row>
    <row r="1635" spans="1:11" x14ac:dyDescent="0.3">
      <c r="A1635" s="12" t="s">
        <v>92</v>
      </c>
      <c r="B1635" s="12" t="s">
        <v>294</v>
      </c>
      <c r="C1635" s="12" t="s">
        <v>123</v>
      </c>
      <c r="D1635" s="12" t="s">
        <v>110</v>
      </c>
      <c r="E1635" s="12" t="s">
        <v>54</v>
      </c>
      <c r="F1635" s="12" t="s">
        <v>761</v>
      </c>
      <c r="G1635" s="12">
        <v>691984365</v>
      </c>
      <c r="H1635" s="12" t="s">
        <v>762</v>
      </c>
      <c r="I1635" s="12" t="s">
        <v>306</v>
      </c>
      <c r="J1635" s="12">
        <v>1</v>
      </c>
      <c r="K1635" s="12" t="s">
        <v>303</v>
      </c>
    </row>
    <row r="1636" spans="1:11" x14ac:dyDescent="0.3">
      <c r="A1636" s="12" t="s">
        <v>92</v>
      </c>
      <c r="B1636" s="12" t="s">
        <v>294</v>
      </c>
      <c r="C1636" s="12" t="s">
        <v>123</v>
      </c>
      <c r="D1636" s="12" t="s">
        <v>110</v>
      </c>
      <c r="E1636" s="12" t="s">
        <v>19</v>
      </c>
      <c r="F1636" s="12" t="s">
        <v>338</v>
      </c>
      <c r="G1636" s="12">
        <v>208813719</v>
      </c>
      <c r="H1636" s="12" t="s">
        <v>339</v>
      </c>
      <c r="I1636" s="12" t="s">
        <v>302</v>
      </c>
      <c r="J1636" s="12">
        <v>1</v>
      </c>
      <c r="K1636" s="12" t="s">
        <v>303</v>
      </c>
    </row>
    <row r="1637" spans="1:11" x14ac:dyDescent="0.3">
      <c r="A1637" s="12" t="s">
        <v>92</v>
      </c>
      <c r="B1637" s="12" t="s">
        <v>294</v>
      </c>
      <c r="C1637" s="12" t="s">
        <v>123</v>
      </c>
      <c r="D1637" s="12" t="s">
        <v>110</v>
      </c>
      <c r="E1637" s="12" t="s">
        <v>20</v>
      </c>
      <c r="F1637" s="12" t="s">
        <v>340</v>
      </c>
      <c r="G1637" s="12">
        <v>7930</v>
      </c>
      <c r="H1637" s="12" t="s">
        <v>341</v>
      </c>
      <c r="I1637" s="12" t="s">
        <v>306</v>
      </c>
      <c r="J1637" s="12">
        <v>1</v>
      </c>
      <c r="K1637" s="12" t="s">
        <v>303</v>
      </c>
    </row>
    <row r="1638" spans="1:11" x14ac:dyDescent="0.3">
      <c r="A1638" s="12" t="s">
        <v>92</v>
      </c>
      <c r="B1638" s="12" t="s">
        <v>294</v>
      </c>
      <c r="C1638" s="12" t="s">
        <v>123</v>
      </c>
      <c r="D1638" s="12" t="s">
        <v>110</v>
      </c>
      <c r="E1638" s="12" t="s">
        <v>22</v>
      </c>
      <c r="F1638" s="12" t="s">
        <v>344</v>
      </c>
      <c r="G1638" s="12">
        <v>403121976</v>
      </c>
      <c r="H1638" s="12" t="s">
        <v>345</v>
      </c>
      <c r="I1638" s="12" t="s">
        <v>306</v>
      </c>
      <c r="J1638" s="12">
        <v>1</v>
      </c>
      <c r="K1638" s="12" t="s">
        <v>303</v>
      </c>
    </row>
    <row r="1639" spans="1:11" x14ac:dyDescent="0.3">
      <c r="A1639" s="12" t="s">
        <v>92</v>
      </c>
      <c r="B1639" s="12" t="s">
        <v>294</v>
      </c>
      <c r="C1639" s="12" t="s">
        <v>123</v>
      </c>
      <c r="D1639" s="12" t="s">
        <v>110</v>
      </c>
      <c r="E1639" s="12" t="s">
        <v>37</v>
      </c>
      <c r="F1639" s="12" t="s">
        <v>613</v>
      </c>
      <c r="G1639" s="12">
        <v>8314</v>
      </c>
      <c r="H1639" s="12" t="s">
        <v>614</v>
      </c>
      <c r="I1639" s="12" t="s">
        <v>306</v>
      </c>
      <c r="J1639" s="12">
        <v>1</v>
      </c>
      <c r="K1639" s="12" t="s">
        <v>303</v>
      </c>
    </row>
    <row r="1640" spans="1:11" x14ac:dyDescent="0.3">
      <c r="A1640" s="12" t="s">
        <v>92</v>
      </c>
      <c r="B1640" s="12" t="s">
        <v>294</v>
      </c>
      <c r="C1640" s="12" t="s">
        <v>123</v>
      </c>
      <c r="D1640" s="12" t="s">
        <v>110</v>
      </c>
      <c r="E1640" s="12" t="s">
        <v>24</v>
      </c>
      <c r="F1640" s="12" t="s">
        <v>348</v>
      </c>
      <c r="G1640" s="12">
        <v>404509190</v>
      </c>
      <c r="H1640" s="12" t="s">
        <v>349</v>
      </c>
      <c r="I1640" s="12" t="s">
        <v>306</v>
      </c>
      <c r="J1640" s="12">
        <v>1</v>
      </c>
      <c r="K1640" s="12" t="s">
        <v>303</v>
      </c>
    </row>
    <row r="1641" spans="1:11" x14ac:dyDescent="0.3">
      <c r="A1641" s="12" t="s">
        <v>92</v>
      </c>
      <c r="B1641" s="12" t="s">
        <v>294</v>
      </c>
      <c r="C1641" s="12" t="s">
        <v>123</v>
      </c>
      <c r="D1641" s="12" t="s">
        <v>110</v>
      </c>
      <c r="E1641" s="12" t="s">
        <v>49</v>
      </c>
      <c r="F1641" s="12" t="s">
        <v>700</v>
      </c>
      <c r="G1641" s="12">
        <v>9160</v>
      </c>
      <c r="H1641" s="12" t="s">
        <v>701</v>
      </c>
      <c r="I1641" s="12" t="s">
        <v>306</v>
      </c>
      <c r="J1641" s="12">
        <v>1</v>
      </c>
      <c r="K1641" s="12" t="s">
        <v>303</v>
      </c>
    </row>
    <row r="1642" spans="1:11" x14ac:dyDescent="0.3">
      <c r="A1642" s="12" t="s">
        <v>92</v>
      </c>
      <c r="B1642" s="12" t="s">
        <v>294</v>
      </c>
      <c r="C1642" s="12" t="s">
        <v>123</v>
      </c>
      <c r="D1642" s="12" t="s">
        <v>110</v>
      </c>
      <c r="E1642" s="12" t="s">
        <v>26</v>
      </c>
      <c r="F1642" s="12" t="s">
        <v>352</v>
      </c>
      <c r="G1642" s="12">
        <v>6497</v>
      </c>
      <c r="H1642" s="12" t="s">
        <v>353</v>
      </c>
      <c r="I1642" s="12" t="s">
        <v>306</v>
      </c>
      <c r="J1642" s="12">
        <v>1</v>
      </c>
      <c r="K1642" s="12" t="s">
        <v>303</v>
      </c>
    </row>
    <row r="1643" spans="1:11" x14ac:dyDescent="0.3">
      <c r="A1643" s="12" t="s">
        <v>92</v>
      </c>
      <c r="B1643" s="12" t="s">
        <v>294</v>
      </c>
      <c r="C1643" s="12" t="s">
        <v>123</v>
      </c>
      <c r="D1643" s="12" t="s">
        <v>110</v>
      </c>
      <c r="E1643" s="12" t="s">
        <v>27</v>
      </c>
      <c r="F1643" s="12" t="s">
        <v>354</v>
      </c>
      <c r="G1643" s="12">
        <v>107113386</v>
      </c>
      <c r="H1643" s="12" t="s">
        <v>355</v>
      </c>
      <c r="I1643" s="12" t="s">
        <v>302</v>
      </c>
      <c r="J1643" s="12">
        <v>1</v>
      </c>
      <c r="K1643" s="12" t="s">
        <v>303</v>
      </c>
    </row>
    <row r="1644" spans="1:11" x14ac:dyDescent="0.3">
      <c r="A1644" s="12" t="s">
        <v>92</v>
      </c>
      <c r="B1644" s="12" t="s">
        <v>294</v>
      </c>
      <c r="C1644" s="12" t="s">
        <v>123</v>
      </c>
      <c r="D1644" s="12" t="s">
        <v>110</v>
      </c>
      <c r="E1644" s="12" t="s">
        <v>28</v>
      </c>
      <c r="F1644" s="12" t="s">
        <v>356</v>
      </c>
      <c r="G1644" s="12">
        <v>272093</v>
      </c>
      <c r="H1644" s="12" t="s">
        <v>357</v>
      </c>
      <c r="I1644" s="12" t="s">
        <v>302</v>
      </c>
      <c r="J1644" s="12">
        <v>1</v>
      </c>
      <c r="K1644" s="12" t="s">
        <v>303</v>
      </c>
    </row>
    <row r="1645" spans="1:11" x14ac:dyDescent="0.3">
      <c r="A1645" s="12" t="s">
        <v>92</v>
      </c>
      <c r="B1645" s="12" t="s">
        <v>294</v>
      </c>
      <c r="C1645" s="12" t="s">
        <v>123</v>
      </c>
      <c r="D1645" s="12" t="s">
        <v>110</v>
      </c>
      <c r="E1645" s="12" t="s">
        <v>55</v>
      </c>
      <c r="F1645" s="12" t="s">
        <v>763</v>
      </c>
      <c r="G1645" s="12">
        <v>9939</v>
      </c>
      <c r="H1645" s="12" t="s">
        <v>764</v>
      </c>
      <c r="I1645" s="12" t="s">
        <v>302</v>
      </c>
      <c r="J1645" s="12">
        <v>1</v>
      </c>
      <c r="K1645" s="12" t="s">
        <v>303</v>
      </c>
    </row>
    <row r="1646" spans="1:11" x14ac:dyDescent="0.3">
      <c r="A1646" s="12" t="s">
        <v>92</v>
      </c>
      <c r="B1646" s="12" t="s">
        <v>294</v>
      </c>
      <c r="C1646" s="12" t="s">
        <v>123</v>
      </c>
      <c r="D1646" s="12" t="s">
        <v>110</v>
      </c>
      <c r="E1646" s="12" t="s">
        <v>50</v>
      </c>
      <c r="F1646" s="12" t="s">
        <v>702</v>
      </c>
      <c r="G1646" s="12">
        <v>109911821</v>
      </c>
      <c r="H1646" s="12" t="s">
        <v>703</v>
      </c>
      <c r="I1646" s="12" t="s">
        <v>306</v>
      </c>
      <c r="J1646" s="12">
        <v>1</v>
      </c>
      <c r="K1646" s="12" t="s">
        <v>303</v>
      </c>
    </row>
    <row r="1647" spans="1:11" x14ac:dyDescent="0.3">
      <c r="A1647" s="12" t="s">
        <v>92</v>
      </c>
      <c r="B1647" s="12" t="s">
        <v>294</v>
      </c>
      <c r="C1647" s="12" t="s">
        <v>123</v>
      </c>
      <c r="D1647" s="12" t="s">
        <v>110</v>
      </c>
      <c r="E1647" s="12" t="s">
        <v>56</v>
      </c>
      <c r="F1647" s="12" t="s">
        <v>765</v>
      </c>
      <c r="G1647" s="12">
        <v>10611</v>
      </c>
      <c r="H1647" s="12" t="s">
        <v>766</v>
      </c>
      <c r="I1647" s="12" t="s">
        <v>306</v>
      </c>
      <c r="J1647" s="12">
        <v>1</v>
      </c>
      <c r="K1647" s="12" t="s">
        <v>382</v>
      </c>
    </row>
    <row r="1648" spans="1:11" x14ac:dyDescent="0.3">
      <c r="A1648" s="12" t="s">
        <v>92</v>
      </c>
      <c r="B1648" s="12" t="s">
        <v>294</v>
      </c>
      <c r="C1648" s="12" t="s">
        <v>123</v>
      </c>
      <c r="D1648" s="12" t="s">
        <v>110</v>
      </c>
      <c r="E1648" s="12" t="s">
        <v>57</v>
      </c>
      <c r="F1648" s="12" t="s">
        <v>767</v>
      </c>
      <c r="G1648" s="12">
        <v>272800</v>
      </c>
      <c r="H1648" s="12" t="s">
        <v>768</v>
      </c>
      <c r="I1648" s="12" t="s">
        <v>306</v>
      </c>
      <c r="J1648" s="12">
        <v>1</v>
      </c>
      <c r="K1648" s="12" t="s">
        <v>303</v>
      </c>
    </row>
    <row r="1649" spans="1:12" x14ac:dyDescent="0.3">
      <c r="A1649" s="12" t="s">
        <v>92</v>
      </c>
      <c r="B1649" s="12" t="s">
        <v>294</v>
      </c>
      <c r="C1649" s="12" t="s">
        <v>123</v>
      </c>
      <c r="D1649" s="12" t="s">
        <v>110</v>
      </c>
      <c r="E1649" s="12" t="s">
        <v>29</v>
      </c>
      <c r="F1649" s="12" t="s">
        <v>358</v>
      </c>
      <c r="G1649" s="12">
        <v>110619459</v>
      </c>
      <c r="H1649" s="12" t="s">
        <v>359</v>
      </c>
      <c r="I1649" s="12" t="s">
        <v>302</v>
      </c>
      <c r="J1649" s="12">
        <v>1</v>
      </c>
      <c r="K1649" s="12" t="s">
        <v>303</v>
      </c>
    </row>
    <row r="1650" spans="1:12" x14ac:dyDescent="0.3">
      <c r="A1650" s="12" t="s">
        <v>92</v>
      </c>
      <c r="B1650" s="12" t="s">
        <v>294</v>
      </c>
      <c r="C1650" s="12" t="s">
        <v>123</v>
      </c>
      <c r="D1650" s="12" t="s">
        <v>110</v>
      </c>
      <c r="E1650" s="12" t="s">
        <v>39</v>
      </c>
      <c r="F1650" s="12" t="s">
        <v>617</v>
      </c>
      <c r="G1650" s="12">
        <v>273544</v>
      </c>
      <c r="H1650" s="12" t="s">
        <v>618</v>
      </c>
      <c r="I1650" s="12" t="s">
        <v>302</v>
      </c>
      <c r="J1650" s="12">
        <v>1</v>
      </c>
      <c r="K1650" s="12" t="s">
        <v>303</v>
      </c>
    </row>
    <row r="1651" spans="1:12" x14ac:dyDescent="0.3">
      <c r="A1651" s="12" t="s">
        <v>92</v>
      </c>
      <c r="B1651" s="12" t="s">
        <v>294</v>
      </c>
      <c r="C1651" s="12" t="s">
        <v>123</v>
      </c>
      <c r="D1651" s="12" t="s">
        <v>110</v>
      </c>
      <c r="E1651" s="12" t="s">
        <v>30</v>
      </c>
      <c r="F1651" s="12" t="s">
        <v>360</v>
      </c>
      <c r="G1651" s="12">
        <v>273939</v>
      </c>
      <c r="H1651" s="12" t="s">
        <v>361</v>
      </c>
      <c r="I1651" s="12" t="s">
        <v>302</v>
      </c>
      <c r="J1651" s="12">
        <v>1</v>
      </c>
      <c r="K1651" s="12" t="s">
        <v>303</v>
      </c>
    </row>
    <row r="1652" spans="1:12" x14ac:dyDescent="0.3">
      <c r="A1652" s="12" t="s">
        <v>92</v>
      </c>
      <c r="B1652" s="12" t="s">
        <v>294</v>
      </c>
      <c r="C1652" s="12" t="s">
        <v>123</v>
      </c>
      <c r="D1652" s="12" t="s">
        <v>110</v>
      </c>
      <c r="E1652" s="12" t="s">
        <v>51</v>
      </c>
      <c r="F1652" s="12" t="s">
        <v>704</v>
      </c>
      <c r="G1652" s="12">
        <v>43261373</v>
      </c>
      <c r="H1652" s="12" t="s">
        <v>705</v>
      </c>
      <c r="I1652" s="12" t="s">
        <v>302</v>
      </c>
      <c r="J1652" s="12">
        <v>1</v>
      </c>
      <c r="K1652" s="12" t="s">
        <v>303</v>
      </c>
    </row>
    <row r="1653" spans="1:12" x14ac:dyDescent="0.3">
      <c r="A1653" s="12" t="s">
        <v>92</v>
      </c>
      <c r="B1653" s="12" t="s">
        <v>294</v>
      </c>
      <c r="C1653" s="12" t="s">
        <v>123</v>
      </c>
      <c r="D1653" s="12" t="s">
        <v>110</v>
      </c>
      <c r="E1653" s="12" t="s">
        <v>32</v>
      </c>
      <c r="F1653" s="12" t="s">
        <v>364</v>
      </c>
      <c r="G1653" s="12">
        <v>365207014</v>
      </c>
      <c r="H1653" s="12" t="s">
        <v>365</v>
      </c>
      <c r="I1653" s="12" t="s">
        <v>306</v>
      </c>
      <c r="J1653" s="12">
        <v>1</v>
      </c>
      <c r="K1653" s="12" t="s">
        <v>303</v>
      </c>
    </row>
    <row r="1654" spans="1:12" x14ac:dyDescent="0.3">
      <c r="A1654" s="12" t="s">
        <v>92</v>
      </c>
      <c r="B1654" s="12" t="s">
        <v>294</v>
      </c>
      <c r="C1654" s="12" t="s">
        <v>123</v>
      </c>
      <c r="D1654" s="12" t="s">
        <v>110</v>
      </c>
      <c r="E1654" s="12" t="s">
        <v>40</v>
      </c>
      <c r="F1654" s="12" t="s">
        <v>619</v>
      </c>
      <c r="G1654" s="12">
        <v>13284</v>
      </c>
      <c r="H1654" s="12" t="s">
        <v>620</v>
      </c>
      <c r="I1654" s="12" t="s">
        <v>306</v>
      </c>
      <c r="J1654" s="12">
        <v>1</v>
      </c>
      <c r="K1654" s="12" t="s">
        <v>303</v>
      </c>
    </row>
    <row r="1655" spans="1:12" x14ac:dyDescent="0.3">
      <c r="A1655" s="12" t="s">
        <v>92</v>
      </c>
      <c r="B1655" s="12" t="s">
        <v>294</v>
      </c>
      <c r="C1655" s="12" t="s">
        <v>123</v>
      </c>
      <c r="D1655" s="12" t="s">
        <v>110</v>
      </c>
      <c r="E1655" s="12" t="s">
        <v>34</v>
      </c>
      <c r="F1655" s="12" t="s">
        <v>368</v>
      </c>
      <c r="G1655" s="12">
        <v>115324104</v>
      </c>
      <c r="H1655" s="12" t="s">
        <v>369</v>
      </c>
      <c r="I1655" s="12" t="s">
        <v>302</v>
      </c>
      <c r="J1655" s="12">
        <v>1</v>
      </c>
      <c r="K1655" s="12" t="s">
        <v>303</v>
      </c>
    </row>
    <row r="1656" spans="1:12" x14ac:dyDescent="0.3">
      <c r="A1656" s="12" t="s">
        <v>92</v>
      </c>
      <c r="B1656" s="12" t="s">
        <v>294</v>
      </c>
      <c r="C1656" s="12" t="s">
        <v>123</v>
      </c>
      <c r="D1656" s="12" t="s">
        <v>110</v>
      </c>
      <c r="E1656" s="12" t="s">
        <v>41</v>
      </c>
      <c r="F1656" s="12" t="s">
        <v>621</v>
      </c>
      <c r="G1656" s="12">
        <v>319359438</v>
      </c>
      <c r="H1656" s="12" t="s">
        <v>622</v>
      </c>
      <c r="I1656" s="12" t="s">
        <v>623</v>
      </c>
      <c r="J1656" s="12">
        <v>1</v>
      </c>
      <c r="K1656" s="12" t="s">
        <v>413</v>
      </c>
    </row>
    <row r="1657" spans="1:12" x14ac:dyDescent="0.3">
      <c r="A1657" s="12" t="s">
        <v>92</v>
      </c>
      <c r="B1657" s="12" t="s">
        <v>294</v>
      </c>
      <c r="C1657" s="12" t="s">
        <v>123</v>
      </c>
      <c r="D1657" s="12" t="s">
        <v>110</v>
      </c>
      <c r="E1657" s="12" t="s">
        <v>42</v>
      </c>
      <c r="F1657" s="12" t="s">
        <v>624</v>
      </c>
      <c r="G1657" s="12">
        <v>4215230</v>
      </c>
      <c r="H1657" s="12" t="s">
        <v>625</v>
      </c>
      <c r="I1657" s="12" t="s">
        <v>623</v>
      </c>
      <c r="J1657" s="12">
        <v>1</v>
      </c>
      <c r="K1657" s="12" t="s">
        <v>413</v>
      </c>
    </row>
    <row r="1658" spans="1:12" x14ac:dyDescent="0.3">
      <c r="A1658" s="12" t="s">
        <v>92</v>
      </c>
      <c r="B1658" s="12" t="s">
        <v>294</v>
      </c>
      <c r="C1658" s="12" t="s">
        <v>123</v>
      </c>
      <c r="D1658" s="12" t="s">
        <v>110</v>
      </c>
      <c r="E1658" s="12" t="s">
        <v>43</v>
      </c>
      <c r="F1658" s="12" t="s">
        <v>626</v>
      </c>
      <c r="G1658" s="12">
        <v>4215235</v>
      </c>
      <c r="H1658" s="12" t="s">
        <v>627</v>
      </c>
      <c r="I1658" s="12" t="s">
        <v>623</v>
      </c>
      <c r="J1658" s="12">
        <v>1</v>
      </c>
      <c r="K1658" s="12" t="s">
        <v>413</v>
      </c>
    </row>
    <row r="1659" spans="1:12" x14ac:dyDescent="0.3">
      <c r="A1659" s="12" t="s">
        <v>92</v>
      </c>
      <c r="B1659" s="12" t="s">
        <v>294</v>
      </c>
      <c r="C1659" s="12" t="s">
        <v>123</v>
      </c>
      <c r="D1659" s="12" t="s">
        <v>110</v>
      </c>
      <c r="E1659" s="12" t="s">
        <v>44</v>
      </c>
      <c r="F1659" s="12" t="s">
        <v>628</v>
      </c>
      <c r="G1659" s="12">
        <v>4215205</v>
      </c>
      <c r="H1659" s="12" t="s">
        <v>629</v>
      </c>
      <c r="I1659" s="12" t="s">
        <v>623</v>
      </c>
      <c r="J1659" s="12">
        <v>1</v>
      </c>
      <c r="K1659" s="12" t="s">
        <v>413</v>
      </c>
    </row>
    <row r="1660" spans="1:12" x14ac:dyDescent="0.3">
      <c r="A1660" s="12" t="s">
        <v>92</v>
      </c>
      <c r="B1660" s="12" t="s">
        <v>294</v>
      </c>
      <c r="C1660" s="12" t="s">
        <v>123</v>
      </c>
      <c r="D1660" s="12" t="s">
        <v>110</v>
      </c>
      <c r="E1660" s="12" t="s">
        <v>35</v>
      </c>
      <c r="F1660" s="12" t="s">
        <v>370</v>
      </c>
      <c r="G1660" s="12">
        <v>13977</v>
      </c>
      <c r="H1660" s="12" t="s">
        <v>371</v>
      </c>
      <c r="I1660" s="12" t="s">
        <v>306</v>
      </c>
      <c r="J1660" s="12">
        <v>1</v>
      </c>
      <c r="K1660" s="12" t="s">
        <v>303</v>
      </c>
    </row>
    <row r="1661" spans="1:12" x14ac:dyDescent="0.3">
      <c r="A1661" s="12" t="s">
        <v>92</v>
      </c>
      <c r="B1661" s="12" t="s">
        <v>294</v>
      </c>
      <c r="C1661" s="12" t="s">
        <v>120</v>
      </c>
      <c r="D1661" s="12" t="s">
        <v>100</v>
      </c>
      <c r="E1661" s="12" t="s">
        <v>0</v>
      </c>
      <c r="F1661" s="12" t="s">
        <v>269</v>
      </c>
      <c r="G1661" s="12" t="s">
        <v>295</v>
      </c>
      <c r="H1661" s="12" t="s">
        <v>297</v>
      </c>
      <c r="I1661" s="12" t="s">
        <v>298</v>
      </c>
      <c r="J1661" s="12" t="s">
        <v>372</v>
      </c>
      <c r="K1661" s="12" t="s">
        <v>373</v>
      </c>
      <c r="L1661" s="12" t="s">
        <v>165</v>
      </c>
    </row>
    <row r="1662" spans="1:12" x14ac:dyDescent="0.3">
      <c r="A1662" s="12" t="s">
        <v>92</v>
      </c>
      <c r="B1662" s="12" t="s">
        <v>294</v>
      </c>
      <c r="C1662" s="12" t="s">
        <v>123</v>
      </c>
      <c r="D1662" s="12" t="s">
        <v>112</v>
      </c>
      <c r="E1662" s="12" t="s">
        <v>52</v>
      </c>
      <c r="F1662" s="12" t="s">
        <v>706</v>
      </c>
      <c r="G1662" s="12">
        <v>620731036</v>
      </c>
      <c r="H1662" s="12" t="s">
        <v>375</v>
      </c>
      <c r="I1662" s="12">
        <v>5</v>
      </c>
      <c r="J1662" s="20">
        <v>45464</v>
      </c>
      <c r="K1662" s="12" t="s">
        <v>94</v>
      </c>
    </row>
    <row r="1663" spans="1:12" x14ac:dyDescent="0.3">
      <c r="A1663" s="12" t="s">
        <v>92</v>
      </c>
      <c r="B1663" s="12" t="s">
        <v>294</v>
      </c>
      <c r="C1663" s="12" t="s">
        <v>123</v>
      </c>
      <c r="D1663" s="12" t="s">
        <v>112</v>
      </c>
      <c r="E1663" s="12" t="s">
        <v>53</v>
      </c>
      <c r="F1663" s="12" t="s">
        <v>707</v>
      </c>
      <c r="G1663" s="12">
        <v>620730945</v>
      </c>
      <c r="H1663" s="12" t="s">
        <v>375</v>
      </c>
      <c r="I1663" s="12">
        <v>2</v>
      </c>
      <c r="J1663" s="20">
        <v>45464</v>
      </c>
      <c r="K1663" s="12" t="s">
        <v>94</v>
      </c>
    </row>
    <row r="1664" spans="1:12" x14ac:dyDescent="0.3">
      <c r="A1664" s="12" t="s">
        <v>92</v>
      </c>
      <c r="B1664" s="12" t="s">
        <v>376</v>
      </c>
      <c r="C1664" s="12" t="s">
        <v>120</v>
      </c>
      <c r="D1664" s="12" t="s">
        <v>165</v>
      </c>
      <c r="E1664" s="12" t="s">
        <v>377</v>
      </c>
      <c r="F1664" s="12" t="s">
        <v>378</v>
      </c>
      <c r="G1664" s="12" t="s">
        <v>379</v>
      </c>
    </row>
    <row r="1665" spans="1:5" x14ac:dyDescent="0.3">
      <c r="A1665" s="12" t="s">
        <v>92</v>
      </c>
      <c r="B1665" s="12" t="s">
        <v>376</v>
      </c>
      <c r="C1665" s="12" t="s">
        <v>123</v>
      </c>
      <c r="D1665" s="12" t="s">
        <v>380</v>
      </c>
      <c r="E1665" s="12" t="s">
        <v>381</v>
      </c>
    </row>
    <row r="1666" spans="1:5" x14ac:dyDescent="0.3">
      <c r="A1666" s="12" t="s">
        <v>92</v>
      </c>
      <c r="B1666" s="12" t="s">
        <v>376</v>
      </c>
      <c r="C1666" s="12" t="s">
        <v>123</v>
      </c>
      <c r="D1666" s="12" t="s">
        <v>382</v>
      </c>
      <c r="E1666" s="12" t="s">
        <v>383</v>
      </c>
    </row>
    <row r="1667" spans="1:5" x14ac:dyDescent="0.3">
      <c r="A1667" s="12" t="s">
        <v>92</v>
      </c>
      <c r="B1667" s="12" t="s">
        <v>376</v>
      </c>
      <c r="C1667" s="12" t="s">
        <v>123</v>
      </c>
      <c r="D1667" s="12" t="s">
        <v>384</v>
      </c>
      <c r="E1667" s="12" t="s">
        <v>385</v>
      </c>
    </row>
    <row r="1668" spans="1:5" x14ac:dyDescent="0.3">
      <c r="A1668" s="12" t="s">
        <v>92</v>
      </c>
      <c r="B1668" s="12" t="s">
        <v>376</v>
      </c>
      <c r="C1668" s="12" t="s">
        <v>123</v>
      </c>
      <c r="D1668" s="12" t="s">
        <v>386</v>
      </c>
      <c r="E1668" s="12" t="s">
        <v>387</v>
      </c>
    </row>
    <row r="1669" spans="1:5" x14ac:dyDescent="0.3">
      <c r="A1669" s="12" t="s">
        <v>92</v>
      </c>
      <c r="B1669" s="12" t="s">
        <v>376</v>
      </c>
      <c r="C1669" s="12" t="s">
        <v>123</v>
      </c>
      <c r="D1669" s="12" t="s">
        <v>388</v>
      </c>
      <c r="E1669" s="12" t="s">
        <v>389</v>
      </c>
    </row>
    <row r="1670" spans="1:5" x14ac:dyDescent="0.3">
      <c r="A1670" s="12" t="s">
        <v>92</v>
      </c>
      <c r="B1670" s="12" t="s">
        <v>376</v>
      </c>
      <c r="C1670" s="12" t="s">
        <v>123</v>
      </c>
      <c r="D1670" s="12" t="s">
        <v>390</v>
      </c>
      <c r="E1670" s="12" t="s">
        <v>391</v>
      </c>
    </row>
    <row r="1671" spans="1:5" x14ac:dyDescent="0.3">
      <c r="A1671" s="12" t="s">
        <v>92</v>
      </c>
      <c r="B1671" s="12" t="s">
        <v>376</v>
      </c>
      <c r="C1671" s="12" t="s">
        <v>123</v>
      </c>
      <c r="D1671" s="12" t="s">
        <v>392</v>
      </c>
      <c r="E1671" s="12" t="s">
        <v>393</v>
      </c>
    </row>
    <row r="1672" spans="1:5" x14ac:dyDescent="0.3">
      <c r="A1672" s="12" t="s">
        <v>92</v>
      </c>
      <c r="B1672" s="12" t="s">
        <v>376</v>
      </c>
      <c r="C1672" s="12" t="s">
        <v>123</v>
      </c>
      <c r="D1672" s="12" t="s">
        <v>394</v>
      </c>
      <c r="E1672" s="12" t="s">
        <v>395</v>
      </c>
    </row>
    <row r="1673" spans="1:5" x14ac:dyDescent="0.3">
      <c r="A1673" s="12" t="s">
        <v>92</v>
      </c>
      <c r="B1673" s="12" t="s">
        <v>376</v>
      </c>
      <c r="C1673" s="12" t="s">
        <v>123</v>
      </c>
      <c r="D1673" s="12" t="s">
        <v>396</v>
      </c>
      <c r="E1673" s="12" t="s">
        <v>397</v>
      </c>
    </row>
    <row r="1674" spans="1:5" x14ac:dyDescent="0.3">
      <c r="A1674" s="12" t="s">
        <v>92</v>
      </c>
      <c r="B1674" s="12" t="s">
        <v>376</v>
      </c>
      <c r="C1674" s="12" t="s">
        <v>123</v>
      </c>
      <c r="D1674" s="12" t="s">
        <v>3</v>
      </c>
      <c r="E1674" s="12" t="s">
        <v>398</v>
      </c>
    </row>
    <row r="1675" spans="1:5" x14ac:dyDescent="0.3">
      <c r="A1675" s="12" t="s">
        <v>92</v>
      </c>
      <c r="B1675" s="12" t="s">
        <v>376</v>
      </c>
      <c r="C1675" s="12" t="s">
        <v>123</v>
      </c>
      <c r="D1675" s="12" t="s">
        <v>399</v>
      </c>
      <c r="E1675" s="12" t="s">
        <v>400</v>
      </c>
    </row>
    <row r="1676" spans="1:5" x14ac:dyDescent="0.3">
      <c r="A1676" s="12" t="s">
        <v>92</v>
      </c>
      <c r="B1676" s="12" t="s">
        <v>376</v>
      </c>
      <c r="C1676" s="12" t="s">
        <v>123</v>
      </c>
      <c r="D1676" s="12" t="s">
        <v>401</v>
      </c>
      <c r="E1676" s="12" t="s">
        <v>402</v>
      </c>
    </row>
    <row r="1677" spans="1:5" x14ac:dyDescent="0.3">
      <c r="A1677" s="12" t="s">
        <v>92</v>
      </c>
      <c r="B1677" s="12" t="s">
        <v>376</v>
      </c>
      <c r="C1677" s="12" t="s">
        <v>123</v>
      </c>
      <c r="D1677" s="12" t="s">
        <v>403</v>
      </c>
      <c r="E1677" s="12" t="s">
        <v>404</v>
      </c>
    </row>
    <row r="1678" spans="1:5" x14ac:dyDescent="0.3">
      <c r="A1678" s="12" t="s">
        <v>92</v>
      </c>
      <c r="B1678" s="12" t="s">
        <v>376</v>
      </c>
      <c r="C1678" s="12" t="s">
        <v>123</v>
      </c>
      <c r="D1678" s="12" t="s">
        <v>405</v>
      </c>
      <c r="E1678" s="12" t="s">
        <v>406</v>
      </c>
    </row>
    <row r="1679" spans="1:5" x14ac:dyDescent="0.3">
      <c r="A1679" s="12" t="s">
        <v>92</v>
      </c>
      <c r="B1679" s="12" t="s">
        <v>376</v>
      </c>
      <c r="C1679" s="12" t="s">
        <v>123</v>
      </c>
      <c r="D1679" s="12" t="s">
        <v>407</v>
      </c>
      <c r="E1679" s="12" t="s">
        <v>408</v>
      </c>
    </row>
    <row r="1680" spans="1:5" x14ac:dyDescent="0.3">
      <c r="A1680" s="12" t="s">
        <v>92</v>
      </c>
      <c r="B1680" s="12" t="s">
        <v>376</v>
      </c>
      <c r="C1680" s="12" t="s">
        <v>123</v>
      </c>
      <c r="D1680" s="12" t="s">
        <v>409</v>
      </c>
      <c r="E1680" s="12" t="s">
        <v>410</v>
      </c>
    </row>
    <row r="1681" spans="1:5" x14ac:dyDescent="0.3">
      <c r="A1681" s="12" t="s">
        <v>92</v>
      </c>
      <c r="B1681" s="12" t="s">
        <v>376</v>
      </c>
      <c r="C1681" s="12" t="s">
        <v>123</v>
      </c>
      <c r="D1681" s="12" t="s">
        <v>411</v>
      </c>
      <c r="E1681" s="12" t="s">
        <v>412</v>
      </c>
    </row>
    <row r="1682" spans="1:5" x14ac:dyDescent="0.3">
      <c r="A1682" s="12" t="s">
        <v>92</v>
      </c>
      <c r="B1682" s="12" t="s">
        <v>376</v>
      </c>
      <c r="C1682" s="12" t="s">
        <v>123</v>
      </c>
      <c r="D1682" s="12" t="s">
        <v>413</v>
      </c>
      <c r="E1682" s="12" t="s">
        <v>414</v>
      </c>
    </row>
    <row r="1683" spans="1:5" x14ac:dyDescent="0.3">
      <c r="A1683" s="12" t="s">
        <v>92</v>
      </c>
      <c r="B1683" s="12" t="s">
        <v>376</v>
      </c>
      <c r="C1683" s="12" t="s">
        <v>123</v>
      </c>
      <c r="D1683" s="12" t="s">
        <v>415</v>
      </c>
      <c r="E1683" s="12" t="s">
        <v>416</v>
      </c>
    </row>
    <row r="1684" spans="1:5" x14ac:dyDescent="0.3">
      <c r="A1684" s="12" t="s">
        <v>92</v>
      </c>
      <c r="B1684" s="12" t="s">
        <v>376</v>
      </c>
      <c r="C1684" s="12" t="s">
        <v>123</v>
      </c>
      <c r="D1684" s="12" t="s">
        <v>417</v>
      </c>
      <c r="E1684" s="12" t="s">
        <v>418</v>
      </c>
    </row>
    <row r="1685" spans="1:5" x14ac:dyDescent="0.3">
      <c r="A1685" s="12" t="s">
        <v>92</v>
      </c>
      <c r="B1685" s="12" t="s">
        <v>376</v>
      </c>
      <c r="C1685" s="12" t="s">
        <v>123</v>
      </c>
      <c r="D1685" s="12" t="s">
        <v>419</v>
      </c>
      <c r="E1685" s="12" t="s">
        <v>420</v>
      </c>
    </row>
    <row r="1686" spans="1:5" x14ac:dyDescent="0.3">
      <c r="A1686" s="12" t="s">
        <v>92</v>
      </c>
      <c r="B1686" s="12" t="s">
        <v>376</v>
      </c>
      <c r="C1686" s="12" t="s">
        <v>123</v>
      </c>
      <c r="D1686" s="12" t="s">
        <v>421</v>
      </c>
      <c r="E1686" s="12" t="s">
        <v>422</v>
      </c>
    </row>
    <row r="1687" spans="1:5" x14ac:dyDescent="0.3">
      <c r="A1687" s="12" t="s">
        <v>92</v>
      </c>
      <c r="B1687" s="12" t="s">
        <v>376</v>
      </c>
      <c r="C1687" s="12" t="s">
        <v>123</v>
      </c>
      <c r="D1687" s="12" t="s">
        <v>423</v>
      </c>
      <c r="E1687" s="12" t="s">
        <v>424</v>
      </c>
    </row>
    <row r="1688" spans="1:5" x14ac:dyDescent="0.3">
      <c r="A1688" s="12" t="s">
        <v>92</v>
      </c>
      <c r="B1688" s="12" t="s">
        <v>376</v>
      </c>
      <c r="C1688" s="12" t="s">
        <v>123</v>
      </c>
      <c r="D1688" s="12" t="s">
        <v>425</v>
      </c>
      <c r="E1688" s="12" t="s">
        <v>426</v>
      </c>
    </row>
    <row r="1689" spans="1:5" x14ac:dyDescent="0.3">
      <c r="A1689" s="12" t="s">
        <v>92</v>
      </c>
      <c r="B1689" s="12" t="s">
        <v>376</v>
      </c>
      <c r="C1689" s="12" t="s">
        <v>123</v>
      </c>
      <c r="D1689" s="12" t="s">
        <v>427</v>
      </c>
      <c r="E1689" s="12" t="s">
        <v>428</v>
      </c>
    </row>
    <row r="1690" spans="1:5" x14ac:dyDescent="0.3">
      <c r="A1690" s="12" t="s">
        <v>92</v>
      </c>
      <c r="B1690" s="12" t="s">
        <v>376</v>
      </c>
      <c r="C1690" s="12" t="s">
        <v>123</v>
      </c>
      <c r="D1690" s="12" t="s">
        <v>429</v>
      </c>
      <c r="E1690" s="12" t="s">
        <v>430</v>
      </c>
    </row>
    <row r="1691" spans="1:5" x14ac:dyDescent="0.3">
      <c r="A1691" s="12" t="s">
        <v>92</v>
      </c>
      <c r="B1691" s="12" t="s">
        <v>376</v>
      </c>
      <c r="C1691" s="12" t="s">
        <v>123</v>
      </c>
      <c r="D1691" s="12" t="s">
        <v>431</v>
      </c>
      <c r="E1691" s="12" t="s">
        <v>432</v>
      </c>
    </row>
    <row r="1692" spans="1:5" x14ac:dyDescent="0.3">
      <c r="A1692" s="12" t="s">
        <v>92</v>
      </c>
      <c r="B1692" s="12" t="s">
        <v>376</v>
      </c>
      <c r="C1692" s="12" t="s">
        <v>123</v>
      </c>
      <c r="D1692" s="12" t="s">
        <v>433</v>
      </c>
      <c r="E1692" s="12" t="s">
        <v>434</v>
      </c>
    </row>
    <row r="1693" spans="1:5" x14ac:dyDescent="0.3">
      <c r="A1693" s="12" t="s">
        <v>92</v>
      </c>
      <c r="B1693" s="12" t="s">
        <v>376</v>
      </c>
      <c r="C1693" s="12" t="s">
        <v>123</v>
      </c>
      <c r="D1693" s="12" t="s">
        <v>435</v>
      </c>
      <c r="E1693" s="12" t="s">
        <v>436</v>
      </c>
    </row>
    <row r="1694" spans="1:5" x14ac:dyDescent="0.3">
      <c r="A1694" s="12" t="s">
        <v>92</v>
      </c>
      <c r="B1694" s="12" t="s">
        <v>376</v>
      </c>
      <c r="C1694" s="12" t="s">
        <v>123</v>
      </c>
      <c r="D1694" s="12" t="s">
        <v>437</v>
      </c>
      <c r="E1694" s="12" t="s">
        <v>438</v>
      </c>
    </row>
    <row r="1695" spans="1:5" x14ac:dyDescent="0.3">
      <c r="A1695" s="12" t="s">
        <v>92</v>
      </c>
      <c r="B1695" s="12" t="s">
        <v>376</v>
      </c>
      <c r="C1695" s="12" t="s">
        <v>123</v>
      </c>
      <c r="D1695" s="12" t="s">
        <v>439</v>
      </c>
      <c r="E1695" s="12" t="s">
        <v>440</v>
      </c>
    </row>
    <row r="1696" spans="1:5" x14ac:dyDescent="0.3">
      <c r="A1696" s="12" t="s">
        <v>92</v>
      </c>
      <c r="B1696" s="12" t="s">
        <v>376</v>
      </c>
      <c r="C1696" s="12" t="s">
        <v>123</v>
      </c>
      <c r="D1696" s="12" t="s">
        <v>441</v>
      </c>
      <c r="E1696" s="12" t="s">
        <v>442</v>
      </c>
    </row>
    <row r="1697" spans="1:5" x14ac:dyDescent="0.3">
      <c r="A1697" s="12" t="s">
        <v>92</v>
      </c>
      <c r="B1697" s="12" t="s">
        <v>376</v>
      </c>
      <c r="C1697" s="12" t="s">
        <v>123</v>
      </c>
      <c r="D1697" s="12" t="s">
        <v>443</v>
      </c>
      <c r="E1697" s="12" t="s">
        <v>444</v>
      </c>
    </row>
    <row r="1698" spans="1:5" x14ac:dyDescent="0.3">
      <c r="A1698" s="12" t="s">
        <v>92</v>
      </c>
      <c r="B1698" s="12" t="s">
        <v>376</v>
      </c>
      <c r="C1698" s="12" t="s">
        <v>123</v>
      </c>
      <c r="D1698" s="12" t="s">
        <v>445</v>
      </c>
      <c r="E1698" s="12" t="s">
        <v>446</v>
      </c>
    </row>
    <row r="1699" spans="1:5" x14ac:dyDescent="0.3">
      <c r="A1699" s="12" t="s">
        <v>92</v>
      </c>
      <c r="B1699" s="12" t="s">
        <v>376</v>
      </c>
      <c r="C1699" s="12" t="s">
        <v>123</v>
      </c>
      <c r="D1699" s="12" t="s">
        <v>447</v>
      </c>
      <c r="E1699" s="12" t="s">
        <v>448</v>
      </c>
    </row>
    <row r="1700" spans="1:5" x14ac:dyDescent="0.3">
      <c r="A1700" s="12" t="s">
        <v>92</v>
      </c>
      <c r="B1700" s="12" t="s">
        <v>376</v>
      </c>
      <c r="C1700" s="12" t="s">
        <v>123</v>
      </c>
      <c r="D1700" s="12" t="s">
        <v>449</v>
      </c>
      <c r="E1700" s="12" t="s">
        <v>450</v>
      </c>
    </row>
    <row r="1701" spans="1:5" x14ac:dyDescent="0.3">
      <c r="A1701" s="12" t="s">
        <v>92</v>
      </c>
      <c r="B1701" s="12" t="s">
        <v>376</v>
      </c>
      <c r="C1701" s="12" t="s">
        <v>123</v>
      </c>
      <c r="D1701" s="12" t="s">
        <v>451</v>
      </c>
      <c r="E1701" s="12" t="s">
        <v>452</v>
      </c>
    </row>
    <row r="1702" spans="1:5" x14ac:dyDescent="0.3">
      <c r="A1702" s="12" t="s">
        <v>92</v>
      </c>
      <c r="B1702" s="12" t="s">
        <v>376</v>
      </c>
      <c r="C1702" s="12" t="s">
        <v>123</v>
      </c>
      <c r="D1702" s="12" t="s">
        <v>453</v>
      </c>
      <c r="E1702" s="12" t="s">
        <v>454</v>
      </c>
    </row>
    <row r="1703" spans="1:5" x14ac:dyDescent="0.3">
      <c r="A1703" s="12" t="s">
        <v>92</v>
      </c>
      <c r="B1703" s="12" t="s">
        <v>376</v>
      </c>
      <c r="C1703" s="12" t="s">
        <v>123</v>
      </c>
      <c r="D1703" s="12" t="s">
        <v>455</v>
      </c>
      <c r="E1703" s="12" t="s">
        <v>456</v>
      </c>
    </row>
    <row r="1704" spans="1:5" x14ac:dyDescent="0.3">
      <c r="A1704" s="12" t="s">
        <v>92</v>
      </c>
      <c r="B1704" s="12" t="s">
        <v>376</v>
      </c>
      <c r="C1704" s="12" t="s">
        <v>123</v>
      </c>
      <c r="D1704" s="12" t="s">
        <v>457</v>
      </c>
      <c r="E1704" s="12" t="s">
        <v>458</v>
      </c>
    </row>
    <row r="1705" spans="1:5" x14ac:dyDescent="0.3">
      <c r="A1705" s="12" t="s">
        <v>92</v>
      </c>
      <c r="B1705" s="12" t="s">
        <v>376</v>
      </c>
      <c r="C1705" s="12" t="s">
        <v>123</v>
      </c>
      <c r="D1705" s="12" t="s">
        <v>459</v>
      </c>
      <c r="E1705" s="12" t="s">
        <v>460</v>
      </c>
    </row>
    <row r="1706" spans="1:5" x14ac:dyDescent="0.3">
      <c r="A1706" s="12" t="s">
        <v>92</v>
      </c>
      <c r="B1706" s="12" t="s">
        <v>376</v>
      </c>
      <c r="C1706" s="12" t="s">
        <v>123</v>
      </c>
      <c r="D1706" s="12" t="s">
        <v>461</v>
      </c>
      <c r="E1706" s="12" t="s">
        <v>462</v>
      </c>
    </row>
    <row r="1707" spans="1:5" x14ac:dyDescent="0.3">
      <c r="A1707" s="12" t="s">
        <v>92</v>
      </c>
      <c r="B1707" s="12" t="s">
        <v>376</v>
      </c>
      <c r="C1707" s="12" t="s">
        <v>123</v>
      </c>
      <c r="D1707" s="12" t="s">
        <v>463</v>
      </c>
      <c r="E1707" s="12" t="s">
        <v>464</v>
      </c>
    </row>
    <row r="1708" spans="1:5" x14ac:dyDescent="0.3">
      <c r="A1708" s="12" t="s">
        <v>92</v>
      </c>
      <c r="B1708" s="12" t="s">
        <v>376</v>
      </c>
      <c r="C1708" s="12" t="s">
        <v>123</v>
      </c>
      <c r="D1708" s="12" t="s">
        <v>465</v>
      </c>
      <c r="E1708" s="12" t="s">
        <v>466</v>
      </c>
    </row>
    <row r="1709" spans="1:5" x14ac:dyDescent="0.3">
      <c r="A1709" s="12" t="s">
        <v>92</v>
      </c>
      <c r="B1709" s="12" t="s">
        <v>376</v>
      </c>
      <c r="C1709" s="12" t="s">
        <v>123</v>
      </c>
      <c r="D1709" s="12" t="s">
        <v>215</v>
      </c>
      <c r="E1709" s="12" t="s">
        <v>467</v>
      </c>
    </row>
    <row r="1710" spans="1:5" x14ac:dyDescent="0.3">
      <c r="A1710" s="12" t="s">
        <v>92</v>
      </c>
      <c r="B1710" s="12" t="s">
        <v>376</v>
      </c>
      <c r="C1710" s="12" t="s">
        <v>123</v>
      </c>
      <c r="D1710" s="12" t="s">
        <v>468</v>
      </c>
      <c r="E1710" s="12" t="s">
        <v>469</v>
      </c>
    </row>
    <row r="1711" spans="1:5" x14ac:dyDescent="0.3">
      <c r="A1711" s="12" t="s">
        <v>92</v>
      </c>
      <c r="B1711" s="12" t="s">
        <v>376</v>
      </c>
      <c r="C1711" s="12" t="s">
        <v>123</v>
      </c>
      <c r="D1711" s="12" t="s">
        <v>470</v>
      </c>
      <c r="E1711" s="12" t="s">
        <v>471</v>
      </c>
    </row>
    <row r="1712" spans="1:5" x14ac:dyDescent="0.3">
      <c r="A1712" s="12" t="s">
        <v>92</v>
      </c>
      <c r="B1712" s="12" t="s">
        <v>376</v>
      </c>
      <c r="C1712" s="12" t="s">
        <v>123</v>
      </c>
      <c r="D1712" s="12" t="s">
        <v>472</v>
      </c>
      <c r="E1712" s="12" t="s">
        <v>473</v>
      </c>
    </row>
    <row r="1713" spans="1:5" x14ac:dyDescent="0.3">
      <c r="A1713" s="12" t="s">
        <v>92</v>
      </c>
      <c r="B1713" s="12" t="s">
        <v>376</v>
      </c>
      <c r="C1713" s="12" t="s">
        <v>123</v>
      </c>
      <c r="D1713" s="12" t="s">
        <v>474</v>
      </c>
      <c r="E1713" s="12" t="s">
        <v>475</v>
      </c>
    </row>
    <row r="1714" spans="1:5" x14ac:dyDescent="0.3">
      <c r="A1714" s="12" t="s">
        <v>92</v>
      </c>
      <c r="B1714" s="12" t="s">
        <v>376</v>
      </c>
      <c r="C1714" s="12" t="s">
        <v>123</v>
      </c>
      <c r="D1714" s="12" t="s">
        <v>476</v>
      </c>
      <c r="E1714" s="12" t="s">
        <v>477</v>
      </c>
    </row>
    <row r="1715" spans="1:5" x14ac:dyDescent="0.3">
      <c r="A1715" s="12" t="s">
        <v>92</v>
      </c>
      <c r="B1715" s="12" t="s">
        <v>376</v>
      </c>
      <c r="C1715" s="12" t="s">
        <v>123</v>
      </c>
      <c r="D1715" s="12" t="s">
        <v>291</v>
      </c>
      <c r="E1715" s="12" t="s">
        <v>478</v>
      </c>
    </row>
    <row r="1716" spans="1:5" x14ac:dyDescent="0.3">
      <c r="A1716" s="12" t="s">
        <v>92</v>
      </c>
      <c r="B1716" s="12" t="s">
        <v>376</v>
      </c>
      <c r="C1716" s="12" t="s">
        <v>123</v>
      </c>
      <c r="D1716" s="12" t="s">
        <v>479</v>
      </c>
      <c r="E1716" s="12" t="s">
        <v>480</v>
      </c>
    </row>
    <row r="1717" spans="1:5" x14ac:dyDescent="0.3">
      <c r="A1717" s="12" t="s">
        <v>92</v>
      </c>
      <c r="B1717" s="12" t="s">
        <v>376</v>
      </c>
      <c r="C1717" s="12" t="s">
        <v>123</v>
      </c>
      <c r="D1717" s="12" t="s">
        <v>481</v>
      </c>
      <c r="E1717" s="12" t="s">
        <v>482</v>
      </c>
    </row>
    <row r="1718" spans="1:5" x14ac:dyDescent="0.3">
      <c r="A1718" s="12" t="s">
        <v>92</v>
      </c>
      <c r="B1718" s="12" t="s">
        <v>376</v>
      </c>
      <c r="C1718" s="12" t="s">
        <v>123</v>
      </c>
      <c r="D1718" s="12" t="s">
        <v>483</v>
      </c>
      <c r="E1718" s="12" t="s">
        <v>484</v>
      </c>
    </row>
    <row r="1719" spans="1:5" x14ac:dyDescent="0.3">
      <c r="A1719" s="12" t="s">
        <v>92</v>
      </c>
      <c r="B1719" s="12" t="s">
        <v>376</v>
      </c>
      <c r="C1719" s="12" t="s">
        <v>123</v>
      </c>
      <c r="D1719" s="12" t="s">
        <v>485</v>
      </c>
      <c r="E1719" s="12" t="s">
        <v>486</v>
      </c>
    </row>
    <row r="1720" spans="1:5" x14ac:dyDescent="0.3">
      <c r="A1720" s="12" t="s">
        <v>92</v>
      </c>
      <c r="B1720" s="12" t="s">
        <v>376</v>
      </c>
      <c r="C1720" s="12" t="s">
        <v>123</v>
      </c>
      <c r="D1720" s="12" t="s">
        <v>487</v>
      </c>
      <c r="E1720" s="12" t="s">
        <v>488</v>
      </c>
    </row>
    <row r="1721" spans="1:5" x14ac:dyDescent="0.3">
      <c r="A1721" s="12" t="s">
        <v>92</v>
      </c>
      <c r="B1721" s="12" t="s">
        <v>376</v>
      </c>
      <c r="C1721" s="12" t="s">
        <v>123</v>
      </c>
      <c r="D1721" s="12" t="s">
        <v>489</v>
      </c>
      <c r="E1721" s="12" t="s">
        <v>490</v>
      </c>
    </row>
    <row r="1722" spans="1:5" x14ac:dyDescent="0.3">
      <c r="A1722" s="12" t="s">
        <v>92</v>
      </c>
      <c r="B1722" s="12" t="s">
        <v>376</v>
      </c>
      <c r="C1722" s="12" t="s">
        <v>123</v>
      </c>
      <c r="D1722" s="12" t="s">
        <v>491</v>
      </c>
      <c r="E1722" s="12" t="s">
        <v>492</v>
      </c>
    </row>
    <row r="1723" spans="1:5" x14ac:dyDescent="0.3">
      <c r="A1723" s="12" t="s">
        <v>92</v>
      </c>
      <c r="B1723" s="12" t="s">
        <v>376</v>
      </c>
      <c r="C1723" s="12" t="s">
        <v>123</v>
      </c>
      <c r="D1723" s="12" t="s">
        <v>292</v>
      </c>
      <c r="E1723" s="12" t="s">
        <v>493</v>
      </c>
    </row>
    <row r="1724" spans="1:5" x14ac:dyDescent="0.3">
      <c r="A1724" s="12" t="s">
        <v>92</v>
      </c>
      <c r="B1724" s="12" t="s">
        <v>376</v>
      </c>
      <c r="C1724" s="12" t="s">
        <v>123</v>
      </c>
      <c r="D1724" s="12" t="s">
        <v>494</v>
      </c>
      <c r="E1724" s="12" t="s">
        <v>495</v>
      </c>
    </row>
    <row r="1725" spans="1:5" x14ac:dyDescent="0.3">
      <c r="A1725" s="12" t="s">
        <v>92</v>
      </c>
      <c r="B1725" s="12" t="s">
        <v>376</v>
      </c>
      <c r="C1725" s="12" t="s">
        <v>123</v>
      </c>
      <c r="D1725" s="12" t="s">
        <v>496</v>
      </c>
      <c r="E1725" s="12" t="s">
        <v>497</v>
      </c>
    </row>
    <row r="1726" spans="1:5" x14ac:dyDescent="0.3">
      <c r="A1726" s="12" t="s">
        <v>92</v>
      </c>
      <c r="B1726" s="12" t="s">
        <v>376</v>
      </c>
      <c r="C1726" s="12" t="s">
        <v>123</v>
      </c>
      <c r="D1726" s="12" t="s">
        <v>498</v>
      </c>
      <c r="E1726" s="12" t="s">
        <v>499</v>
      </c>
    </row>
    <row r="1727" spans="1:5" x14ac:dyDescent="0.3">
      <c r="A1727" s="12" t="s">
        <v>92</v>
      </c>
      <c r="B1727" s="12" t="s">
        <v>376</v>
      </c>
      <c r="C1727" s="12" t="s">
        <v>123</v>
      </c>
      <c r="D1727" s="12" t="s">
        <v>500</v>
      </c>
      <c r="E1727" s="12" t="s">
        <v>501</v>
      </c>
    </row>
    <row r="1728" spans="1:5" x14ac:dyDescent="0.3">
      <c r="A1728" s="12" t="s">
        <v>92</v>
      </c>
      <c r="B1728" s="12" t="s">
        <v>376</v>
      </c>
      <c r="C1728" s="12" t="s">
        <v>123</v>
      </c>
      <c r="D1728" s="12" t="s">
        <v>502</v>
      </c>
      <c r="E1728" s="12" t="s">
        <v>503</v>
      </c>
    </row>
    <row r="1729" spans="1:5" x14ac:dyDescent="0.3">
      <c r="A1729" s="12" t="s">
        <v>92</v>
      </c>
      <c r="B1729" s="12" t="s">
        <v>376</v>
      </c>
      <c r="C1729" s="12" t="s">
        <v>123</v>
      </c>
      <c r="D1729" s="12" t="s">
        <v>504</v>
      </c>
      <c r="E1729" s="12" t="s">
        <v>505</v>
      </c>
    </row>
    <row r="1730" spans="1:5" x14ac:dyDescent="0.3">
      <c r="A1730" s="12" t="s">
        <v>92</v>
      </c>
      <c r="B1730" s="12" t="s">
        <v>376</v>
      </c>
      <c r="C1730" s="12" t="s">
        <v>123</v>
      </c>
      <c r="D1730" s="12" t="s">
        <v>506</v>
      </c>
      <c r="E1730" s="12" t="s">
        <v>507</v>
      </c>
    </row>
    <row r="1731" spans="1:5" x14ac:dyDescent="0.3">
      <c r="A1731" s="12" t="s">
        <v>92</v>
      </c>
      <c r="B1731" s="12" t="s">
        <v>376</v>
      </c>
      <c r="C1731" s="12" t="s">
        <v>123</v>
      </c>
      <c r="D1731" s="12" t="s">
        <v>508</v>
      </c>
      <c r="E1731" s="12" t="s">
        <v>509</v>
      </c>
    </row>
    <row r="1732" spans="1:5" x14ac:dyDescent="0.3">
      <c r="A1732" s="12" t="s">
        <v>92</v>
      </c>
      <c r="B1732" s="12" t="s">
        <v>376</v>
      </c>
      <c r="C1732" s="12" t="s">
        <v>123</v>
      </c>
      <c r="D1732" s="12" t="s">
        <v>510</v>
      </c>
      <c r="E1732" s="12" t="s">
        <v>511</v>
      </c>
    </row>
    <row r="1733" spans="1:5" x14ac:dyDescent="0.3">
      <c r="A1733" s="12" t="s">
        <v>92</v>
      </c>
      <c r="B1733" s="12" t="s">
        <v>376</v>
      </c>
      <c r="C1733" s="12" t="s">
        <v>123</v>
      </c>
      <c r="D1733" s="12" t="s">
        <v>555</v>
      </c>
      <c r="E1733" s="12" t="s">
        <v>769</v>
      </c>
    </row>
    <row r="1734" spans="1:5" x14ac:dyDescent="0.3">
      <c r="A1734" s="12" t="s">
        <v>92</v>
      </c>
      <c r="B1734" s="12" t="s">
        <v>376</v>
      </c>
      <c r="C1734" s="12" t="s">
        <v>123</v>
      </c>
      <c r="D1734" s="12" t="s">
        <v>512</v>
      </c>
      <c r="E1734" s="12" t="s">
        <v>513</v>
      </c>
    </row>
    <row r="1735" spans="1:5" x14ac:dyDescent="0.3">
      <c r="A1735" s="12" t="s">
        <v>92</v>
      </c>
      <c r="B1735" s="12" t="s">
        <v>376</v>
      </c>
      <c r="C1735" s="12" t="s">
        <v>123</v>
      </c>
      <c r="D1735" s="12" t="s">
        <v>514</v>
      </c>
      <c r="E1735" s="12" t="s">
        <v>515</v>
      </c>
    </row>
    <row r="1736" spans="1:5" x14ac:dyDescent="0.3">
      <c r="A1736" s="12" t="s">
        <v>92</v>
      </c>
      <c r="B1736" s="12" t="s">
        <v>376</v>
      </c>
      <c r="C1736" s="12" t="s">
        <v>123</v>
      </c>
      <c r="D1736" s="12" t="s">
        <v>516</v>
      </c>
      <c r="E1736" s="12" t="s">
        <v>517</v>
      </c>
    </row>
    <row r="1737" spans="1:5" x14ac:dyDescent="0.3">
      <c r="A1737" s="12" t="s">
        <v>92</v>
      </c>
      <c r="B1737" s="12" t="s">
        <v>518</v>
      </c>
      <c r="C1737" s="12" t="s">
        <v>120</v>
      </c>
      <c r="D1737" s="12" t="s">
        <v>299</v>
      </c>
      <c r="E1737" s="12" t="s">
        <v>519</v>
      </c>
    </row>
    <row r="1738" spans="1:5" x14ac:dyDescent="0.3">
      <c r="A1738" s="12" t="s">
        <v>92</v>
      </c>
      <c r="B1738" s="12" t="s">
        <v>518</v>
      </c>
      <c r="C1738" s="12" t="s">
        <v>123</v>
      </c>
      <c r="D1738" s="12" t="s">
        <v>520</v>
      </c>
      <c r="E1738" s="12" t="s">
        <v>521</v>
      </c>
    </row>
    <row r="1739" spans="1:5" x14ac:dyDescent="0.3">
      <c r="A1739" s="12" t="s">
        <v>92</v>
      </c>
      <c r="B1739" s="12" t="s">
        <v>518</v>
      </c>
      <c r="C1739" s="12" t="s">
        <v>123</v>
      </c>
      <c r="D1739" s="12" t="s">
        <v>520</v>
      </c>
      <c r="E1739" s="12" t="s">
        <v>522</v>
      </c>
    </row>
    <row r="1740" spans="1:5" x14ac:dyDescent="0.3">
      <c r="A1740" s="12" t="s">
        <v>92</v>
      </c>
      <c r="B1740" s="12" t="s">
        <v>518</v>
      </c>
      <c r="C1740" s="12" t="s">
        <v>123</v>
      </c>
      <c r="D1740" s="12" t="s">
        <v>520</v>
      </c>
      <c r="E1740" s="12" t="s">
        <v>523</v>
      </c>
    </row>
    <row r="1741" spans="1:5" x14ac:dyDescent="0.3">
      <c r="A1741" s="12" t="s">
        <v>92</v>
      </c>
      <c r="B1741" s="12" t="s">
        <v>518</v>
      </c>
      <c r="C1741" s="12" t="s">
        <v>123</v>
      </c>
      <c r="D1741" s="12" t="s">
        <v>520</v>
      </c>
      <c r="E1741" s="12" t="s">
        <v>524</v>
      </c>
    </row>
    <row r="1742" spans="1:5" x14ac:dyDescent="0.3">
      <c r="A1742" s="12" t="s">
        <v>92</v>
      </c>
      <c r="B1742" s="12" t="s">
        <v>518</v>
      </c>
      <c r="C1742" s="12" t="s">
        <v>123</v>
      </c>
      <c r="D1742" s="12" t="s">
        <v>520</v>
      </c>
      <c r="E1742" s="12" t="s">
        <v>525</v>
      </c>
    </row>
    <row r="1743" spans="1:5" x14ac:dyDescent="0.3">
      <c r="A1743" s="12" t="s">
        <v>92</v>
      </c>
      <c r="B1743" s="12" t="s">
        <v>518</v>
      </c>
      <c r="C1743" s="12" t="s">
        <v>123</v>
      </c>
      <c r="D1743" s="12" t="s">
        <v>520</v>
      </c>
      <c r="E1743" s="12" t="s">
        <v>526</v>
      </c>
    </row>
    <row r="1744" spans="1:5" x14ac:dyDescent="0.3">
      <c r="A1744" s="12" t="s">
        <v>92</v>
      </c>
      <c r="B1744" s="12" t="s">
        <v>518</v>
      </c>
      <c r="C1744" s="12" t="s">
        <v>123</v>
      </c>
      <c r="D1744" s="12" t="s">
        <v>520</v>
      </c>
      <c r="E1744" s="12" t="s">
        <v>527</v>
      </c>
    </row>
    <row r="1745" spans="1:5" x14ac:dyDescent="0.3">
      <c r="A1745" s="12" t="s">
        <v>92</v>
      </c>
      <c r="B1745" s="12" t="s">
        <v>518</v>
      </c>
      <c r="C1745" s="12" t="s">
        <v>123</v>
      </c>
      <c r="D1745" s="12" t="s">
        <v>520</v>
      </c>
      <c r="E1745" s="12" t="s">
        <v>528</v>
      </c>
    </row>
    <row r="1746" spans="1:5" x14ac:dyDescent="0.3">
      <c r="A1746" s="12" t="s">
        <v>92</v>
      </c>
      <c r="B1746" s="12" t="s">
        <v>518</v>
      </c>
      <c r="C1746" s="12" t="s">
        <v>123</v>
      </c>
      <c r="D1746" s="12" t="s">
        <v>520</v>
      </c>
      <c r="E1746" s="12" t="s">
        <v>529</v>
      </c>
    </row>
    <row r="1747" spans="1:5" x14ac:dyDescent="0.3">
      <c r="A1747" s="12" t="s">
        <v>92</v>
      </c>
      <c r="B1747" s="12" t="s">
        <v>518</v>
      </c>
      <c r="C1747" s="12" t="s">
        <v>123</v>
      </c>
      <c r="D1747" s="12" t="s">
        <v>520</v>
      </c>
      <c r="E1747" s="12" t="s">
        <v>530</v>
      </c>
    </row>
    <row r="1748" spans="1:5" x14ac:dyDescent="0.3">
      <c r="A1748" s="12" t="s">
        <v>92</v>
      </c>
      <c r="B1748" s="12" t="s">
        <v>518</v>
      </c>
      <c r="C1748" s="12" t="s">
        <v>123</v>
      </c>
      <c r="D1748" s="12" t="s">
        <v>520</v>
      </c>
      <c r="E1748" s="12" t="s">
        <v>531</v>
      </c>
    </row>
    <row r="1749" spans="1:5" x14ac:dyDescent="0.3">
      <c r="A1749" s="12" t="s">
        <v>92</v>
      </c>
      <c r="B1749" s="12" t="s">
        <v>518</v>
      </c>
      <c r="C1749" s="12" t="s">
        <v>123</v>
      </c>
      <c r="D1749" s="12" t="s">
        <v>520</v>
      </c>
      <c r="E1749" s="12" t="s">
        <v>532</v>
      </c>
    </row>
    <row r="1750" spans="1:5" x14ac:dyDescent="0.3">
      <c r="A1750" s="12" t="s">
        <v>92</v>
      </c>
      <c r="B1750" s="12" t="s">
        <v>518</v>
      </c>
      <c r="C1750" s="12" t="s">
        <v>123</v>
      </c>
      <c r="D1750" s="12" t="s">
        <v>520</v>
      </c>
      <c r="E1750" s="12" t="s">
        <v>533</v>
      </c>
    </row>
    <row r="1751" spans="1:5" x14ac:dyDescent="0.3">
      <c r="A1751" s="12" t="s">
        <v>92</v>
      </c>
      <c r="B1751" s="12" t="s">
        <v>518</v>
      </c>
      <c r="C1751" s="12" t="s">
        <v>123</v>
      </c>
      <c r="D1751" s="12" t="s">
        <v>520</v>
      </c>
      <c r="E1751" s="12" t="s">
        <v>534</v>
      </c>
    </row>
    <row r="1752" spans="1:5" x14ac:dyDescent="0.3">
      <c r="A1752" s="12" t="s">
        <v>92</v>
      </c>
      <c r="B1752" s="12" t="s">
        <v>518</v>
      </c>
      <c r="C1752" s="12" t="s">
        <v>123</v>
      </c>
      <c r="D1752" s="12" t="s">
        <v>520</v>
      </c>
      <c r="E1752" s="12" t="s">
        <v>535</v>
      </c>
    </row>
    <row r="1753" spans="1:5" x14ac:dyDescent="0.3">
      <c r="A1753" s="12" t="s">
        <v>92</v>
      </c>
      <c r="B1753" s="12" t="s">
        <v>518</v>
      </c>
      <c r="C1753" s="12" t="s">
        <v>123</v>
      </c>
      <c r="D1753" s="12" t="s">
        <v>520</v>
      </c>
      <c r="E1753" s="12" t="s">
        <v>536</v>
      </c>
    </row>
    <row r="1754" spans="1:5" x14ac:dyDescent="0.3">
      <c r="A1754" s="12" t="s">
        <v>92</v>
      </c>
      <c r="B1754" s="12" t="s">
        <v>518</v>
      </c>
      <c r="C1754" s="12" t="s">
        <v>123</v>
      </c>
      <c r="D1754" s="12" t="s">
        <v>520</v>
      </c>
      <c r="E1754" s="12" t="s">
        <v>537</v>
      </c>
    </row>
    <row r="1755" spans="1:5" x14ac:dyDescent="0.3">
      <c r="A1755" s="12" t="s">
        <v>92</v>
      </c>
      <c r="B1755" s="12" t="s">
        <v>518</v>
      </c>
      <c r="C1755" s="12" t="s">
        <v>123</v>
      </c>
      <c r="D1755" s="12" t="s">
        <v>538</v>
      </c>
      <c r="E1755" s="12" t="s">
        <v>539</v>
      </c>
    </row>
    <row r="1756" spans="1:5" x14ac:dyDescent="0.3">
      <c r="A1756" s="12" t="s">
        <v>92</v>
      </c>
      <c r="B1756" s="12" t="s">
        <v>518</v>
      </c>
      <c r="C1756" s="12" t="s">
        <v>123</v>
      </c>
      <c r="D1756" s="12" t="s">
        <v>540</v>
      </c>
      <c r="E1756" s="12" t="s">
        <v>541</v>
      </c>
    </row>
    <row r="1757" spans="1:5" x14ac:dyDescent="0.3">
      <c r="A1757" s="12" t="s">
        <v>92</v>
      </c>
      <c r="B1757" s="12" t="s">
        <v>518</v>
      </c>
      <c r="C1757" s="12" t="s">
        <v>123</v>
      </c>
      <c r="D1757" s="12" t="s">
        <v>542</v>
      </c>
      <c r="E1757" s="12" t="s">
        <v>1506</v>
      </c>
    </row>
    <row r="1758" spans="1:5" x14ac:dyDescent="0.3">
      <c r="A1758" s="12" t="s">
        <v>92</v>
      </c>
      <c r="B1758" s="12" t="s">
        <v>518</v>
      </c>
      <c r="C1758" s="12" t="s">
        <v>123</v>
      </c>
      <c r="D1758" s="12" t="s">
        <v>542</v>
      </c>
      <c r="E1758" s="12" t="s">
        <v>543</v>
      </c>
    </row>
    <row r="1759" spans="1:5" x14ac:dyDescent="0.3">
      <c r="A1759" s="12" t="s">
        <v>92</v>
      </c>
      <c r="B1759" s="12" t="s">
        <v>518</v>
      </c>
      <c r="C1759" s="12" t="s">
        <v>123</v>
      </c>
      <c r="D1759" s="12" t="s">
        <v>542</v>
      </c>
      <c r="E1759" s="12" t="s">
        <v>544</v>
      </c>
    </row>
    <row r="1760" spans="1:5" x14ac:dyDescent="0.3">
      <c r="A1760" s="12" t="s">
        <v>92</v>
      </c>
      <c r="B1760" s="12" t="s">
        <v>518</v>
      </c>
      <c r="C1760" s="12" t="s">
        <v>123</v>
      </c>
      <c r="D1760" s="12" t="s">
        <v>542</v>
      </c>
      <c r="E1760" s="12" t="s">
        <v>545</v>
      </c>
    </row>
    <row r="1761" spans="1:5" x14ac:dyDescent="0.3">
      <c r="A1761" s="12" t="s">
        <v>92</v>
      </c>
      <c r="B1761" s="12" t="s">
        <v>518</v>
      </c>
      <c r="C1761" s="12" t="s">
        <v>123</v>
      </c>
      <c r="D1761" s="12" t="s">
        <v>542</v>
      </c>
      <c r="E1761" s="12" t="s">
        <v>546</v>
      </c>
    </row>
    <row r="1762" spans="1:5" x14ac:dyDescent="0.3">
      <c r="A1762" s="12" t="s">
        <v>92</v>
      </c>
      <c r="B1762" s="12" t="s">
        <v>518</v>
      </c>
      <c r="C1762" s="12" t="s">
        <v>123</v>
      </c>
      <c r="D1762" s="12" t="s">
        <v>542</v>
      </c>
      <c r="E1762" s="12" t="s">
        <v>547</v>
      </c>
    </row>
    <row r="1763" spans="1:5" x14ac:dyDescent="0.3">
      <c r="A1763" s="12" t="s">
        <v>92</v>
      </c>
      <c r="B1763" s="12" t="s">
        <v>518</v>
      </c>
      <c r="C1763" s="12" t="s">
        <v>123</v>
      </c>
      <c r="D1763" s="12" t="s">
        <v>542</v>
      </c>
      <c r="E1763" s="12" t="s">
        <v>1507</v>
      </c>
    </row>
    <row r="1764" spans="1:5" x14ac:dyDescent="0.3">
      <c r="A1764" s="12" t="s">
        <v>92</v>
      </c>
      <c r="B1764" s="12" t="s">
        <v>518</v>
      </c>
      <c r="C1764" s="12" t="s">
        <v>123</v>
      </c>
      <c r="D1764" s="12" t="s">
        <v>542</v>
      </c>
      <c r="E1764" s="12" t="s">
        <v>1508</v>
      </c>
    </row>
    <row r="1765" spans="1:5" x14ac:dyDescent="0.3">
      <c r="A1765" s="12" t="s">
        <v>92</v>
      </c>
      <c r="B1765" s="12" t="s">
        <v>518</v>
      </c>
      <c r="C1765" s="12" t="s">
        <v>123</v>
      </c>
      <c r="D1765" s="12" t="s">
        <v>542</v>
      </c>
      <c r="E1765" s="12" t="s">
        <v>548</v>
      </c>
    </row>
    <row r="1766" spans="1:5" x14ac:dyDescent="0.3">
      <c r="A1766" s="12" t="s">
        <v>92</v>
      </c>
      <c r="B1766" s="12" t="s">
        <v>518</v>
      </c>
      <c r="C1766" s="12" t="s">
        <v>123</v>
      </c>
      <c r="D1766" s="12" t="s">
        <v>542</v>
      </c>
      <c r="E1766" s="12" t="s">
        <v>549</v>
      </c>
    </row>
    <row r="1767" spans="1:5" x14ac:dyDescent="0.3">
      <c r="A1767" s="12" t="s">
        <v>92</v>
      </c>
      <c r="B1767" s="12" t="s">
        <v>518</v>
      </c>
      <c r="C1767" s="12" t="s">
        <v>123</v>
      </c>
      <c r="D1767" s="12" t="s">
        <v>542</v>
      </c>
      <c r="E1767" s="12" t="s">
        <v>550</v>
      </c>
    </row>
    <row r="1768" spans="1:5" x14ac:dyDescent="0.3">
      <c r="A1768" s="12" t="s">
        <v>92</v>
      </c>
      <c r="B1768" s="12" t="s">
        <v>518</v>
      </c>
      <c r="C1768" s="12" t="s">
        <v>123</v>
      </c>
      <c r="D1768" s="12" t="s">
        <v>542</v>
      </c>
      <c r="E1768" s="12" t="s">
        <v>551</v>
      </c>
    </row>
    <row r="1769" spans="1:5" x14ac:dyDescent="0.3">
      <c r="A1769" s="12" t="s">
        <v>92</v>
      </c>
      <c r="B1769" s="12" t="s">
        <v>518</v>
      </c>
      <c r="C1769" s="12" t="s">
        <v>123</v>
      </c>
      <c r="E1769" s="12" t="s">
        <v>552</v>
      </c>
    </row>
    <row r="1770" spans="1:5" x14ac:dyDescent="0.3">
      <c r="A1770" s="12" t="s">
        <v>93</v>
      </c>
      <c r="B1770" s="12" t="s">
        <v>119</v>
      </c>
      <c r="C1770" s="12" t="s">
        <v>120</v>
      </c>
      <c r="D1770" s="12" t="s">
        <v>121</v>
      </c>
      <c r="E1770" s="12" t="s">
        <v>122</v>
      </c>
    </row>
    <row r="1771" spans="1:5" x14ac:dyDescent="0.3">
      <c r="A1771" s="12" t="s">
        <v>93</v>
      </c>
      <c r="B1771" s="12" t="s">
        <v>119</v>
      </c>
      <c r="C1771" s="12" t="s">
        <v>123</v>
      </c>
      <c r="D1771" s="12" t="s">
        <v>124</v>
      </c>
      <c r="E1771" s="12" t="s">
        <v>125</v>
      </c>
    </row>
    <row r="1772" spans="1:5" x14ac:dyDescent="0.3">
      <c r="A1772" s="12" t="s">
        <v>93</v>
      </c>
      <c r="B1772" s="12" t="s">
        <v>119</v>
      </c>
      <c r="C1772" s="12" t="s">
        <v>123</v>
      </c>
      <c r="D1772" s="12" t="s">
        <v>126</v>
      </c>
    </row>
    <row r="1773" spans="1:5" x14ac:dyDescent="0.3">
      <c r="A1773" s="12" t="s">
        <v>93</v>
      </c>
      <c r="B1773" s="12" t="s">
        <v>119</v>
      </c>
      <c r="C1773" s="12" t="s">
        <v>123</v>
      </c>
      <c r="D1773" s="12" t="s">
        <v>127</v>
      </c>
      <c r="E1773" s="12" t="s">
        <v>128</v>
      </c>
    </row>
    <row r="1774" spans="1:5" x14ac:dyDescent="0.3">
      <c r="A1774" s="12" t="s">
        <v>93</v>
      </c>
      <c r="B1774" s="12" t="s">
        <v>119</v>
      </c>
      <c r="C1774" s="12" t="s">
        <v>123</v>
      </c>
      <c r="D1774" s="12" t="s">
        <v>129</v>
      </c>
      <c r="E1774" s="12" t="s">
        <v>771</v>
      </c>
    </row>
    <row r="1775" spans="1:5" x14ac:dyDescent="0.3">
      <c r="A1775" s="12" t="s">
        <v>93</v>
      </c>
      <c r="B1775" s="12" t="s">
        <v>119</v>
      </c>
      <c r="C1775" s="12" t="s">
        <v>123</v>
      </c>
      <c r="D1775" s="12" t="s">
        <v>131</v>
      </c>
      <c r="E1775" s="12" t="s">
        <v>772</v>
      </c>
    </row>
    <row r="1776" spans="1:5" x14ac:dyDescent="0.3">
      <c r="A1776" s="12" t="s">
        <v>93</v>
      </c>
      <c r="B1776" s="12" t="s">
        <v>133</v>
      </c>
      <c r="C1776" s="12" t="s">
        <v>120</v>
      </c>
      <c r="D1776" s="12" t="s">
        <v>121</v>
      </c>
      <c r="E1776" s="12" t="s">
        <v>122</v>
      </c>
    </row>
    <row r="1777" spans="1:9" x14ac:dyDescent="0.3">
      <c r="A1777" s="12" t="s">
        <v>93</v>
      </c>
      <c r="B1777" s="12" t="s">
        <v>133</v>
      </c>
      <c r="C1777" s="12" t="s">
        <v>123</v>
      </c>
      <c r="D1777" s="12" t="s">
        <v>134</v>
      </c>
    </row>
    <row r="1778" spans="1:9" x14ac:dyDescent="0.3">
      <c r="A1778" s="12" t="s">
        <v>93</v>
      </c>
      <c r="B1778" s="12" t="s">
        <v>133</v>
      </c>
      <c r="C1778" s="12" t="s">
        <v>123</v>
      </c>
      <c r="D1778" s="12" t="s">
        <v>135</v>
      </c>
    </row>
    <row r="1779" spans="1:9" x14ac:dyDescent="0.3">
      <c r="A1779" s="12" t="s">
        <v>93</v>
      </c>
      <c r="B1779" s="12" t="s">
        <v>133</v>
      </c>
      <c r="C1779" s="12" t="s">
        <v>123</v>
      </c>
      <c r="D1779" s="12" t="s">
        <v>136</v>
      </c>
    </row>
    <row r="1780" spans="1:9" x14ac:dyDescent="0.3">
      <c r="A1780" s="12" t="s">
        <v>93</v>
      </c>
      <c r="B1780" s="12" t="s">
        <v>133</v>
      </c>
      <c r="C1780" s="12" t="s">
        <v>123</v>
      </c>
      <c r="D1780" s="12" t="s">
        <v>137</v>
      </c>
    </row>
    <row r="1781" spans="1:9" x14ac:dyDescent="0.3">
      <c r="A1781" s="12" t="s">
        <v>93</v>
      </c>
      <c r="B1781" s="12" t="s">
        <v>133</v>
      </c>
      <c r="C1781" s="12" t="s">
        <v>123</v>
      </c>
      <c r="D1781" s="12" t="s">
        <v>138</v>
      </c>
      <c r="E1781" s="12" t="s">
        <v>139</v>
      </c>
    </row>
    <row r="1782" spans="1:9" x14ac:dyDescent="0.3">
      <c r="A1782" s="12" t="s">
        <v>93</v>
      </c>
      <c r="B1782" s="12" t="s">
        <v>133</v>
      </c>
      <c r="C1782" s="12" t="s">
        <v>123</v>
      </c>
      <c r="D1782" s="12" t="s">
        <v>140</v>
      </c>
      <c r="E1782" s="12" t="s">
        <v>141</v>
      </c>
    </row>
    <row r="1783" spans="1:9" x14ac:dyDescent="0.3">
      <c r="A1783" s="12" t="s">
        <v>93</v>
      </c>
      <c r="B1783" s="12" t="s">
        <v>133</v>
      </c>
      <c r="C1783" s="12" t="s">
        <v>123</v>
      </c>
      <c r="D1783" s="12" t="s">
        <v>142</v>
      </c>
      <c r="E1783" s="12" t="s">
        <v>114</v>
      </c>
    </row>
    <row r="1784" spans="1:9" x14ac:dyDescent="0.3">
      <c r="A1784" s="12" t="s">
        <v>93</v>
      </c>
      <c r="B1784" s="12" t="s">
        <v>143</v>
      </c>
      <c r="C1784" s="12" t="s">
        <v>120</v>
      </c>
      <c r="D1784" s="12" t="s">
        <v>144</v>
      </c>
      <c r="E1784" s="12" t="s">
        <v>145</v>
      </c>
      <c r="F1784" s="12" t="s">
        <v>146</v>
      </c>
      <c r="G1784" s="12" t="s">
        <v>147</v>
      </c>
      <c r="H1784" s="12" t="s">
        <v>148</v>
      </c>
      <c r="I1784" s="12" t="s">
        <v>99</v>
      </c>
    </row>
    <row r="1785" spans="1:9" x14ac:dyDescent="0.3">
      <c r="A1785" s="12" t="s">
        <v>93</v>
      </c>
      <c r="B1785" s="12" t="s">
        <v>143</v>
      </c>
      <c r="C1785" s="12" t="s">
        <v>123</v>
      </c>
      <c r="D1785" s="12" t="s">
        <v>149</v>
      </c>
      <c r="E1785" s="12">
        <v>41307.718625000001</v>
      </c>
      <c r="F1785" s="12">
        <v>60328.581124999997</v>
      </c>
      <c r="G1785" s="12">
        <v>0</v>
      </c>
      <c r="H1785" s="12">
        <v>60328.581124999997</v>
      </c>
      <c r="I1785" s="12">
        <v>19020.862499999999</v>
      </c>
    </row>
    <row r="1786" spans="1:9" x14ac:dyDescent="0.3">
      <c r="A1786" s="12" t="s">
        <v>93</v>
      </c>
      <c r="B1786" s="12" t="s">
        <v>143</v>
      </c>
      <c r="C1786" s="12" t="s">
        <v>123</v>
      </c>
      <c r="D1786" s="12" t="s">
        <v>150</v>
      </c>
      <c r="E1786" s="12">
        <v>220153.73</v>
      </c>
      <c r="F1786" s="12">
        <v>452742.7</v>
      </c>
      <c r="G1786" s="12">
        <v>0</v>
      </c>
      <c r="H1786" s="12">
        <v>452742.7</v>
      </c>
      <c r="I1786" s="12">
        <v>232588.97</v>
      </c>
    </row>
    <row r="1787" spans="1:9" x14ac:dyDescent="0.3">
      <c r="A1787" s="12" t="s">
        <v>93</v>
      </c>
      <c r="B1787" s="12" t="s">
        <v>143</v>
      </c>
      <c r="C1787" s="12" t="s">
        <v>123</v>
      </c>
      <c r="D1787" s="12" t="s">
        <v>151</v>
      </c>
      <c r="E1787" s="12">
        <v>-1.43</v>
      </c>
      <c r="F1787" s="12">
        <v>195.2</v>
      </c>
      <c r="G1787" s="12">
        <v>-1.21</v>
      </c>
      <c r="H1787" s="12">
        <v>193.99</v>
      </c>
      <c r="I1787" s="12">
        <v>195.42</v>
      </c>
    </row>
    <row r="1788" spans="1:9" x14ac:dyDescent="0.3">
      <c r="A1788" s="12" t="s">
        <v>93</v>
      </c>
      <c r="B1788" s="12" t="s">
        <v>143</v>
      </c>
      <c r="C1788" s="12" t="s">
        <v>123</v>
      </c>
      <c r="D1788" s="12" t="s">
        <v>152</v>
      </c>
      <c r="E1788" s="12">
        <v>41.6</v>
      </c>
      <c r="F1788" s="12">
        <v>210.06</v>
      </c>
      <c r="G1788" s="12">
        <v>0</v>
      </c>
      <c r="H1788" s="12">
        <v>210.06</v>
      </c>
      <c r="I1788" s="12">
        <v>168.46</v>
      </c>
    </row>
    <row r="1789" spans="1:9" x14ac:dyDescent="0.3">
      <c r="A1789" s="12" t="s">
        <v>93</v>
      </c>
      <c r="B1789" s="12" t="s">
        <v>143</v>
      </c>
      <c r="C1789" s="12" t="s">
        <v>123</v>
      </c>
      <c r="D1789" s="12" t="s">
        <v>97</v>
      </c>
      <c r="E1789" s="12">
        <v>261501.618625</v>
      </c>
      <c r="F1789" s="12">
        <v>513476.54112499999</v>
      </c>
      <c r="G1789" s="12">
        <v>-1.21</v>
      </c>
      <c r="H1789" s="12">
        <v>513475.33112500003</v>
      </c>
      <c r="I1789" s="12">
        <v>251973.71249999999</v>
      </c>
    </row>
    <row r="1790" spans="1:9" x14ac:dyDescent="0.3">
      <c r="A1790" s="12" t="s">
        <v>93</v>
      </c>
      <c r="B1790" s="12" t="s">
        <v>143</v>
      </c>
      <c r="C1790" s="12" t="s">
        <v>120</v>
      </c>
      <c r="D1790" s="12" t="s">
        <v>153</v>
      </c>
    </row>
    <row r="1791" spans="1:9" x14ac:dyDescent="0.3">
      <c r="A1791" s="12" t="s">
        <v>93</v>
      </c>
      <c r="B1791" s="12" t="s">
        <v>143</v>
      </c>
      <c r="C1791" s="12" t="s">
        <v>123</v>
      </c>
      <c r="D1791" s="13">
        <v>8.75841833E-3</v>
      </c>
    </row>
    <row r="1792" spans="1:9" x14ac:dyDescent="0.3">
      <c r="A1792" s="12" t="s">
        <v>93</v>
      </c>
      <c r="B1792" s="12" t="s">
        <v>154</v>
      </c>
      <c r="C1792" s="12" t="s">
        <v>120</v>
      </c>
      <c r="D1792" s="12" t="s">
        <v>121</v>
      </c>
      <c r="E1792" s="12" t="s">
        <v>122</v>
      </c>
    </row>
    <row r="1793" spans="1:15" x14ac:dyDescent="0.3">
      <c r="A1793" s="12" t="s">
        <v>93</v>
      </c>
      <c r="B1793" s="12" t="s">
        <v>154</v>
      </c>
      <c r="C1793" s="12" t="s">
        <v>123</v>
      </c>
      <c r="D1793" s="12" t="s">
        <v>155</v>
      </c>
      <c r="E1793" s="12">
        <v>261501.618625</v>
      </c>
    </row>
    <row r="1794" spans="1:15" x14ac:dyDescent="0.3">
      <c r="A1794" s="12" t="s">
        <v>93</v>
      </c>
      <c r="B1794" s="12" t="s">
        <v>154</v>
      </c>
      <c r="C1794" s="12" t="s">
        <v>123</v>
      </c>
      <c r="D1794" s="12" t="s">
        <v>156</v>
      </c>
      <c r="E1794" s="12">
        <v>1496.3025</v>
      </c>
    </row>
    <row r="1795" spans="1:15" x14ac:dyDescent="0.3">
      <c r="A1795" s="12" t="s">
        <v>93</v>
      </c>
      <c r="B1795" s="12" t="s">
        <v>154</v>
      </c>
      <c r="C1795" s="12" t="s">
        <v>123</v>
      </c>
      <c r="D1795" s="12" t="s">
        <v>773</v>
      </c>
      <c r="E1795" s="12">
        <v>250000</v>
      </c>
    </row>
    <row r="1796" spans="1:15" x14ac:dyDescent="0.3">
      <c r="A1796" s="12" t="s">
        <v>93</v>
      </c>
      <c r="B1796" s="12" t="s">
        <v>154</v>
      </c>
      <c r="C1796" s="12" t="s">
        <v>123</v>
      </c>
      <c r="D1796" s="12" t="s">
        <v>157</v>
      </c>
      <c r="E1796" s="12">
        <v>156.61000000000001</v>
      </c>
    </row>
    <row r="1797" spans="1:15" x14ac:dyDescent="0.3">
      <c r="A1797" s="12" t="s">
        <v>93</v>
      </c>
      <c r="B1797" s="12" t="s">
        <v>154</v>
      </c>
      <c r="C1797" s="12" t="s">
        <v>123</v>
      </c>
      <c r="D1797" s="12" t="s">
        <v>158</v>
      </c>
      <c r="E1797" s="12">
        <v>-39.17</v>
      </c>
    </row>
    <row r="1798" spans="1:15" x14ac:dyDescent="0.3">
      <c r="A1798" s="12" t="s">
        <v>93</v>
      </c>
      <c r="B1798" s="12" t="s">
        <v>154</v>
      </c>
      <c r="C1798" s="12" t="s">
        <v>123</v>
      </c>
      <c r="D1798" s="12" t="s">
        <v>159</v>
      </c>
      <c r="E1798" s="12">
        <v>168.46</v>
      </c>
    </row>
    <row r="1799" spans="1:15" x14ac:dyDescent="0.3">
      <c r="A1799" s="12" t="s">
        <v>93</v>
      </c>
      <c r="B1799" s="12" t="s">
        <v>154</v>
      </c>
      <c r="C1799" s="12" t="s">
        <v>123</v>
      </c>
      <c r="D1799" s="12" t="s">
        <v>160</v>
      </c>
      <c r="E1799" s="12">
        <v>-0.01</v>
      </c>
    </row>
    <row r="1800" spans="1:15" x14ac:dyDescent="0.3">
      <c r="A1800" s="12" t="s">
        <v>93</v>
      </c>
      <c r="B1800" s="12" t="s">
        <v>154</v>
      </c>
      <c r="C1800" s="12" t="s">
        <v>123</v>
      </c>
      <c r="D1800" s="12" t="s">
        <v>161</v>
      </c>
      <c r="E1800" s="12">
        <v>195.42</v>
      </c>
    </row>
    <row r="1801" spans="1:15" x14ac:dyDescent="0.3">
      <c r="A1801" s="12" t="s">
        <v>93</v>
      </c>
      <c r="B1801" s="12" t="s">
        <v>154</v>
      </c>
      <c r="C1801" s="12" t="s">
        <v>123</v>
      </c>
      <c r="D1801" s="12" t="s">
        <v>162</v>
      </c>
      <c r="E1801" s="12">
        <v>-3.9</v>
      </c>
    </row>
    <row r="1802" spans="1:15" x14ac:dyDescent="0.3">
      <c r="A1802" s="12" t="s">
        <v>93</v>
      </c>
      <c r="B1802" s="12" t="s">
        <v>154</v>
      </c>
      <c r="C1802" s="12" t="s">
        <v>123</v>
      </c>
      <c r="D1802" s="12" t="s">
        <v>163</v>
      </c>
      <c r="E1802" s="12">
        <v>513475.33112500003</v>
      </c>
    </row>
    <row r="1803" spans="1:15" x14ac:dyDescent="0.3">
      <c r="A1803" s="12" t="s">
        <v>93</v>
      </c>
      <c r="B1803" s="12" t="s">
        <v>164</v>
      </c>
      <c r="C1803" s="12" t="s">
        <v>120</v>
      </c>
      <c r="D1803" s="12" t="s">
        <v>100</v>
      </c>
      <c r="E1803" s="12" t="s">
        <v>0</v>
      </c>
      <c r="F1803" s="12" t="s">
        <v>101</v>
      </c>
      <c r="G1803" s="12" t="s">
        <v>102</v>
      </c>
      <c r="H1803" s="12" t="s">
        <v>103</v>
      </c>
      <c r="I1803" s="12" t="s">
        <v>104</v>
      </c>
      <c r="J1803" s="12" t="s">
        <v>105</v>
      </c>
      <c r="K1803" s="12" t="s">
        <v>106</v>
      </c>
      <c r="L1803" s="12" t="s">
        <v>107</v>
      </c>
      <c r="M1803" s="12" t="s">
        <v>108</v>
      </c>
      <c r="N1803" s="12" t="s">
        <v>109</v>
      </c>
      <c r="O1803" s="12" t="s">
        <v>165</v>
      </c>
    </row>
    <row r="1804" spans="1:15" x14ac:dyDescent="0.3">
      <c r="A1804" s="12" t="s">
        <v>93</v>
      </c>
      <c r="B1804" s="12" t="s">
        <v>164</v>
      </c>
      <c r="C1804" s="12" t="s">
        <v>123</v>
      </c>
      <c r="D1804" s="12" t="s">
        <v>110</v>
      </c>
      <c r="E1804" s="12" t="s">
        <v>2</v>
      </c>
      <c r="F1804" s="12">
        <v>36</v>
      </c>
      <c r="G1804" s="12">
        <v>72</v>
      </c>
      <c r="H1804" s="12">
        <v>170.33</v>
      </c>
      <c r="I1804" s="12">
        <v>192.25</v>
      </c>
      <c r="J1804" s="12">
        <v>1120.32</v>
      </c>
      <c r="K1804" s="12">
        <v>-7.2</v>
      </c>
      <c r="L1804" s="12">
        <v>0</v>
      </c>
      <c r="M1804" s="12">
        <v>6.75</v>
      </c>
      <c r="N1804" s="12">
        <v>1119.8699999999999</v>
      </c>
    </row>
    <row r="1805" spans="1:15" x14ac:dyDescent="0.3">
      <c r="A1805" s="12" t="s">
        <v>93</v>
      </c>
      <c r="B1805" s="12" t="s">
        <v>164</v>
      </c>
      <c r="C1805" s="12" t="s">
        <v>123</v>
      </c>
      <c r="D1805" s="12" t="s">
        <v>110</v>
      </c>
      <c r="E1805" s="12" t="s">
        <v>45</v>
      </c>
      <c r="F1805" s="12">
        <v>15</v>
      </c>
      <c r="G1805" s="12">
        <v>55</v>
      </c>
      <c r="H1805" s="12">
        <v>158.38</v>
      </c>
      <c r="I1805" s="12">
        <v>166.9</v>
      </c>
      <c r="J1805" s="12">
        <v>389.9</v>
      </c>
      <c r="K1805" s="12">
        <v>19.05</v>
      </c>
      <c r="L1805" s="12">
        <v>0</v>
      </c>
      <c r="M1805" s="12">
        <v>0</v>
      </c>
      <c r="N1805" s="12">
        <v>408.95</v>
      </c>
    </row>
    <row r="1806" spans="1:15" x14ac:dyDescent="0.3">
      <c r="A1806" s="12" t="s">
        <v>93</v>
      </c>
      <c r="B1806" s="12" t="s">
        <v>164</v>
      </c>
      <c r="C1806" s="12" t="s">
        <v>123</v>
      </c>
      <c r="D1806" s="12" t="s">
        <v>110</v>
      </c>
      <c r="E1806" s="12" t="s">
        <v>5</v>
      </c>
      <c r="F1806" s="12">
        <v>28</v>
      </c>
      <c r="G1806" s="12">
        <v>128</v>
      </c>
      <c r="H1806" s="12">
        <v>175</v>
      </c>
      <c r="I1806" s="12">
        <v>176.44</v>
      </c>
      <c r="J1806" s="12">
        <v>-972.68</v>
      </c>
      <c r="K1806" s="12">
        <v>115</v>
      </c>
      <c r="L1806" s="12">
        <v>0</v>
      </c>
      <c r="M1806" s="12">
        <v>0</v>
      </c>
      <c r="N1806" s="12">
        <v>-857.68</v>
      </c>
    </row>
    <row r="1807" spans="1:15" x14ac:dyDescent="0.3">
      <c r="A1807" s="12" t="s">
        <v>93</v>
      </c>
      <c r="B1807" s="12" t="s">
        <v>164</v>
      </c>
      <c r="C1807" s="12" t="s">
        <v>123</v>
      </c>
      <c r="D1807" s="12" t="s">
        <v>110</v>
      </c>
      <c r="E1807" s="12" t="s">
        <v>58</v>
      </c>
      <c r="F1807" s="12">
        <v>0</v>
      </c>
      <c r="G1807" s="12">
        <v>50</v>
      </c>
      <c r="H1807" s="12" t="s">
        <v>111</v>
      </c>
      <c r="I1807" s="12">
        <v>120.52</v>
      </c>
      <c r="J1807" s="12">
        <v>846.5</v>
      </c>
      <c r="K1807" s="12">
        <v>-94.5</v>
      </c>
      <c r="L1807" s="12">
        <v>0</v>
      </c>
      <c r="M1807" s="12">
        <v>0</v>
      </c>
      <c r="N1807" s="12">
        <v>752</v>
      </c>
    </row>
    <row r="1808" spans="1:15" x14ac:dyDescent="0.3">
      <c r="A1808" s="12" t="s">
        <v>93</v>
      </c>
      <c r="B1808" s="12" t="s">
        <v>164</v>
      </c>
      <c r="C1808" s="12" t="s">
        <v>123</v>
      </c>
      <c r="D1808" s="12" t="s">
        <v>110</v>
      </c>
      <c r="E1808" s="12" t="s">
        <v>7</v>
      </c>
      <c r="F1808" s="12">
        <v>6</v>
      </c>
      <c r="G1808" s="12">
        <v>6</v>
      </c>
      <c r="H1808" s="17">
        <v>1300.27</v>
      </c>
      <c r="I1808" s="17">
        <v>1328.55</v>
      </c>
      <c r="J1808" s="12">
        <v>169.68</v>
      </c>
      <c r="K1808" s="12">
        <v>0</v>
      </c>
      <c r="L1808" s="12">
        <v>0</v>
      </c>
      <c r="M1808" s="12">
        <v>0</v>
      </c>
      <c r="N1808" s="12">
        <v>169.68</v>
      </c>
    </row>
    <row r="1809" spans="1:14" x14ac:dyDescent="0.3">
      <c r="A1809" s="12" t="s">
        <v>93</v>
      </c>
      <c r="B1809" s="12" t="s">
        <v>164</v>
      </c>
      <c r="C1809" s="12" t="s">
        <v>123</v>
      </c>
      <c r="D1809" s="12" t="s">
        <v>110</v>
      </c>
      <c r="E1809" s="12" t="s">
        <v>8</v>
      </c>
      <c r="F1809" s="12">
        <v>281</v>
      </c>
      <c r="G1809" s="12">
        <v>391</v>
      </c>
      <c r="H1809" s="12">
        <v>37.01</v>
      </c>
      <c r="I1809" s="12">
        <v>39.99</v>
      </c>
      <c r="J1809" s="12">
        <v>1006.78</v>
      </c>
      <c r="K1809" s="12">
        <v>-28.05</v>
      </c>
      <c r="L1809" s="12">
        <v>0</v>
      </c>
      <c r="M1809" s="12">
        <v>0</v>
      </c>
      <c r="N1809" s="12">
        <v>978.73</v>
      </c>
    </row>
    <row r="1810" spans="1:14" x14ac:dyDescent="0.3">
      <c r="A1810" s="12" t="s">
        <v>93</v>
      </c>
      <c r="B1810" s="12" t="s">
        <v>164</v>
      </c>
      <c r="C1810" s="12" t="s">
        <v>123</v>
      </c>
      <c r="D1810" s="12" t="s">
        <v>110</v>
      </c>
      <c r="E1810" s="12" t="s">
        <v>3</v>
      </c>
      <c r="F1810" s="12">
        <v>166</v>
      </c>
      <c r="G1810" s="12">
        <v>166</v>
      </c>
      <c r="H1810" s="12">
        <v>61.33</v>
      </c>
      <c r="I1810" s="12">
        <v>62.31</v>
      </c>
      <c r="J1810" s="12">
        <v>162.68</v>
      </c>
      <c r="K1810" s="12">
        <v>0</v>
      </c>
      <c r="L1810" s="12">
        <v>0</v>
      </c>
      <c r="M1810" s="12">
        <v>65.98</v>
      </c>
      <c r="N1810" s="12">
        <v>228.66</v>
      </c>
    </row>
    <row r="1811" spans="1:14" x14ac:dyDescent="0.3">
      <c r="A1811" s="12" t="s">
        <v>93</v>
      </c>
      <c r="B1811" s="12" t="s">
        <v>164</v>
      </c>
      <c r="C1811" s="12" t="s">
        <v>123</v>
      </c>
      <c r="D1811" s="12" t="s">
        <v>110</v>
      </c>
      <c r="E1811" s="12" t="s">
        <v>46</v>
      </c>
      <c r="F1811" s="12">
        <v>19</v>
      </c>
      <c r="G1811" s="12">
        <v>24</v>
      </c>
      <c r="H1811" s="12">
        <v>334.57</v>
      </c>
      <c r="I1811" s="12">
        <v>338.52</v>
      </c>
      <c r="J1811" s="12">
        <v>-27.7</v>
      </c>
      <c r="K1811" s="12">
        <v>2.75</v>
      </c>
      <c r="L1811" s="12">
        <v>0</v>
      </c>
      <c r="M1811" s="12">
        <v>12.67</v>
      </c>
      <c r="N1811" s="12">
        <v>-12.28</v>
      </c>
    </row>
    <row r="1812" spans="1:14" x14ac:dyDescent="0.3">
      <c r="A1812" s="12" t="s">
        <v>93</v>
      </c>
      <c r="B1812" s="12" t="s">
        <v>164</v>
      </c>
      <c r="C1812" s="12" t="s">
        <v>123</v>
      </c>
      <c r="D1812" s="12" t="s">
        <v>110</v>
      </c>
      <c r="E1812" s="12" t="s">
        <v>11</v>
      </c>
      <c r="F1812" s="12">
        <v>10</v>
      </c>
      <c r="G1812" s="12">
        <v>5</v>
      </c>
      <c r="H1812" s="12">
        <v>722.9</v>
      </c>
      <c r="I1812" s="12">
        <v>809.89</v>
      </c>
      <c r="J1812" s="12">
        <v>1023.7</v>
      </c>
      <c r="K1812" s="12">
        <v>-78.947500000000005</v>
      </c>
      <c r="L1812" s="12">
        <v>0</v>
      </c>
      <c r="M1812" s="12">
        <v>8.6999999999999993</v>
      </c>
      <c r="N1812" s="12">
        <v>953.45249999999999</v>
      </c>
    </row>
    <row r="1813" spans="1:14" x14ac:dyDescent="0.3">
      <c r="A1813" s="12" t="s">
        <v>93</v>
      </c>
      <c r="B1813" s="12" t="s">
        <v>164</v>
      </c>
      <c r="C1813" s="12" t="s">
        <v>123</v>
      </c>
      <c r="D1813" s="12" t="s">
        <v>110</v>
      </c>
      <c r="E1813" s="12" t="s">
        <v>47</v>
      </c>
      <c r="F1813" s="12">
        <v>16</v>
      </c>
      <c r="G1813" s="12">
        <v>0</v>
      </c>
      <c r="H1813" s="12">
        <v>229</v>
      </c>
      <c r="I1813" s="12" t="s">
        <v>111</v>
      </c>
      <c r="J1813" s="12">
        <v>17.440000000000001</v>
      </c>
      <c r="K1813" s="12">
        <v>-53.6</v>
      </c>
      <c r="L1813" s="12">
        <v>0</v>
      </c>
      <c r="M1813" s="12">
        <v>0</v>
      </c>
      <c r="N1813" s="12">
        <v>-36.159999999999997</v>
      </c>
    </row>
    <row r="1814" spans="1:14" x14ac:dyDescent="0.3">
      <c r="A1814" s="12" t="s">
        <v>93</v>
      </c>
      <c r="B1814" s="12" t="s">
        <v>164</v>
      </c>
      <c r="C1814" s="12" t="s">
        <v>123</v>
      </c>
      <c r="D1814" s="12" t="s">
        <v>110</v>
      </c>
      <c r="E1814" s="12" t="s">
        <v>14</v>
      </c>
      <c r="F1814" s="12">
        <v>0</v>
      </c>
      <c r="G1814" s="12">
        <v>30</v>
      </c>
      <c r="H1814" s="12" t="s">
        <v>111</v>
      </c>
      <c r="I1814" s="12">
        <v>256.8</v>
      </c>
      <c r="J1814" s="12">
        <v>102.6</v>
      </c>
      <c r="K1814" s="12">
        <v>8.1</v>
      </c>
      <c r="L1814" s="12">
        <v>0</v>
      </c>
      <c r="M1814" s="12">
        <v>0</v>
      </c>
      <c r="N1814" s="12">
        <v>110.7</v>
      </c>
    </row>
    <row r="1815" spans="1:14" x14ac:dyDescent="0.3">
      <c r="A1815" s="12" t="s">
        <v>93</v>
      </c>
      <c r="B1815" s="12" t="s">
        <v>164</v>
      </c>
      <c r="C1815" s="12" t="s">
        <v>123</v>
      </c>
      <c r="D1815" s="12" t="s">
        <v>110</v>
      </c>
      <c r="E1815" s="12" t="s">
        <v>18</v>
      </c>
      <c r="F1815" s="12">
        <v>19</v>
      </c>
      <c r="G1815" s="12">
        <v>19</v>
      </c>
      <c r="H1815" s="12">
        <v>287.08999999999997</v>
      </c>
      <c r="I1815" s="12">
        <v>299.77</v>
      </c>
      <c r="J1815" s="12">
        <v>240.92</v>
      </c>
      <c r="K1815" s="12">
        <v>0</v>
      </c>
      <c r="L1815" s="12">
        <v>0</v>
      </c>
      <c r="M1815" s="12">
        <v>20.23</v>
      </c>
      <c r="N1815" s="12">
        <v>261.14999999999998</v>
      </c>
    </row>
    <row r="1816" spans="1:14" x14ac:dyDescent="0.3">
      <c r="A1816" s="12" t="s">
        <v>93</v>
      </c>
      <c r="B1816" s="12" t="s">
        <v>164</v>
      </c>
      <c r="C1816" s="12" t="s">
        <v>123</v>
      </c>
      <c r="D1816" s="12" t="s">
        <v>110</v>
      </c>
      <c r="E1816" s="12" t="s">
        <v>48</v>
      </c>
      <c r="F1816" s="12">
        <v>25</v>
      </c>
      <c r="G1816" s="12">
        <v>75</v>
      </c>
      <c r="H1816" s="12">
        <v>161.82</v>
      </c>
      <c r="I1816" s="12">
        <v>165.14</v>
      </c>
      <c r="J1816" s="12">
        <v>255.5</v>
      </c>
      <c r="K1816" s="12">
        <v>-40.5</v>
      </c>
      <c r="L1816" s="12">
        <v>0</v>
      </c>
      <c r="M1816" s="12">
        <v>0</v>
      </c>
      <c r="N1816" s="12">
        <v>215</v>
      </c>
    </row>
    <row r="1817" spans="1:14" x14ac:dyDescent="0.3">
      <c r="A1817" s="12" t="s">
        <v>93</v>
      </c>
      <c r="B1817" s="12" t="s">
        <v>164</v>
      </c>
      <c r="C1817" s="12" t="s">
        <v>123</v>
      </c>
      <c r="D1817" s="12" t="s">
        <v>110</v>
      </c>
      <c r="E1817" s="12" t="s">
        <v>54</v>
      </c>
      <c r="F1817" s="12">
        <v>16</v>
      </c>
      <c r="G1817" s="12">
        <v>46</v>
      </c>
      <c r="H1817" s="12">
        <v>153.71</v>
      </c>
      <c r="I1817" s="12">
        <v>175.9</v>
      </c>
      <c r="J1817" s="12">
        <v>613.94000000000005</v>
      </c>
      <c r="K1817" s="12">
        <v>-77.7</v>
      </c>
      <c r="L1817" s="12">
        <v>0</v>
      </c>
      <c r="M1817" s="12">
        <v>0</v>
      </c>
      <c r="N1817" s="12">
        <v>536.24</v>
      </c>
    </row>
    <row r="1818" spans="1:14" x14ac:dyDescent="0.3">
      <c r="A1818" s="12" t="s">
        <v>93</v>
      </c>
      <c r="B1818" s="12" t="s">
        <v>164</v>
      </c>
      <c r="C1818" s="12" t="s">
        <v>123</v>
      </c>
      <c r="D1818" s="12" t="s">
        <v>110</v>
      </c>
      <c r="E1818" s="12" t="s">
        <v>19</v>
      </c>
      <c r="F1818" s="12">
        <v>42</v>
      </c>
      <c r="G1818" s="12">
        <v>124</v>
      </c>
      <c r="H1818" s="12">
        <v>162.78</v>
      </c>
      <c r="I1818" s="12">
        <v>172.5</v>
      </c>
      <c r="J1818" s="12">
        <v>925.12</v>
      </c>
      <c r="K1818" s="12">
        <v>-70.86</v>
      </c>
      <c r="L1818" s="12">
        <v>-1.3</v>
      </c>
      <c r="M1818" s="12">
        <v>0</v>
      </c>
      <c r="N1818" s="12">
        <v>852.96</v>
      </c>
    </row>
    <row r="1819" spans="1:14" x14ac:dyDescent="0.3">
      <c r="A1819" s="12" t="s">
        <v>93</v>
      </c>
      <c r="B1819" s="12" t="s">
        <v>164</v>
      </c>
      <c r="C1819" s="12" t="s">
        <v>123</v>
      </c>
      <c r="D1819" s="12" t="s">
        <v>110</v>
      </c>
      <c r="E1819" s="12" t="s">
        <v>20</v>
      </c>
      <c r="F1819" s="12">
        <v>11</v>
      </c>
      <c r="G1819" s="12">
        <v>11</v>
      </c>
      <c r="H1819" s="12">
        <v>334.22</v>
      </c>
      <c r="I1819" s="12">
        <v>334.87</v>
      </c>
      <c r="J1819" s="12">
        <v>7.15</v>
      </c>
      <c r="K1819" s="12">
        <v>0</v>
      </c>
      <c r="L1819" s="12">
        <v>0</v>
      </c>
      <c r="M1819" s="12">
        <v>0</v>
      </c>
      <c r="N1819" s="12">
        <v>7.15</v>
      </c>
    </row>
    <row r="1820" spans="1:14" x14ac:dyDescent="0.3">
      <c r="A1820" s="12" t="s">
        <v>93</v>
      </c>
      <c r="B1820" s="12" t="s">
        <v>164</v>
      </c>
      <c r="C1820" s="12" t="s">
        <v>123</v>
      </c>
      <c r="D1820" s="12" t="s">
        <v>110</v>
      </c>
      <c r="E1820" s="12" t="s">
        <v>22</v>
      </c>
      <c r="F1820" s="12">
        <v>83</v>
      </c>
      <c r="G1820" s="12">
        <v>83</v>
      </c>
      <c r="H1820" s="12">
        <v>66.75</v>
      </c>
      <c r="I1820" s="12">
        <v>84.65</v>
      </c>
      <c r="J1820" s="12">
        <v>1485.7</v>
      </c>
      <c r="K1820" s="12">
        <v>0</v>
      </c>
      <c r="L1820" s="12">
        <v>0</v>
      </c>
      <c r="M1820" s="12">
        <v>3.11</v>
      </c>
      <c r="N1820" s="12">
        <v>1488.81</v>
      </c>
    </row>
    <row r="1821" spans="1:14" x14ac:dyDescent="0.3">
      <c r="A1821" s="12" t="s">
        <v>93</v>
      </c>
      <c r="B1821" s="12" t="s">
        <v>164</v>
      </c>
      <c r="C1821" s="12" t="s">
        <v>123</v>
      </c>
      <c r="D1821" s="12" t="s">
        <v>110</v>
      </c>
      <c r="E1821" s="12" t="s">
        <v>37</v>
      </c>
      <c r="F1821" s="12">
        <v>30</v>
      </c>
      <c r="G1821" s="12">
        <v>30</v>
      </c>
      <c r="H1821" s="12">
        <v>166.2</v>
      </c>
      <c r="I1821" s="12">
        <v>166.85</v>
      </c>
      <c r="J1821" s="12">
        <v>19.5</v>
      </c>
      <c r="K1821" s="12">
        <v>0</v>
      </c>
      <c r="L1821" s="12">
        <v>0</v>
      </c>
      <c r="M1821" s="12">
        <v>0</v>
      </c>
      <c r="N1821" s="12">
        <v>19.5</v>
      </c>
    </row>
    <row r="1822" spans="1:14" x14ac:dyDescent="0.3">
      <c r="A1822" s="12" t="s">
        <v>93</v>
      </c>
      <c r="B1822" s="12" t="s">
        <v>164</v>
      </c>
      <c r="C1822" s="12" t="s">
        <v>123</v>
      </c>
      <c r="D1822" s="12" t="s">
        <v>110</v>
      </c>
      <c r="E1822" s="12" t="s">
        <v>24</v>
      </c>
      <c r="F1822" s="12">
        <v>50</v>
      </c>
      <c r="G1822" s="12">
        <v>50</v>
      </c>
      <c r="H1822" s="12">
        <v>93.32</v>
      </c>
      <c r="I1822" s="12">
        <v>93.05</v>
      </c>
      <c r="J1822" s="12">
        <v>-13.5</v>
      </c>
      <c r="K1822" s="12">
        <v>0</v>
      </c>
      <c r="L1822" s="12">
        <v>0</v>
      </c>
      <c r="M1822" s="12">
        <v>0</v>
      </c>
      <c r="N1822" s="12">
        <v>-13.5</v>
      </c>
    </row>
    <row r="1823" spans="1:14" x14ac:dyDescent="0.3">
      <c r="A1823" s="12" t="s">
        <v>93</v>
      </c>
      <c r="B1823" s="12" t="s">
        <v>164</v>
      </c>
      <c r="C1823" s="12" t="s">
        <v>123</v>
      </c>
      <c r="D1823" s="12" t="s">
        <v>110</v>
      </c>
      <c r="E1823" s="12" t="s">
        <v>59</v>
      </c>
      <c r="F1823" s="12">
        <v>0</v>
      </c>
      <c r="G1823" s="12">
        <v>100</v>
      </c>
      <c r="H1823" s="12" t="s">
        <v>111</v>
      </c>
      <c r="I1823" s="12">
        <v>62.93</v>
      </c>
      <c r="J1823" s="12">
        <v>-17</v>
      </c>
      <c r="K1823" s="12">
        <v>-7</v>
      </c>
      <c r="L1823" s="12">
        <v>0</v>
      </c>
      <c r="M1823" s="12">
        <v>0</v>
      </c>
      <c r="N1823" s="12">
        <v>-24</v>
      </c>
    </row>
    <row r="1824" spans="1:14" x14ac:dyDescent="0.3">
      <c r="A1824" s="12" t="s">
        <v>93</v>
      </c>
      <c r="B1824" s="12" t="s">
        <v>164</v>
      </c>
      <c r="C1824" s="12" t="s">
        <v>123</v>
      </c>
      <c r="D1824" s="12" t="s">
        <v>110</v>
      </c>
      <c r="E1824" s="12" t="s">
        <v>49</v>
      </c>
      <c r="F1824" s="12">
        <v>4</v>
      </c>
      <c r="G1824" s="12">
        <v>10</v>
      </c>
      <c r="H1824" s="12">
        <v>781.1</v>
      </c>
      <c r="I1824" s="12">
        <v>820.34</v>
      </c>
      <c r="J1824" s="12">
        <v>543.54</v>
      </c>
      <c r="K1824" s="12">
        <v>21.96</v>
      </c>
      <c r="L1824" s="12">
        <v>0</v>
      </c>
      <c r="M1824" s="12">
        <v>0</v>
      </c>
      <c r="N1824" s="12">
        <v>565.5</v>
      </c>
    </row>
    <row r="1825" spans="1:14" x14ac:dyDescent="0.3">
      <c r="A1825" s="12" t="s">
        <v>93</v>
      </c>
      <c r="B1825" s="12" t="s">
        <v>164</v>
      </c>
      <c r="C1825" s="12" t="s">
        <v>123</v>
      </c>
      <c r="D1825" s="12" t="s">
        <v>110</v>
      </c>
      <c r="E1825" s="12" t="s">
        <v>26</v>
      </c>
      <c r="F1825" s="12">
        <v>5</v>
      </c>
      <c r="G1825" s="12">
        <v>20</v>
      </c>
      <c r="H1825" s="12">
        <v>370.33</v>
      </c>
      <c r="I1825" s="12">
        <v>396.99</v>
      </c>
      <c r="J1825" s="12">
        <v>56.65</v>
      </c>
      <c r="K1825" s="12">
        <v>62.55</v>
      </c>
      <c r="L1825" s="12">
        <v>0</v>
      </c>
      <c r="M1825" s="12">
        <v>0</v>
      </c>
      <c r="N1825" s="12">
        <v>119.2</v>
      </c>
    </row>
    <row r="1826" spans="1:14" x14ac:dyDescent="0.3">
      <c r="A1826" s="12" t="s">
        <v>93</v>
      </c>
      <c r="B1826" s="12" t="s">
        <v>164</v>
      </c>
      <c r="C1826" s="12" t="s">
        <v>123</v>
      </c>
      <c r="D1826" s="12" t="s">
        <v>110</v>
      </c>
      <c r="E1826" s="12" t="s">
        <v>27</v>
      </c>
      <c r="F1826" s="12">
        <v>14</v>
      </c>
      <c r="G1826" s="12">
        <v>44</v>
      </c>
      <c r="H1826" s="12">
        <v>430.17</v>
      </c>
      <c r="I1826" s="12">
        <v>466.83</v>
      </c>
      <c r="J1826" s="12">
        <v>232.14</v>
      </c>
      <c r="K1826" s="12">
        <v>41.1</v>
      </c>
      <c r="L1826" s="12">
        <v>0</v>
      </c>
      <c r="M1826" s="12">
        <v>0</v>
      </c>
      <c r="N1826" s="12">
        <v>273.24</v>
      </c>
    </row>
    <row r="1827" spans="1:14" x14ac:dyDescent="0.3">
      <c r="A1827" s="12" t="s">
        <v>93</v>
      </c>
      <c r="B1827" s="12" t="s">
        <v>164</v>
      </c>
      <c r="C1827" s="12" t="s">
        <v>123</v>
      </c>
      <c r="D1827" s="12" t="s">
        <v>110</v>
      </c>
      <c r="E1827" s="12" t="s">
        <v>28</v>
      </c>
      <c r="F1827" s="12">
        <v>34</v>
      </c>
      <c r="G1827" s="12">
        <v>49</v>
      </c>
      <c r="H1827" s="12">
        <v>389.33</v>
      </c>
      <c r="I1827" s="12">
        <v>415.13</v>
      </c>
      <c r="J1827" s="12">
        <v>883.05</v>
      </c>
      <c r="K1827" s="12">
        <v>20.7</v>
      </c>
      <c r="L1827" s="12">
        <v>0</v>
      </c>
      <c r="M1827" s="12">
        <v>0</v>
      </c>
      <c r="N1827" s="12">
        <v>903.75</v>
      </c>
    </row>
    <row r="1828" spans="1:14" x14ac:dyDescent="0.3">
      <c r="A1828" s="12" t="s">
        <v>93</v>
      </c>
      <c r="B1828" s="12" t="s">
        <v>164</v>
      </c>
      <c r="C1828" s="12" t="s">
        <v>123</v>
      </c>
      <c r="D1828" s="12" t="s">
        <v>110</v>
      </c>
      <c r="E1828" s="12" t="s">
        <v>55</v>
      </c>
      <c r="F1828" s="12">
        <v>50</v>
      </c>
      <c r="G1828" s="12">
        <v>80</v>
      </c>
      <c r="H1828" s="12">
        <v>112.96</v>
      </c>
      <c r="I1828" s="12">
        <v>125</v>
      </c>
      <c r="J1828" s="12">
        <v>714.8</v>
      </c>
      <c r="K1828" s="12">
        <v>44.28</v>
      </c>
      <c r="L1828" s="12">
        <v>0</v>
      </c>
      <c r="M1828" s="12">
        <v>0</v>
      </c>
      <c r="N1828" s="12">
        <v>759.08</v>
      </c>
    </row>
    <row r="1829" spans="1:14" x14ac:dyDescent="0.3">
      <c r="A1829" s="12" t="s">
        <v>93</v>
      </c>
      <c r="B1829" s="12" t="s">
        <v>164</v>
      </c>
      <c r="C1829" s="12" t="s">
        <v>123</v>
      </c>
      <c r="D1829" s="12" t="s">
        <v>110</v>
      </c>
      <c r="E1829" s="12" t="s">
        <v>50</v>
      </c>
      <c r="F1829" s="12">
        <v>7</v>
      </c>
      <c r="G1829" s="12">
        <v>12</v>
      </c>
      <c r="H1829" s="12">
        <v>693.33</v>
      </c>
      <c r="I1829" s="12">
        <v>656.93</v>
      </c>
      <c r="J1829" s="12">
        <v>-620.75</v>
      </c>
      <c r="K1829" s="12">
        <v>15.6</v>
      </c>
      <c r="L1829" s="12">
        <v>0</v>
      </c>
      <c r="M1829" s="12">
        <v>0</v>
      </c>
      <c r="N1829" s="12">
        <v>-605.15</v>
      </c>
    </row>
    <row r="1830" spans="1:14" x14ac:dyDescent="0.3">
      <c r="A1830" s="12" t="s">
        <v>93</v>
      </c>
      <c r="B1830" s="12" t="s">
        <v>164</v>
      </c>
      <c r="C1830" s="12" t="s">
        <v>123</v>
      </c>
      <c r="D1830" s="12" t="s">
        <v>110</v>
      </c>
      <c r="E1830" s="12" t="s">
        <v>56</v>
      </c>
      <c r="F1830" s="12">
        <v>35</v>
      </c>
      <c r="G1830" s="12">
        <v>50</v>
      </c>
      <c r="H1830" s="12">
        <v>128.31</v>
      </c>
      <c r="I1830" s="12">
        <v>135.28</v>
      </c>
      <c r="J1830" s="12">
        <v>346.85</v>
      </c>
      <c r="K1830" s="12">
        <v>-20.399999999999999</v>
      </c>
      <c r="L1830" s="12">
        <v>0</v>
      </c>
      <c r="M1830" s="12">
        <v>0</v>
      </c>
      <c r="N1830" s="12">
        <v>326.45</v>
      </c>
    </row>
    <row r="1831" spans="1:14" x14ac:dyDescent="0.3">
      <c r="A1831" s="12" t="s">
        <v>93</v>
      </c>
      <c r="B1831" s="12" t="s">
        <v>164</v>
      </c>
      <c r="C1831" s="12" t="s">
        <v>123</v>
      </c>
      <c r="D1831" s="12" t="s">
        <v>110</v>
      </c>
      <c r="E1831" s="12" t="s">
        <v>57</v>
      </c>
      <c r="F1831" s="12">
        <v>45</v>
      </c>
      <c r="G1831" s="12">
        <v>65</v>
      </c>
      <c r="H1831" s="12">
        <v>113.75</v>
      </c>
      <c r="I1831" s="12">
        <v>117.19</v>
      </c>
      <c r="J1831" s="12">
        <v>6</v>
      </c>
      <c r="K1831" s="12">
        <v>-3.16</v>
      </c>
      <c r="L1831" s="12">
        <v>0</v>
      </c>
      <c r="M1831" s="12">
        <v>0</v>
      </c>
      <c r="N1831" s="12">
        <v>2.84</v>
      </c>
    </row>
    <row r="1832" spans="1:14" x14ac:dyDescent="0.3">
      <c r="A1832" s="12" t="s">
        <v>93</v>
      </c>
      <c r="B1832" s="12" t="s">
        <v>164</v>
      </c>
      <c r="C1832" s="12" t="s">
        <v>123</v>
      </c>
      <c r="D1832" s="12" t="s">
        <v>110</v>
      </c>
      <c r="E1832" s="12" t="s">
        <v>29</v>
      </c>
      <c r="F1832" s="12">
        <v>15</v>
      </c>
      <c r="G1832" s="12">
        <v>30</v>
      </c>
      <c r="H1832" s="12">
        <v>290.89</v>
      </c>
      <c r="I1832" s="12">
        <v>294.91000000000003</v>
      </c>
      <c r="J1832" s="12">
        <v>21.9</v>
      </c>
      <c r="K1832" s="12">
        <v>-1.65</v>
      </c>
      <c r="L1832" s="12">
        <v>0</v>
      </c>
      <c r="M1832" s="12">
        <v>0</v>
      </c>
      <c r="N1832" s="12">
        <v>20.25</v>
      </c>
    </row>
    <row r="1833" spans="1:14" x14ac:dyDescent="0.3">
      <c r="A1833" s="12" t="s">
        <v>93</v>
      </c>
      <c r="B1833" s="12" t="s">
        <v>164</v>
      </c>
      <c r="C1833" s="12" t="s">
        <v>123</v>
      </c>
      <c r="D1833" s="12" t="s">
        <v>110</v>
      </c>
      <c r="E1833" s="12" t="s">
        <v>39</v>
      </c>
      <c r="F1833" s="12">
        <v>35</v>
      </c>
      <c r="G1833" s="12">
        <v>50</v>
      </c>
      <c r="H1833" s="12">
        <v>165.85</v>
      </c>
      <c r="I1833" s="12">
        <v>204.05</v>
      </c>
      <c r="J1833" s="12">
        <v>1397</v>
      </c>
      <c r="K1833" s="12">
        <v>38.549999999999997</v>
      </c>
      <c r="L1833" s="12">
        <v>-1.3</v>
      </c>
      <c r="M1833" s="12">
        <v>0</v>
      </c>
      <c r="N1833" s="12">
        <v>1434.25</v>
      </c>
    </row>
    <row r="1834" spans="1:14" x14ac:dyDescent="0.3">
      <c r="A1834" s="12" t="s">
        <v>93</v>
      </c>
      <c r="B1834" s="12" t="s">
        <v>164</v>
      </c>
      <c r="C1834" s="12" t="s">
        <v>123</v>
      </c>
      <c r="D1834" s="12" t="s">
        <v>110</v>
      </c>
      <c r="E1834" s="12" t="s">
        <v>30</v>
      </c>
      <c r="F1834" s="12">
        <v>26</v>
      </c>
      <c r="G1834" s="12">
        <v>0</v>
      </c>
      <c r="H1834" s="12">
        <v>129.55000000000001</v>
      </c>
      <c r="I1834" s="12" t="s">
        <v>111</v>
      </c>
      <c r="J1834" s="12">
        <v>53.3</v>
      </c>
      <c r="K1834" s="12">
        <v>-48.88</v>
      </c>
      <c r="L1834" s="12">
        <v>0</v>
      </c>
      <c r="M1834" s="12">
        <v>0</v>
      </c>
      <c r="N1834" s="12">
        <v>4.42</v>
      </c>
    </row>
    <row r="1835" spans="1:14" x14ac:dyDescent="0.3">
      <c r="A1835" s="12" t="s">
        <v>93</v>
      </c>
      <c r="B1835" s="12" t="s">
        <v>164</v>
      </c>
      <c r="C1835" s="12" t="s">
        <v>123</v>
      </c>
      <c r="D1835" s="12" t="s">
        <v>110</v>
      </c>
      <c r="E1835" s="12" t="s">
        <v>51</v>
      </c>
      <c r="F1835" s="12">
        <v>0</v>
      </c>
      <c r="G1835" s="12">
        <v>10</v>
      </c>
      <c r="H1835" s="12" t="s">
        <v>111</v>
      </c>
      <c r="I1835" s="12">
        <v>784.51</v>
      </c>
      <c r="J1835" s="12">
        <v>-887.6</v>
      </c>
      <c r="K1835" s="12">
        <v>-167.9</v>
      </c>
      <c r="L1835" s="12">
        <v>0</v>
      </c>
      <c r="M1835" s="12">
        <v>0</v>
      </c>
      <c r="N1835" s="12">
        <v>-1055.5</v>
      </c>
    </row>
    <row r="1836" spans="1:14" x14ac:dyDescent="0.3">
      <c r="A1836" s="12" t="s">
        <v>93</v>
      </c>
      <c r="B1836" s="12" t="s">
        <v>164</v>
      </c>
      <c r="C1836" s="12" t="s">
        <v>123</v>
      </c>
      <c r="D1836" s="12" t="s">
        <v>110</v>
      </c>
      <c r="E1836" s="12" t="s">
        <v>32</v>
      </c>
      <c r="F1836" s="12">
        <v>70</v>
      </c>
      <c r="G1836" s="12">
        <v>140</v>
      </c>
      <c r="H1836" s="12">
        <v>66.27</v>
      </c>
      <c r="I1836" s="12">
        <v>64.56</v>
      </c>
      <c r="J1836" s="12">
        <v>-221.9</v>
      </c>
      <c r="K1836" s="12">
        <v>-12.6</v>
      </c>
      <c r="L1836" s="12">
        <v>0</v>
      </c>
      <c r="M1836" s="12">
        <v>0</v>
      </c>
      <c r="N1836" s="12">
        <v>-234.5</v>
      </c>
    </row>
    <row r="1837" spans="1:14" x14ac:dyDescent="0.3">
      <c r="A1837" s="12" t="s">
        <v>93</v>
      </c>
      <c r="B1837" s="12" t="s">
        <v>164</v>
      </c>
      <c r="C1837" s="12" t="s">
        <v>123</v>
      </c>
      <c r="D1837" s="12" t="s">
        <v>110</v>
      </c>
      <c r="E1837" s="12" t="s">
        <v>60</v>
      </c>
      <c r="F1837" s="12">
        <v>0</v>
      </c>
      <c r="G1837" s="12">
        <v>15</v>
      </c>
      <c r="H1837" s="12" t="s">
        <v>111</v>
      </c>
      <c r="I1837" s="12">
        <v>495.37</v>
      </c>
      <c r="J1837" s="12">
        <v>-261.60000000000002</v>
      </c>
      <c r="K1837" s="12">
        <v>50.7</v>
      </c>
      <c r="L1837" s="12">
        <v>0</v>
      </c>
      <c r="M1837" s="12">
        <v>0</v>
      </c>
      <c r="N1837" s="12">
        <v>-210.9</v>
      </c>
    </row>
    <row r="1838" spans="1:14" x14ac:dyDescent="0.3">
      <c r="A1838" s="12" t="s">
        <v>93</v>
      </c>
      <c r="B1838" s="12" t="s">
        <v>164</v>
      </c>
      <c r="C1838" s="12" t="s">
        <v>123</v>
      </c>
      <c r="D1838" s="12" t="s">
        <v>110</v>
      </c>
      <c r="E1838" s="12" t="s">
        <v>61</v>
      </c>
      <c r="F1838" s="12">
        <v>0</v>
      </c>
      <c r="G1838" s="12">
        <v>100</v>
      </c>
      <c r="H1838" s="12" t="s">
        <v>111</v>
      </c>
      <c r="I1838" s="12">
        <v>93.2</v>
      </c>
      <c r="J1838" s="12">
        <v>-63</v>
      </c>
      <c r="K1838" s="12">
        <v>-55</v>
      </c>
      <c r="L1838" s="12">
        <v>0</v>
      </c>
      <c r="M1838" s="12">
        <v>0</v>
      </c>
      <c r="N1838" s="12">
        <v>-118</v>
      </c>
    </row>
    <row r="1839" spans="1:14" x14ac:dyDescent="0.3">
      <c r="A1839" s="12" t="s">
        <v>93</v>
      </c>
      <c r="B1839" s="12" t="s">
        <v>164</v>
      </c>
      <c r="C1839" s="12" t="s">
        <v>123</v>
      </c>
      <c r="D1839" s="12" t="s">
        <v>110</v>
      </c>
      <c r="E1839" s="12" t="s">
        <v>62</v>
      </c>
      <c r="F1839" s="12">
        <v>0</v>
      </c>
      <c r="G1839" s="12">
        <v>100</v>
      </c>
      <c r="H1839" s="12" t="s">
        <v>111</v>
      </c>
      <c r="I1839" s="12">
        <v>41.64</v>
      </c>
      <c r="J1839" s="12">
        <v>-54</v>
      </c>
      <c r="K1839" s="12">
        <v>15.13</v>
      </c>
      <c r="L1839" s="12">
        <v>0</v>
      </c>
      <c r="M1839" s="12">
        <v>0</v>
      </c>
      <c r="N1839" s="12">
        <v>-38.869999999999997</v>
      </c>
    </row>
    <row r="1840" spans="1:14" x14ac:dyDescent="0.3">
      <c r="A1840" s="12" t="s">
        <v>93</v>
      </c>
      <c r="B1840" s="12" t="s">
        <v>164</v>
      </c>
      <c r="C1840" s="12" t="s">
        <v>123</v>
      </c>
      <c r="D1840" s="12" t="s">
        <v>110</v>
      </c>
      <c r="E1840" s="12" t="s">
        <v>41</v>
      </c>
      <c r="F1840" s="12">
        <v>800</v>
      </c>
      <c r="G1840" s="12">
        <v>1600</v>
      </c>
      <c r="H1840" s="12">
        <v>40.56</v>
      </c>
      <c r="I1840" s="12">
        <v>43.27</v>
      </c>
      <c r="J1840" s="12">
        <v>2928</v>
      </c>
      <c r="K1840" s="12">
        <v>-32</v>
      </c>
      <c r="L1840" s="12">
        <v>0</v>
      </c>
      <c r="M1840" s="12">
        <v>0</v>
      </c>
      <c r="N1840" s="12">
        <v>2896</v>
      </c>
    </row>
    <row r="1841" spans="1:17" x14ac:dyDescent="0.3">
      <c r="A1841" s="12" t="s">
        <v>93</v>
      </c>
      <c r="B1841" s="12" t="s">
        <v>164</v>
      </c>
      <c r="C1841" s="12" t="s">
        <v>123</v>
      </c>
      <c r="D1841" s="12" t="s">
        <v>110</v>
      </c>
      <c r="E1841" s="12" t="s">
        <v>42</v>
      </c>
      <c r="F1841" s="12">
        <v>75</v>
      </c>
      <c r="G1841" s="12">
        <v>150</v>
      </c>
      <c r="H1841" s="12">
        <v>196.27</v>
      </c>
      <c r="I1841" s="12">
        <v>210.16</v>
      </c>
      <c r="J1841" s="12">
        <v>2234.25</v>
      </c>
      <c r="K1841" s="12">
        <v>-280.5</v>
      </c>
      <c r="L1841" s="12">
        <v>-1.3</v>
      </c>
      <c r="M1841" s="12">
        <v>0</v>
      </c>
      <c r="N1841" s="12">
        <v>1952.45</v>
      </c>
    </row>
    <row r="1842" spans="1:17" x14ac:dyDescent="0.3">
      <c r="A1842" s="12" t="s">
        <v>93</v>
      </c>
      <c r="B1842" s="12" t="s">
        <v>164</v>
      </c>
      <c r="C1842" s="12" t="s">
        <v>123</v>
      </c>
      <c r="D1842" s="12" t="s">
        <v>110</v>
      </c>
      <c r="E1842" s="12" t="s">
        <v>43</v>
      </c>
      <c r="F1842" s="12">
        <v>80</v>
      </c>
      <c r="G1842" s="12">
        <v>80</v>
      </c>
      <c r="H1842" s="12">
        <v>66.739999999999995</v>
      </c>
      <c r="I1842" s="12">
        <v>72.72</v>
      </c>
      <c r="J1842" s="12">
        <v>478.4</v>
      </c>
      <c r="K1842" s="12">
        <v>0</v>
      </c>
      <c r="L1842" s="12">
        <v>0</v>
      </c>
      <c r="M1842" s="12">
        <v>0</v>
      </c>
      <c r="N1842" s="12">
        <v>478.4</v>
      </c>
    </row>
    <row r="1843" spans="1:17" x14ac:dyDescent="0.3">
      <c r="A1843" s="12" t="s">
        <v>93</v>
      </c>
      <c r="B1843" s="12" t="s">
        <v>164</v>
      </c>
      <c r="C1843" s="12" t="s">
        <v>123</v>
      </c>
      <c r="D1843" s="12" t="s">
        <v>110</v>
      </c>
      <c r="E1843" s="12" t="s">
        <v>44</v>
      </c>
      <c r="F1843" s="12">
        <v>60</v>
      </c>
      <c r="G1843" s="12">
        <v>60</v>
      </c>
      <c r="H1843" s="12">
        <v>140.33000000000001</v>
      </c>
      <c r="I1843" s="12">
        <v>143.69999999999999</v>
      </c>
      <c r="J1843" s="12">
        <v>202.2</v>
      </c>
      <c r="K1843" s="12">
        <v>0</v>
      </c>
      <c r="L1843" s="12">
        <v>0</v>
      </c>
      <c r="M1843" s="12">
        <v>0</v>
      </c>
      <c r="N1843" s="12">
        <v>202.2</v>
      </c>
    </row>
    <row r="1844" spans="1:17" x14ac:dyDescent="0.3">
      <c r="A1844" s="12" t="s">
        <v>93</v>
      </c>
      <c r="B1844" s="12" t="s">
        <v>164</v>
      </c>
      <c r="C1844" s="12" t="s">
        <v>123</v>
      </c>
      <c r="D1844" s="12" t="s">
        <v>110</v>
      </c>
      <c r="E1844" s="12" t="s">
        <v>35</v>
      </c>
      <c r="F1844" s="12">
        <v>0</v>
      </c>
      <c r="G1844" s="12">
        <v>100</v>
      </c>
      <c r="H1844" s="12" t="s">
        <v>111</v>
      </c>
      <c r="I1844" s="12">
        <v>117.26</v>
      </c>
      <c r="J1844" s="12">
        <v>-70</v>
      </c>
      <c r="K1844" s="12">
        <v>-54</v>
      </c>
      <c r="L1844" s="12">
        <v>0</v>
      </c>
      <c r="M1844" s="12">
        <v>0</v>
      </c>
      <c r="N1844" s="12">
        <v>-124</v>
      </c>
    </row>
    <row r="1845" spans="1:17" x14ac:dyDescent="0.3">
      <c r="A1845" s="12" t="s">
        <v>93</v>
      </c>
      <c r="B1845" s="12" t="s">
        <v>164</v>
      </c>
      <c r="C1845" s="12" t="s">
        <v>123</v>
      </c>
      <c r="D1845" s="12" t="s">
        <v>97</v>
      </c>
      <c r="J1845" s="12">
        <v>15275.78</v>
      </c>
      <c r="K1845" s="12">
        <v>-678.97749999999996</v>
      </c>
      <c r="L1845" s="12">
        <v>-3.9</v>
      </c>
      <c r="M1845" s="12">
        <v>117.44</v>
      </c>
      <c r="N1845" s="12">
        <v>14710.342500000001</v>
      </c>
    </row>
    <row r="1846" spans="1:17" x14ac:dyDescent="0.3">
      <c r="A1846" s="12" t="s">
        <v>93</v>
      </c>
      <c r="B1846" s="12" t="s">
        <v>164</v>
      </c>
      <c r="C1846" s="12" t="s">
        <v>123</v>
      </c>
      <c r="D1846" s="12" t="s">
        <v>112</v>
      </c>
      <c r="E1846" s="12" t="s">
        <v>52</v>
      </c>
      <c r="F1846" s="12">
        <v>-7</v>
      </c>
      <c r="G1846" s="12">
        <v>-12</v>
      </c>
      <c r="H1846" s="17">
        <v>5067</v>
      </c>
      <c r="I1846" s="17">
        <v>5295.5</v>
      </c>
      <c r="J1846" s="12">
        <v>-9570</v>
      </c>
      <c r="K1846" s="12">
        <v>-162.5</v>
      </c>
      <c r="L1846" s="12">
        <v>0</v>
      </c>
      <c r="M1846" s="12">
        <v>0</v>
      </c>
      <c r="N1846" s="12">
        <v>-9732.5</v>
      </c>
    </row>
    <row r="1847" spans="1:17" x14ac:dyDescent="0.3">
      <c r="A1847" s="12" t="s">
        <v>93</v>
      </c>
      <c r="B1847" s="12" t="s">
        <v>164</v>
      </c>
      <c r="C1847" s="12" t="s">
        <v>123</v>
      </c>
      <c r="D1847" s="12" t="s">
        <v>112</v>
      </c>
      <c r="E1847" s="12" t="s">
        <v>53</v>
      </c>
      <c r="F1847" s="12">
        <v>-1</v>
      </c>
      <c r="G1847" s="12">
        <v>-3</v>
      </c>
      <c r="H1847" s="17">
        <v>17571.25</v>
      </c>
      <c r="I1847" s="17">
        <v>18591</v>
      </c>
      <c r="J1847" s="12">
        <v>-3383.5</v>
      </c>
      <c r="K1847" s="12">
        <v>15.5</v>
      </c>
      <c r="L1847" s="12">
        <v>0</v>
      </c>
      <c r="M1847" s="12">
        <v>0</v>
      </c>
      <c r="N1847" s="12">
        <v>-3368</v>
      </c>
    </row>
    <row r="1848" spans="1:17" x14ac:dyDescent="0.3">
      <c r="A1848" s="12" t="s">
        <v>93</v>
      </c>
      <c r="B1848" s="12" t="s">
        <v>164</v>
      </c>
      <c r="C1848" s="12" t="s">
        <v>123</v>
      </c>
      <c r="D1848" s="12" t="s">
        <v>97</v>
      </c>
      <c r="J1848" s="12">
        <v>-12953.5</v>
      </c>
      <c r="K1848" s="12">
        <v>-147</v>
      </c>
      <c r="L1848" s="12">
        <v>0</v>
      </c>
      <c r="M1848" s="12">
        <v>0</v>
      </c>
      <c r="N1848" s="12">
        <v>-13100.5</v>
      </c>
    </row>
    <row r="1849" spans="1:17" x14ac:dyDescent="0.3">
      <c r="A1849" s="12" t="s">
        <v>93</v>
      </c>
      <c r="B1849" s="12" t="s">
        <v>164</v>
      </c>
      <c r="C1849" s="12" t="s">
        <v>123</v>
      </c>
      <c r="D1849" s="12" t="s">
        <v>113</v>
      </c>
      <c r="E1849" s="12" t="s">
        <v>114</v>
      </c>
      <c r="F1849" s="12">
        <v>41307.718625000001</v>
      </c>
      <c r="G1849" s="12">
        <v>60328.581124999997</v>
      </c>
      <c r="H1849" s="12">
        <v>1</v>
      </c>
      <c r="I1849" s="12">
        <v>1</v>
      </c>
      <c r="J1849" s="12">
        <v>0</v>
      </c>
      <c r="K1849" s="12">
        <v>0</v>
      </c>
      <c r="L1849" s="12">
        <v>0</v>
      </c>
      <c r="M1849" s="12">
        <v>0</v>
      </c>
      <c r="N1849" s="12">
        <v>0</v>
      </c>
    </row>
    <row r="1850" spans="1:17" x14ac:dyDescent="0.3">
      <c r="A1850" s="12" t="s">
        <v>93</v>
      </c>
      <c r="B1850" s="12" t="s">
        <v>164</v>
      </c>
      <c r="C1850" s="12" t="s">
        <v>123</v>
      </c>
      <c r="D1850" s="12" t="s">
        <v>97</v>
      </c>
      <c r="J1850" s="12">
        <v>0</v>
      </c>
      <c r="K1850" s="12">
        <v>0</v>
      </c>
      <c r="L1850" s="12">
        <v>0</v>
      </c>
      <c r="M1850" s="12">
        <v>0</v>
      </c>
      <c r="N1850" s="12">
        <v>0</v>
      </c>
    </row>
    <row r="1851" spans="1:17" x14ac:dyDescent="0.3">
      <c r="A1851" s="12" t="s">
        <v>93</v>
      </c>
      <c r="B1851" s="12" t="s">
        <v>164</v>
      </c>
      <c r="C1851" s="12" t="s">
        <v>123</v>
      </c>
      <c r="D1851" s="12" t="s">
        <v>115</v>
      </c>
      <c r="J1851" s="12">
        <v>2322.2800000000002</v>
      </c>
      <c r="K1851" s="12">
        <v>-825.97749999999996</v>
      </c>
      <c r="L1851" s="12">
        <v>-3.9</v>
      </c>
      <c r="M1851" s="12">
        <v>117.44</v>
      </c>
      <c r="N1851" s="12">
        <v>1609.8425</v>
      </c>
    </row>
    <row r="1852" spans="1:17" x14ac:dyDescent="0.3">
      <c r="A1852" s="12" t="s">
        <v>93</v>
      </c>
      <c r="B1852" s="12" t="s">
        <v>164</v>
      </c>
      <c r="C1852" s="12" t="s">
        <v>123</v>
      </c>
      <c r="D1852" s="12" t="s">
        <v>116</v>
      </c>
      <c r="N1852" s="12">
        <v>-0.01</v>
      </c>
    </row>
    <row r="1853" spans="1:17" x14ac:dyDescent="0.3">
      <c r="A1853" s="12" t="s">
        <v>93</v>
      </c>
      <c r="B1853" s="12" t="s">
        <v>166</v>
      </c>
      <c r="N1853" s="12">
        <v>1609.8325</v>
      </c>
    </row>
    <row r="1854" spans="1:17" x14ac:dyDescent="0.3">
      <c r="A1854" s="12" t="s">
        <v>93</v>
      </c>
      <c r="B1854" s="12" t="s">
        <v>167</v>
      </c>
      <c r="C1854" s="12" t="s">
        <v>120</v>
      </c>
      <c r="D1854" s="12" t="s">
        <v>100</v>
      </c>
      <c r="E1854" s="12" t="s">
        <v>0</v>
      </c>
      <c r="F1854" s="12" t="s">
        <v>168</v>
      </c>
      <c r="G1854" s="12" t="s">
        <v>169</v>
      </c>
      <c r="H1854" s="12" t="s">
        <v>170</v>
      </c>
      <c r="I1854" s="12" t="s">
        <v>171</v>
      </c>
      <c r="J1854" s="12" t="s">
        <v>172</v>
      </c>
      <c r="K1854" s="12" t="s">
        <v>173</v>
      </c>
      <c r="L1854" s="12" t="s">
        <v>174</v>
      </c>
      <c r="M1854" s="12" t="s">
        <v>175</v>
      </c>
      <c r="N1854" s="12" t="s">
        <v>176</v>
      </c>
      <c r="O1854" s="12" t="s">
        <v>177</v>
      </c>
      <c r="P1854" s="12" t="s">
        <v>178</v>
      </c>
      <c r="Q1854" s="12" t="s">
        <v>97</v>
      </c>
    </row>
    <row r="1855" spans="1:17" x14ac:dyDescent="0.3">
      <c r="A1855" s="12" t="s">
        <v>93</v>
      </c>
      <c r="B1855" s="12" t="s">
        <v>167</v>
      </c>
      <c r="C1855" s="12" t="s">
        <v>123</v>
      </c>
      <c r="D1855" s="12" t="s">
        <v>110</v>
      </c>
      <c r="E1855" s="12" t="s">
        <v>2</v>
      </c>
      <c r="F1855" s="12">
        <v>0</v>
      </c>
      <c r="G1855" s="12">
        <v>0</v>
      </c>
      <c r="H1855" s="12">
        <v>0</v>
      </c>
      <c r="I1855" s="12">
        <v>0</v>
      </c>
      <c r="J1855" s="12">
        <v>0</v>
      </c>
      <c r="K1855" s="12">
        <v>0</v>
      </c>
      <c r="L1855" s="12">
        <v>631.79999999999995</v>
      </c>
      <c r="M1855" s="12">
        <v>0</v>
      </c>
      <c r="N1855" s="12">
        <v>0</v>
      </c>
      <c r="O1855" s="12">
        <v>0</v>
      </c>
      <c r="P1855" s="12">
        <v>631.79999999999995</v>
      </c>
      <c r="Q1855" s="12">
        <v>631.79999999999995</v>
      </c>
    </row>
    <row r="1856" spans="1:17" x14ac:dyDescent="0.3">
      <c r="A1856" s="12" t="s">
        <v>93</v>
      </c>
      <c r="B1856" s="12" t="s">
        <v>167</v>
      </c>
      <c r="C1856" s="12" t="s">
        <v>123</v>
      </c>
      <c r="D1856" s="12" t="s">
        <v>110</v>
      </c>
      <c r="E1856" s="12" t="s">
        <v>45</v>
      </c>
      <c r="F1856" s="12">
        <v>0</v>
      </c>
      <c r="G1856" s="12">
        <v>0</v>
      </c>
      <c r="H1856" s="12">
        <v>0</v>
      </c>
      <c r="I1856" s="12">
        <v>0</v>
      </c>
      <c r="J1856" s="12">
        <v>0</v>
      </c>
      <c r="K1856" s="12">
        <v>0</v>
      </c>
      <c r="L1856" s="12">
        <v>289.75</v>
      </c>
      <c r="M1856" s="12">
        <v>-80.12</v>
      </c>
      <c r="N1856" s="12">
        <v>0</v>
      </c>
      <c r="O1856" s="12">
        <v>0</v>
      </c>
      <c r="P1856" s="12">
        <v>209.63</v>
      </c>
      <c r="Q1856" s="12">
        <v>209.63</v>
      </c>
    </row>
    <row r="1857" spans="1:17" x14ac:dyDescent="0.3">
      <c r="A1857" s="12" t="s">
        <v>93</v>
      </c>
      <c r="B1857" s="12" t="s">
        <v>167</v>
      </c>
      <c r="C1857" s="12" t="s">
        <v>123</v>
      </c>
      <c r="D1857" s="12" t="s">
        <v>110</v>
      </c>
      <c r="E1857" s="12" t="s">
        <v>5</v>
      </c>
      <c r="F1857" s="12">
        <v>0</v>
      </c>
      <c r="G1857" s="12">
        <v>0</v>
      </c>
      <c r="H1857" s="12">
        <v>0</v>
      </c>
      <c r="I1857" s="12">
        <v>0</v>
      </c>
      <c r="J1857" s="12">
        <v>0</v>
      </c>
      <c r="K1857" s="12">
        <v>0</v>
      </c>
      <c r="L1857" s="12">
        <v>436.48500000000001</v>
      </c>
      <c r="M1857" s="12">
        <v>-899.16</v>
      </c>
      <c r="N1857" s="12">
        <v>0</v>
      </c>
      <c r="O1857" s="12">
        <v>0</v>
      </c>
      <c r="P1857" s="12">
        <v>-462.67500000000001</v>
      </c>
      <c r="Q1857" s="12">
        <v>-462.67500000000001</v>
      </c>
    </row>
    <row r="1858" spans="1:17" x14ac:dyDescent="0.3">
      <c r="A1858" s="12" t="s">
        <v>93</v>
      </c>
      <c r="B1858" s="12" t="s">
        <v>167</v>
      </c>
      <c r="C1858" s="12" t="s">
        <v>123</v>
      </c>
      <c r="D1858" s="12" t="s">
        <v>110</v>
      </c>
      <c r="E1858" s="12" t="s">
        <v>58</v>
      </c>
      <c r="F1858" s="12">
        <v>0</v>
      </c>
      <c r="G1858" s="12">
        <v>0</v>
      </c>
      <c r="H1858" s="12">
        <v>0</v>
      </c>
      <c r="I1858" s="12">
        <v>0</v>
      </c>
      <c r="J1858" s="12">
        <v>0</v>
      </c>
      <c r="K1858" s="12">
        <v>0</v>
      </c>
      <c r="L1858" s="12">
        <v>752</v>
      </c>
      <c r="M1858" s="12">
        <v>0</v>
      </c>
      <c r="N1858" s="12">
        <v>0</v>
      </c>
      <c r="O1858" s="12">
        <v>0</v>
      </c>
      <c r="P1858" s="12">
        <v>752</v>
      </c>
      <c r="Q1858" s="12">
        <v>752</v>
      </c>
    </row>
    <row r="1859" spans="1:17" x14ac:dyDescent="0.3">
      <c r="A1859" s="12" t="s">
        <v>93</v>
      </c>
      <c r="B1859" s="12" t="s">
        <v>167</v>
      </c>
      <c r="C1859" s="12" t="s">
        <v>123</v>
      </c>
      <c r="D1859" s="12" t="s">
        <v>110</v>
      </c>
      <c r="E1859" s="12" t="s">
        <v>7</v>
      </c>
      <c r="F1859" s="12">
        <v>0</v>
      </c>
      <c r="G1859" s="12">
        <v>0</v>
      </c>
      <c r="H1859" s="12">
        <v>0</v>
      </c>
      <c r="I1859" s="12">
        <v>0</v>
      </c>
      <c r="J1859" s="12">
        <v>0</v>
      </c>
      <c r="K1859" s="12">
        <v>0</v>
      </c>
      <c r="L1859" s="12">
        <v>83.56</v>
      </c>
      <c r="M1859" s="12">
        <v>-197.86</v>
      </c>
      <c r="N1859" s="12">
        <v>0</v>
      </c>
      <c r="O1859" s="12">
        <v>0</v>
      </c>
      <c r="P1859" s="12">
        <v>-114.3</v>
      </c>
      <c r="Q1859" s="12">
        <v>-114.3</v>
      </c>
    </row>
    <row r="1860" spans="1:17" x14ac:dyDescent="0.3">
      <c r="A1860" s="12" t="s">
        <v>93</v>
      </c>
      <c r="B1860" s="12" t="s">
        <v>167</v>
      </c>
      <c r="C1860" s="12" t="s">
        <v>123</v>
      </c>
      <c r="D1860" s="12" t="s">
        <v>110</v>
      </c>
      <c r="E1860" s="12" t="s">
        <v>8</v>
      </c>
      <c r="F1860" s="12">
        <v>0</v>
      </c>
      <c r="G1860" s="12">
        <v>0</v>
      </c>
      <c r="H1860" s="12">
        <v>0</v>
      </c>
      <c r="I1860" s="12">
        <v>0</v>
      </c>
      <c r="J1860" s="12">
        <v>0</v>
      </c>
      <c r="K1860" s="12">
        <v>0</v>
      </c>
      <c r="L1860" s="12">
        <v>2111.6030000000001</v>
      </c>
      <c r="M1860" s="12">
        <v>0</v>
      </c>
      <c r="N1860" s="12">
        <v>0</v>
      </c>
      <c r="O1860" s="12">
        <v>0</v>
      </c>
      <c r="P1860" s="12">
        <v>2111.6030000000001</v>
      </c>
      <c r="Q1860" s="12">
        <v>2111.6030000000001</v>
      </c>
    </row>
    <row r="1861" spans="1:17" x14ac:dyDescent="0.3">
      <c r="A1861" s="12" t="s">
        <v>93</v>
      </c>
      <c r="B1861" s="12" t="s">
        <v>167</v>
      </c>
      <c r="C1861" s="12" t="s">
        <v>123</v>
      </c>
      <c r="D1861" s="12" t="s">
        <v>110</v>
      </c>
      <c r="E1861" s="12" t="s">
        <v>3</v>
      </c>
      <c r="F1861" s="12">
        <v>0</v>
      </c>
      <c r="G1861" s="12">
        <v>0</v>
      </c>
      <c r="H1861" s="12">
        <v>0</v>
      </c>
      <c r="I1861" s="12">
        <v>0</v>
      </c>
      <c r="J1861" s="12">
        <v>0</v>
      </c>
      <c r="K1861" s="12">
        <v>0</v>
      </c>
      <c r="L1861" s="12">
        <v>799.45054100000004</v>
      </c>
      <c r="M1861" s="12">
        <v>0</v>
      </c>
      <c r="N1861" s="12">
        <v>0</v>
      </c>
      <c r="O1861" s="12">
        <v>0</v>
      </c>
      <c r="P1861" s="12">
        <v>799.45054100000004</v>
      </c>
      <c r="Q1861" s="12">
        <v>799.45054100000004</v>
      </c>
    </row>
    <row r="1862" spans="1:17" x14ac:dyDescent="0.3">
      <c r="A1862" s="12" t="s">
        <v>93</v>
      </c>
      <c r="B1862" s="12" t="s">
        <v>167</v>
      </c>
      <c r="C1862" s="12" t="s">
        <v>123</v>
      </c>
      <c r="D1862" s="12" t="s">
        <v>110</v>
      </c>
      <c r="E1862" s="12" t="s">
        <v>46</v>
      </c>
      <c r="F1862" s="12">
        <v>0</v>
      </c>
      <c r="G1862" s="12">
        <v>0</v>
      </c>
      <c r="H1862" s="12">
        <v>0</v>
      </c>
      <c r="I1862" s="12">
        <v>0</v>
      </c>
      <c r="J1862" s="12">
        <v>0</v>
      </c>
      <c r="K1862" s="12">
        <v>0</v>
      </c>
      <c r="L1862" s="12">
        <v>0</v>
      </c>
      <c r="M1862" s="12">
        <v>-282.14</v>
      </c>
      <c r="N1862" s="12">
        <v>0</v>
      </c>
      <c r="O1862" s="12">
        <v>0</v>
      </c>
      <c r="P1862" s="12">
        <v>-282.14</v>
      </c>
      <c r="Q1862" s="12">
        <v>-282.14</v>
      </c>
    </row>
    <row r="1863" spans="1:17" x14ac:dyDescent="0.3">
      <c r="A1863" s="12" t="s">
        <v>93</v>
      </c>
      <c r="B1863" s="12" t="s">
        <v>167</v>
      </c>
      <c r="C1863" s="12" t="s">
        <v>123</v>
      </c>
      <c r="D1863" s="12" t="s">
        <v>110</v>
      </c>
      <c r="E1863" s="12" t="s">
        <v>11</v>
      </c>
      <c r="F1863" s="12">
        <v>0</v>
      </c>
      <c r="G1863" s="12">
        <v>1063.0615909999999</v>
      </c>
      <c r="H1863" s="12">
        <v>0</v>
      </c>
      <c r="I1863" s="12">
        <v>0</v>
      </c>
      <c r="J1863" s="12">
        <v>0</v>
      </c>
      <c r="K1863" s="12">
        <v>1063.0615909999999</v>
      </c>
      <c r="L1863" s="12">
        <v>131.94999999999999</v>
      </c>
      <c r="M1863" s="12">
        <v>0</v>
      </c>
      <c r="N1863" s="12">
        <v>0</v>
      </c>
      <c r="O1863" s="12">
        <v>0</v>
      </c>
      <c r="P1863" s="12">
        <v>131.94999999999999</v>
      </c>
      <c r="Q1863" s="12">
        <v>1195.011591</v>
      </c>
    </row>
    <row r="1864" spans="1:17" x14ac:dyDescent="0.3">
      <c r="A1864" s="12" t="s">
        <v>93</v>
      </c>
      <c r="B1864" s="12" t="s">
        <v>167</v>
      </c>
      <c r="C1864" s="12" t="s">
        <v>123</v>
      </c>
      <c r="D1864" s="12" t="s">
        <v>110</v>
      </c>
      <c r="E1864" s="12" t="s">
        <v>47</v>
      </c>
      <c r="F1864" s="12">
        <v>0</v>
      </c>
      <c r="G1864" s="12">
        <v>0</v>
      </c>
      <c r="H1864" s="12">
        <v>-535.05999999999995</v>
      </c>
      <c r="I1864" s="12">
        <v>0</v>
      </c>
      <c r="J1864" s="12">
        <v>0</v>
      </c>
      <c r="K1864" s="12">
        <v>-535.05999999999995</v>
      </c>
      <c r="L1864" s="12">
        <v>0</v>
      </c>
      <c r="M1864" s="12">
        <v>0</v>
      </c>
      <c r="N1864" s="12">
        <v>0</v>
      </c>
      <c r="O1864" s="12">
        <v>0</v>
      </c>
      <c r="P1864" s="12">
        <v>0</v>
      </c>
      <c r="Q1864" s="12">
        <v>-535.05999999999995</v>
      </c>
    </row>
    <row r="1865" spans="1:17" x14ac:dyDescent="0.3">
      <c r="A1865" s="12" t="s">
        <v>93</v>
      </c>
      <c r="B1865" s="12" t="s">
        <v>167</v>
      </c>
      <c r="C1865" s="12" t="s">
        <v>123</v>
      </c>
      <c r="D1865" s="12" t="s">
        <v>110</v>
      </c>
      <c r="E1865" s="12" t="s">
        <v>14</v>
      </c>
      <c r="F1865" s="12">
        <v>0</v>
      </c>
      <c r="G1865" s="12">
        <v>0</v>
      </c>
      <c r="H1865" s="12">
        <v>0</v>
      </c>
      <c r="I1865" s="12">
        <v>0</v>
      </c>
      <c r="J1865" s="12">
        <v>0</v>
      </c>
      <c r="K1865" s="12">
        <v>0</v>
      </c>
      <c r="L1865" s="12">
        <v>110.7</v>
      </c>
      <c r="M1865" s="12">
        <v>0</v>
      </c>
      <c r="N1865" s="12">
        <v>0</v>
      </c>
      <c r="O1865" s="12">
        <v>0</v>
      </c>
      <c r="P1865" s="12">
        <v>110.7</v>
      </c>
      <c r="Q1865" s="12">
        <v>110.7</v>
      </c>
    </row>
    <row r="1866" spans="1:17" x14ac:dyDescent="0.3">
      <c r="A1866" s="12" t="s">
        <v>93</v>
      </c>
      <c r="B1866" s="12" t="s">
        <v>167</v>
      </c>
      <c r="C1866" s="12" t="s">
        <v>123</v>
      </c>
      <c r="D1866" s="12" t="s">
        <v>110</v>
      </c>
      <c r="E1866" s="12" t="s">
        <v>18</v>
      </c>
      <c r="F1866" s="12">
        <v>0</v>
      </c>
      <c r="G1866" s="12">
        <v>0</v>
      </c>
      <c r="H1866" s="12">
        <v>0</v>
      </c>
      <c r="I1866" s="12">
        <v>0</v>
      </c>
      <c r="J1866" s="12">
        <v>0</v>
      </c>
      <c r="K1866" s="12">
        <v>0</v>
      </c>
      <c r="L1866" s="12">
        <v>638.91</v>
      </c>
      <c r="M1866" s="12">
        <v>0</v>
      </c>
      <c r="N1866" s="12">
        <v>0</v>
      </c>
      <c r="O1866" s="12">
        <v>0</v>
      </c>
      <c r="P1866" s="12">
        <v>638.91</v>
      </c>
      <c r="Q1866" s="12">
        <v>638.91</v>
      </c>
    </row>
    <row r="1867" spans="1:17" x14ac:dyDescent="0.3">
      <c r="A1867" s="12" t="s">
        <v>93</v>
      </c>
      <c r="B1867" s="12" t="s">
        <v>167</v>
      </c>
      <c r="C1867" s="12" t="s">
        <v>123</v>
      </c>
      <c r="D1867" s="12" t="s">
        <v>110</v>
      </c>
      <c r="E1867" s="12" t="s">
        <v>48</v>
      </c>
      <c r="F1867" s="12">
        <v>0</v>
      </c>
      <c r="G1867" s="12">
        <v>0</v>
      </c>
      <c r="H1867" s="12">
        <v>0</v>
      </c>
      <c r="I1867" s="12">
        <v>0</v>
      </c>
      <c r="J1867" s="12">
        <v>0</v>
      </c>
      <c r="K1867" s="12">
        <v>0</v>
      </c>
      <c r="L1867" s="12">
        <v>1057.7030299999999</v>
      </c>
      <c r="M1867" s="12">
        <v>0</v>
      </c>
      <c r="N1867" s="12">
        <v>0</v>
      </c>
      <c r="O1867" s="12">
        <v>0</v>
      </c>
      <c r="P1867" s="12">
        <v>1057.7030299999999</v>
      </c>
      <c r="Q1867" s="12">
        <v>1057.7030299999999</v>
      </c>
    </row>
    <row r="1868" spans="1:17" x14ac:dyDescent="0.3">
      <c r="A1868" s="12" t="s">
        <v>93</v>
      </c>
      <c r="B1868" s="12" t="s">
        <v>167</v>
      </c>
      <c r="C1868" s="12" t="s">
        <v>123</v>
      </c>
      <c r="D1868" s="12" t="s">
        <v>110</v>
      </c>
      <c r="E1868" s="12" t="s">
        <v>54</v>
      </c>
      <c r="F1868" s="12">
        <v>0</v>
      </c>
      <c r="G1868" s="12">
        <v>0</v>
      </c>
      <c r="H1868" s="12">
        <v>0</v>
      </c>
      <c r="I1868" s="12">
        <v>0</v>
      </c>
      <c r="J1868" s="12">
        <v>0</v>
      </c>
      <c r="K1868" s="12">
        <v>0</v>
      </c>
      <c r="L1868" s="12">
        <v>903.09709099999998</v>
      </c>
      <c r="M1868" s="12">
        <v>0</v>
      </c>
      <c r="N1868" s="12">
        <v>0</v>
      </c>
      <c r="O1868" s="12">
        <v>0</v>
      </c>
      <c r="P1868" s="12">
        <v>903.09709099999998</v>
      </c>
      <c r="Q1868" s="12">
        <v>903.09709099999998</v>
      </c>
    </row>
    <row r="1869" spans="1:17" x14ac:dyDescent="0.3">
      <c r="A1869" s="12" t="s">
        <v>93</v>
      </c>
      <c r="B1869" s="12" t="s">
        <v>167</v>
      </c>
      <c r="C1869" s="12" t="s">
        <v>123</v>
      </c>
      <c r="D1869" s="12" t="s">
        <v>110</v>
      </c>
      <c r="E1869" s="12" t="s">
        <v>19</v>
      </c>
      <c r="F1869" s="12">
        <v>0</v>
      </c>
      <c r="G1869" s="12">
        <v>0</v>
      </c>
      <c r="H1869" s="12">
        <v>0</v>
      </c>
      <c r="I1869" s="12">
        <v>0</v>
      </c>
      <c r="J1869" s="12">
        <v>0</v>
      </c>
      <c r="K1869" s="12">
        <v>0</v>
      </c>
      <c r="L1869" s="12">
        <v>1848.2697189999999</v>
      </c>
      <c r="M1869" s="12">
        <v>0</v>
      </c>
      <c r="N1869" s="12">
        <v>0</v>
      </c>
      <c r="O1869" s="12">
        <v>0</v>
      </c>
      <c r="P1869" s="12">
        <v>1848.2697189999999</v>
      </c>
      <c r="Q1869" s="12">
        <v>1848.2697189999999</v>
      </c>
    </row>
    <row r="1870" spans="1:17" x14ac:dyDescent="0.3">
      <c r="A1870" s="12" t="s">
        <v>93</v>
      </c>
      <c r="B1870" s="12" t="s">
        <v>167</v>
      </c>
      <c r="C1870" s="12" t="s">
        <v>123</v>
      </c>
      <c r="D1870" s="12" t="s">
        <v>110</v>
      </c>
      <c r="E1870" s="12" t="s">
        <v>20</v>
      </c>
      <c r="F1870" s="12">
        <v>0</v>
      </c>
      <c r="G1870" s="12">
        <v>0</v>
      </c>
      <c r="H1870" s="12">
        <v>0</v>
      </c>
      <c r="I1870" s="12">
        <v>0</v>
      </c>
      <c r="J1870" s="12">
        <v>0</v>
      </c>
      <c r="K1870" s="12">
        <v>0</v>
      </c>
      <c r="L1870" s="12">
        <v>0</v>
      </c>
      <c r="M1870" s="12">
        <v>-46.4</v>
      </c>
      <c r="N1870" s="12">
        <v>0</v>
      </c>
      <c r="O1870" s="12">
        <v>0</v>
      </c>
      <c r="P1870" s="12">
        <v>-46.4</v>
      </c>
      <c r="Q1870" s="12">
        <v>-46.4</v>
      </c>
    </row>
    <row r="1871" spans="1:17" x14ac:dyDescent="0.3">
      <c r="A1871" s="12" t="s">
        <v>93</v>
      </c>
      <c r="B1871" s="12" t="s">
        <v>167</v>
      </c>
      <c r="C1871" s="12" t="s">
        <v>123</v>
      </c>
      <c r="D1871" s="12" t="s">
        <v>110</v>
      </c>
      <c r="E1871" s="12" t="s">
        <v>22</v>
      </c>
      <c r="F1871" s="12">
        <v>0</v>
      </c>
      <c r="G1871" s="12">
        <v>0</v>
      </c>
      <c r="H1871" s="12">
        <v>0</v>
      </c>
      <c r="I1871" s="12">
        <v>0</v>
      </c>
      <c r="J1871" s="12">
        <v>0</v>
      </c>
      <c r="K1871" s="12">
        <v>0</v>
      </c>
      <c r="L1871" s="12">
        <v>1990.921</v>
      </c>
      <c r="M1871" s="12">
        <v>0</v>
      </c>
      <c r="N1871" s="12">
        <v>0</v>
      </c>
      <c r="O1871" s="12">
        <v>0</v>
      </c>
      <c r="P1871" s="12">
        <v>1990.921</v>
      </c>
      <c r="Q1871" s="12">
        <v>1990.921</v>
      </c>
    </row>
    <row r="1872" spans="1:17" x14ac:dyDescent="0.3">
      <c r="A1872" s="12" t="s">
        <v>93</v>
      </c>
      <c r="B1872" s="12" t="s">
        <v>167</v>
      </c>
      <c r="C1872" s="12" t="s">
        <v>123</v>
      </c>
      <c r="D1872" s="12" t="s">
        <v>110</v>
      </c>
      <c r="E1872" s="12" t="s">
        <v>37</v>
      </c>
      <c r="F1872" s="12">
        <v>0</v>
      </c>
      <c r="G1872" s="12">
        <v>0</v>
      </c>
      <c r="H1872" s="12">
        <v>0</v>
      </c>
      <c r="I1872" s="12">
        <v>0</v>
      </c>
      <c r="J1872" s="12">
        <v>0</v>
      </c>
      <c r="K1872" s="12">
        <v>0</v>
      </c>
      <c r="L1872" s="12">
        <v>0</v>
      </c>
      <c r="M1872" s="12">
        <v>-362.5</v>
      </c>
      <c r="N1872" s="12">
        <v>0</v>
      </c>
      <c r="O1872" s="12">
        <v>0</v>
      </c>
      <c r="P1872" s="12">
        <v>-362.5</v>
      </c>
      <c r="Q1872" s="12">
        <v>-362.5</v>
      </c>
    </row>
    <row r="1873" spans="1:17" x14ac:dyDescent="0.3">
      <c r="A1873" s="12" t="s">
        <v>93</v>
      </c>
      <c r="B1873" s="12" t="s">
        <v>167</v>
      </c>
      <c r="C1873" s="12" t="s">
        <v>123</v>
      </c>
      <c r="D1873" s="12" t="s">
        <v>110</v>
      </c>
      <c r="E1873" s="12" t="s">
        <v>24</v>
      </c>
      <c r="F1873" s="12">
        <v>0</v>
      </c>
      <c r="G1873" s="12">
        <v>0</v>
      </c>
      <c r="H1873" s="12">
        <v>0</v>
      </c>
      <c r="I1873" s="12">
        <v>0</v>
      </c>
      <c r="J1873" s="12">
        <v>0</v>
      </c>
      <c r="K1873" s="12">
        <v>0</v>
      </c>
      <c r="L1873" s="12">
        <v>619.21249999999998</v>
      </c>
      <c r="M1873" s="12">
        <v>0</v>
      </c>
      <c r="N1873" s="12">
        <v>0</v>
      </c>
      <c r="O1873" s="12">
        <v>0</v>
      </c>
      <c r="P1873" s="12">
        <v>619.21249999999998</v>
      </c>
      <c r="Q1873" s="12">
        <v>619.21249999999998</v>
      </c>
    </row>
    <row r="1874" spans="1:17" x14ac:dyDescent="0.3">
      <c r="A1874" s="12" t="s">
        <v>93</v>
      </c>
      <c r="B1874" s="12" t="s">
        <v>167</v>
      </c>
      <c r="C1874" s="12" t="s">
        <v>123</v>
      </c>
      <c r="D1874" s="12" t="s">
        <v>110</v>
      </c>
      <c r="E1874" s="12" t="s">
        <v>59</v>
      </c>
      <c r="F1874" s="12">
        <v>0</v>
      </c>
      <c r="G1874" s="12">
        <v>0</v>
      </c>
      <c r="H1874" s="12">
        <v>0</v>
      </c>
      <c r="I1874" s="12">
        <v>0</v>
      </c>
      <c r="J1874" s="12">
        <v>0</v>
      </c>
      <c r="K1874" s="12">
        <v>0</v>
      </c>
      <c r="L1874" s="12">
        <v>0</v>
      </c>
      <c r="M1874" s="12">
        <v>-24</v>
      </c>
      <c r="N1874" s="12">
        <v>0</v>
      </c>
      <c r="O1874" s="12">
        <v>0</v>
      </c>
      <c r="P1874" s="12">
        <v>-24</v>
      </c>
      <c r="Q1874" s="12">
        <v>-24</v>
      </c>
    </row>
    <row r="1875" spans="1:17" x14ac:dyDescent="0.3">
      <c r="A1875" s="12" t="s">
        <v>93</v>
      </c>
      <c r="B1875" s="12" t="s">
        <v>167</v>
      </c>
      <c r="C1875" s="12" t="s">
        <v>123</v>
      </c>
      <c r="D1875" s="12" t="s">
        <v>110</v>
      </c>
      <c r="E1875" s="12" t="s">
        <v>49</v>
      </c>
      <c r="F1875" s="12">
        <v>0</v>
      </c>
      <c r="G1875" s="12">
        <v>0</v>
      </c>
      <c r="H1875" s="12">
        <v>0</v>
      </c>
      <c r="I1875" s="12">
        <v>0</v>
      </c>
      <c r="J1875" s="12">
        <v>0</v>
      </c>
      <c r="K1875" s="12">
        <v>0</v>
      </c>
      <c r="L1875" s="12">
        <v>596.02</v>
      </c>
      <c r="M1875" s="12">
        <v>0</v>
      </c>
      <c r="N1875" s="12">
        <v>0</v>
      </c>
      <c r="O1875" s="12">
        <v>0</v>
      </c>
      <c r="P1875" s="12">
        <v>596.02</v>
      </c>
      <c r="Q1875" s="12">
        <v>596.02</v>
      </c>
    </row>
    <row r="1876" spans="1:17" x14ac:dyDescent="0.3">
      <c r="A1876" s="12" t="s">
        <v>93</v>
      </c>
      <c r="B1876" s="12" t="s">
        <v>167</v>
      </c>
      <c r="C1876" s="12" t="s">
        <v>123</v>
      </c>
      <c r="D1876" s="12" t="s">
        <v>110</v>
      </c>
      <c r="E1876" s="12" t="s">
        <v>26</v>
      </c>
      <c r="F1876" s="12">
        <v>0</v>
      </c>
      <c r="G1876" s="12">
        <v>0</v>
      </c>
      <c r="H1876" s="12">
        <v>0</v>
      </c>
      <c r="I1876" s="12">
        <v>0</v>
      </c>
      <c r="J1876" s="12">
        <v>0</v>
      </c>
      <c r="K1876" s="12">
        <v>0</v>
      </c>
      <c r="L1876" s="12">
        <v>116.95</v>
      </c>
      <c r="M1876" s="12">
        <v>-14.1</v>
      </c>
      <c r="N1876" s="12">
        <v>0</v>
      </c>
      <c r="O1876" s="12">
        <v>0</v>
      </c>
      <c r="P1876" s="12">
        <v>102.85</v>
      </c>
      <c r="Q1876" s="12">
        <v>102.85</v>
      </c>
    </row>
    <row r="1877" spans="1:17" x14ac:dyDescent="0.3">
      <c r="A1877" s="12" t="s">
        <v>93</v>
      </c>
      <c r="B1877" s="12" t="s">
        <v>167</v>
      </c>
      <c r="C1877" s="12" t="s">
        <v>123</v>
      </c>
      <c r="D1877" s="12" t="s">
        <v>110</v>
      </c>
      <c r="E1877" s="12" t="s">
        <v>27</v>
      </c>
      <c r="F1877" s="12">
        <v>0</v>
      </c>
      <c r="G1877" s="12">
        <v>0</v>
      </c>
      <c r="H1877" s="12">
        <v>0</v>
      </c>
      <c r="I1877" s="12">
        <v>0</v>
      </c>
      <c r="J1877" s="12">
        <v>0</v>
      </c>
      <c r="K1877" s="12">
        <v>0</v>
      </c>
      <c r="L1877" s="12">
        <v>1368.7090479999999</v>
      </c>
      <c r="M1877" s="12">
        <v>-403.24</v>
      </c>
      <c r="N1877" s="12">
        <v>0</v>
      </c>
      <c r="O1877" s="12">
        <v>0</v>
      </c>
      <c r="P1877" s="12">
        <v>965.46904800000004</v>
      </c>
      <c r="Q1877" s="12">
        <v>965.46904800000004</v>
      </c>
    </row>
    <row r="1878" spans="1:17" x14ac:dyDescent="0.3">
      <c r="A1878" s="12" t="s">
        <v>93</v>
      </c>
      <c r="B1878" s="12" t="s">
        <v>167</v>
      </c>
      <c r="C1878" s="12" t="s">
        <v>123</v>
      </c>
      <c r="D1878" s="12" t="s">
        <v>110</v>
      </c>
      <c r="E1878" s="12" t="s">
        <v>28</v>
      </c>
      <c r="F1878" s="12">
        <v>0</v>
      </c>
      <c r="G1878" s="12">
        <v>0</v>
      </c>
      <c r="H1878" s="12">
        <v>0</v>
      </c>
      <c r="I1878" s="12">
        <v>0</v>
      </c>
      <c r="J1878" s="12">
        <v>0</v>
      </c>
      <c r="K1878" s="12">
        <v>0</v>
      </c>
      <c r="L1878" s="12">
        <v>1647.1079589999999</v>
      </c>
      <c r="M1878" s="12">
        <v>0</v>
      </c>
      <c r="N1878" s="12">
        <v>0</v>
      </c>
      <c r="O1878" s="12">
        <v>0</v>
      </c>
      <c r="P1878" s="12">
        <v>1647.1079589999999</v>
      </c>
      <c r="Q1878" s="12">
        <v>1647.1079589999999</v>
      </c>
    </row>
    <row r="1879" spans="1:17" x14ac:dyDescent="0.3">
      <c r="A1879" s="12" t="s">
        <v>93</v>
      </c>
      <c r="B1879" s="12" t="s">
        <v>167</v>
      </c>
      <c r="C1879" s="12" t="s">
        <v>123</v>
      </c>
      <c r="D1879" s="12" t="s">
        <v>110</v>
      </c>
      <c r="E1879" s="12" t="s">
        <v>55</v>
      </c>
      <c r="F1879" s="12">
        <v>0</v>
      </c>
      <c r="G1879" s="12">
        <v>0</v>
      </c>
      <c r="H1879" s="12">
        <v>0</v>
      </c>
      <c r="I1879" s="12">
        <v>0</v>
      </c>
      <c r="J1879" s="12">
        <v>0</v>
      </c>
      <c r="K1879" s="12">
        <v>0</v>
      </c>
      <c r="L1879" s="12">
        <v>279.77999999999997</v>
      </c>
      <c r="M1879" s="12">
        <v>0</v>
      </c>
      <c r="N1879" s="12">
        <v>0</v>
      </c>
      <c r="O1879" s="12">
        <v>0</v>
      </c>
      <c r="P1879" s="12">
        <v>279.77999999999997</v>
      </c>
      <c r="Q1879" s="12">
        <v>279.77999999999997</v>
      </c>
    </row>
    <row r="1880" spans="1:17" x14ac:dyDescent="0.3">
      <c r="A1880" s="12" t="s">
        <v>93</v>
      </c>
      <c r="B1880" s="12" t="s">
        <v>167</v>
      </c>
      <c r="C1880" s="12" t="s">
        <v>123</v>
      </c>
      <c r="D1880" s="12" t="s">
        <v>110</v>
      </c>
      <c r="E1880" s="12" t="s">
        <v>50</v>
      </c>
      <c r="F1880" s="12">
        <v>0</v>
      </c>
      <c r="G1880" s="12">
        <v>0</v>
      </c>
      <c r="H1880" s="12">
        <v>0</v>
      </c>
      <c r="I1880" s="12">
        <v>0</v>
      </c>
      <c r="J1880" s="12">
        <v>0</v>
      </c>
      <c r="K1880" s="12">
        <v>0</v>
      </c>
      <c r="L1880" s="12">
        <v>0</v>
      </c>
      <c r="M1880" s="12">
        <v>-994.54</v>
      </c>
      <c r="N1880" s="12">
        <v>0</v>
      </c>
      <c r="O1880" s="12">
        <v>0</v>
      </c>
      <c r="P1880" s="12">
        <v>-994.54</v>
      </c>
      <c r="Q1880" s="12">
        <v>-994.54</v>
      </c>
    </row>
    <row r="1881" spans="1:17" x14ac:dyDescent="0.3">
      <c r="A1881" s="12" t="s">
        <v>93</v>
      </c>
      <c r="B1881" s="12" t="s">
        <v>167</v>
      </c>
      <c r="C1881" s="12" t="s">
        <v>123</v>
      </c>
      <c r="D1881" s="12" t="s">
        <v>110</v>
      </c>
      <c r="E1881" s="12" t="s">
        <v>56</v>
      </c>
      <c r="F1881" s="12">
        <v>0</v>
      </c>
      <c r="G1881" s="12">
        <v>0</v>
      </c>
      <c r="H1881" s="12">
        <v>0</v>
      </c>
      <c r="I1881" s="12">
        <v>0</v>
      </c>
      <c r="J1881" s="12">
        <v>0</v>
      </c>
      <c r="K1881" s="12">
        <v>0</v>
      </c>
      <c r="L1881" s="12">
        <v>437.1</v>
      </c>
      <c r="M1881" s="12">
        <v>0</v>
      </c>
      <c r="N1881" s="12">
        <v>0</v>
      </c>
      <c r="O1881" s="12">
        <v>0</v>
      </c>
      <c r="P1881" s="12">
        <v>437.1</v>
      </c>
      <c r="Q1881" s="12">
        <v>437.1</v>
      </c>
    </row>
    <row r="1882" spans="1:17" x14ac:dyDescent="0.3">
      <c r="A1882" s="12" t="s">
        <v>93</v>
      </c>
      <c r="B1882" s="12" t="s">
        <v>167</v>
      </c>
      <c r="C1882" s="12" t="s">
        <v>123</v>
      </c>
      <c r="D1882" s="12" t="s">
        <v>110</v>
      </c>
      <c r="E1882" s="12" t="s">
        <v>57</v>
      </c>
      <c r="F1882" s="12">
        <v>0</v>
      </c>
      <c r="G1882" s="12">
        <v>0</v>
      </c>
      <c r="H1882" s="12">
        <v>0</v>
      </c>
      <c r="I1882" s="12">
        <v>0</v>
      </c>
      <c r="J1882" s="12">
        <v>0</v>
      </c>
      <c r="K1882" s="12">
        <v>0</v>
      </c>
      <c r="L1882" s="12">
        <v>18.95</v>
      </c>
      <c r="M1882" s="12">
        <v>-294.86</v>
      </c>
      <c r="N1882" s="12">
        <v>0</v>
      </c>
      <c r="O1882" s="12">
        <v>0</v>
      </c>
      <c r="P1882" s="12">
        <v>-275.91000000000003</v>
      </c>
      <c r="Q1882" s="12">
        <v>-275.91000000000003</v>
      </c>
    </row>
    <row r="1883" spans="1:17" x14ac:dyDescent="0.3">
      <c r="A1883" s="12" t="s">
        <v>93</v>
      </c>
      <c r="B1883" s="12" t="s">
        <v>167</v>
      </c>
      <c r="C1883" s="12" t="s">
        <v>123</v>
      </c>
      <c r="D1883" s="12" t="s">
        <v>110</v>
      </c>
      <c r="E1883" s="12" t="s">
        <v>29</v>
      </c>
      <c r="F1883" s="12">
        <v>0</v>
      </c>
      <c r="G1883" s="12">
        <v>0</v>
      </c>
      <c r="H1883" s="12">
        <v>0</v>
      </c>
      <c r="I1883" s="12">
        <v>0</v>
      </c>
      <c r="J1883" s="12">
        <v>0</v>
      </c>
      <c r="K1883" s="12">
        <v>0</v>
      </c>
      <c r="L1883" s="12">
        <v>174.05</v>
      </c>
      <c r="M1883" s="12">
        <v>-40.049999999999997</v>
      </c>
      <c r="N1883" s="12">
        <v>0</v>
      </c>
      <c r="O1883" s="12">
        <v>0</v>
      </c>
      <c r="P1883" s="12">
        <v>134</v>
      </c>
      <c r="Q1883" s="12">
        <v>134</v>
      </c>
    </row>
    <row r="1884" spans="1:17" x14ac:dyDescent="0.3">
      <c r="A1884" s="12" t="s">
        <v>93</v>
      </c>
      <c r="B1884" s="12" t="s">
        <v>167</v>
      </c>
      <c r="C1884" s="12" t="s">
        <v>123</v>
      </c>
      <c r="D1884" s="12" t="s">
        <v>110</v>
      </c>
      <c r="E1884" s="12" t="s">
        <v>39</v>
      </c>
      <c r="F1884" s="12">
        <v>0</v>
      </c>
      <c r="G1884" s="12">
        <v>365.07499999999999</v>
      </c>
      <c r="H1884" s="12">
        <v>0</v>
      </c>
      <c r="I1884" s="12">
        <v>0</v>
      </c>
      <c r="J1884" s="12">
        <v>0</v>
      </c>
      <c r="K1884" s="12">
        <v>365.07499999999999</v>
      </c>
      <c r="L1884" s="12">
        <v>1533.425</v>
      </c>
      <c r="M1884" s="12">
        <v>0</v>
      </c>
      <c r="N1884" s="12">
        <v>0</v>
      </c>
      <c r="O1884" s="12">
        <v>0</v>
      </c>
      <c r="P1884" s="12">
        <v>1533.425</v>
      </c>
      <c r="Q1884" s="12">
        <v>1898.5</v>
      </c>
    </row>
    <row r="1885" spans="1:17" x14ac:dyDescent="0.3">
      <c r="A1885" s="12" t="s">
        <v>93</v>
      </c>
      <c r="B1885" s="12" t="s">
        <v>167</v>
      </c>
      <c r="C1885" s="12" t="s">
        <v>123</v>
      </c>
      <c r="D1885" s="12" t="s">
        <v>110</v>
      </c>
      <c r="E1885" s="12" t="s">
        <v>30</v>
      </c>
      <c r="F1885" s="12">
        <v>0</v>
      </c>
      <c r="G1885" s="12">
        <v>0</v>
      </c>
      <c r="H1885" s="12">
        <v>-251.29</v>
      </c>
      <c r="I1885" s="12">
        <v>0</v>
      </c>
      <c r="J1885" s="12">
        <v>0</v>
      </c>
      <c r="K1885" s="12">
        <v>-251.29</v>
      </c>
      <c r="L1885" s="12">
        <v>0</v>
      </c>
      <c r="M1885" s="12">
        <v>0</v>
      </c>
      <c r="N1885" s="12">
        <v>0</v>
      </c>
      <c r="O1885" s="12">
        <v>0</v>
      </c>
      <c r="P1885" s="12">
        <v>0</v>
      </c>
      <c r="Q1885" s="12">
        <v>-251.29</v>
      </c>
    </row>
    <row r="1886" spans="1:17" x14ac:dyDescent="0.3">
      <c r="A1886" s="12" t="s">
        <v>93</v>
      </c>
      <c r="B1886" s="12" t="s">
        <v>167</v>
      </c>
      <c r="C1886" s="12" t="s">
        <v>123</v>
      </c>
      <c r="D1886" s="12" t="s">
        <v>110</v>
      </c>
      <c r="E1886" s="12" t="s">
        <v>51</v>
      </c>
      <c r="F1886" s="12">
        <v>0</v>
      </c>
      <c r="G1886" s="12">
        <v>0</v>
      </c>
      <c r="H1886" s="12">
        <v>0</v>
      </c>
      <c r="I1886" s="12">
        <v>0</v>
      </c>
      <c r="J1886" s="12">
        <v>0</v>
      </c>
      <c r="K1886" s="12">
        <v>0</v>
      </c>
      <c r="L1886" s="12">
        <v>0</v>
      </c>
      <c r="M1886" s="12">
        <v>-1055.5</v>
      </c>
      <c r="N1886" s="12">
        <v>0</v>
      </c>
      <c r="O1886" s="12">
        <v>0</v>
      </c>
      <c r="P1886" s="12">
        <v>-1055.5</v>
      </c>
      <c r="Q1886" s="12">
        <v>-1055.5</v>
      </c>
    </row>
    <row r="1887" spans="1:17" x14ac:dyDescent="0.3">
      <c r="A1887" s="12" t="s">
        <v>93</v>
      </c>
      <c r="B1887" s="12" t="s">
        <v>167</v>
      </c>
      <c r="C1887" s="12" t="s">
        <v>123</v>
      </c>
      <c r="D1887" s="12" t="s">
        <v>110</v>
      </c>
      <c r="E1887" s="12" t="s">
        <v>32</v>
      </c>
      <c r="F1887" s="12">
        <v>0</v>
      </c>
      <c r="G1887" s="12">
        <v>0</v>
      </c>
      <c r="H1887" s="12">
        <v>0</v>
      </c>
      <c r="I1887" s="12">
        <v>0</v>
      </c>
      <c r="J1887" s="12">
        <v>0</v>
      </c>
      <c r="K1887" s="12">
        <v>0</v>
      </c>
      <c r="L1887" s="12">
        <v>110.63150899999999</v>
      </c>
      <c r="M1887" s="12">
        <v>-252.84</v>
      </c>
      <c r="N1887" s="12">
        <v>0</v>
      </c>
      <c r="O1887" s="12">
        <v>0</v>
      </c>
      <c r="P1887" s="12">
        <v>-142.20849100000001</v>
      </c>
      <c r="Q1887" s="12">
        <v>-142.20849100000001</v>
      </c>
    </row>
    <row r="1888" spans="1:17" x14ac:dyDescent="0.3">
      <c r="A1888" s="12" t="s">
        <v>93</v>
      </c>
      <c r="B1888" s="12" t="s">
        <v>167</v>
      </c>
      <c r="C1888" s="12" t="s">
        <v>123</v>
      </c>
      <c r="D1888" s="12" t="s">
        <v>110</v>
      </c>
      <c r="E1888" s="12" t="s">
        <v>60</v>
      </c>
      <c r="F1888" s="12">
        <v>0</v>
      </c>
      <c r="G1888" s="12">
        <v>0</v>
      </c>
      <c r="H1888" s="12">
        <v>0</v>
      </c>
      <c r="I1888" s="12">
        <v>0</v>
      </c>
      <c r="J1888" s="12">
        <v>0</v>
      </c>
      <c r="K1888" s="12">
        <v>0</v>
      </c>
      <c r="L1888" s="12">
        <v>0</v>
      </c>
      <c r="M1888" s="12">
        <v>-210.9</v>
      </c>
      <c r="N1888" s="12">
        <v>0</v>
      </c>
      <c r="O1888" s="12">
        <v>0</v>
      </c>
      <c r="P1888" s="12">
        <v>-210.9</v>
      </c>
      <c r="Q1888" s="12">
        <v>-210.9</v>
      </c>
    </row>
    <row r="1889" spans="1:17" x14ac:dyDescent="0.3">
      <c r="A1889" s="12" t="s">
        <v>93</v>
      </c>
      <c r="B1889" s="12" t="s">
        <v>167</v>
      </c>
      <c r="C1889" s="12" t="s">
        <v>123</v>
      </c>
      <c r="D1889" s="12" t="s">
        <v>110</v>
      </c>
      <c r="E1889" s="12" t="s">
        <v>61</v>
      </c>
      <c r="F1889" s="12">
        <v>0</v>
      </c>
      <c r="G1889" s="12">
        <v>0</v>
      </c>
      <c r="H1889" s="12">
        <v>0</v>
      </c>
      <c r="I1889" s="12">
        <v>0</v>
      </c>
      <c r="J1889" s="12">
        <v>0</v>
      </c>
      <c r="K1889" s="12">
        <v>0</v>
      </c>
      <c r="L1889" s="12">
        <v>0</v>
      </c>
      <c r="M1889" s="12">
        <v>-118</v>
      </c>
      <c r="N1889" s="12">
        <v>0</v>
      </c>
      <c r="O1889" s="12">
        <v>0</v>
      </c>
      <c r="P1889" s="12">
        <v>-118</v>
      </c>
      <c r="Q1889" s="12">
        <v>-118</v>
      </c>
    </row>
    <row r="1890" spans="1:17" x14ac:dyDescent="0.3">
      <c r="A1890" s="12" t="s">
        <v>93</v>
      </c>
      <c r="B1890" s="12" t="s">
        <v>167</v>
      </c>
      <c r="C1890" s="12" t="s">
        <v>123</v>
      </c>
      <c r="D1890" s="12" t="s">
        <v>110</v>
      </c>
      <c r="E1890" s="12" t="s">
        <v>62</v>
      </c>
      <c r="F1890" s="12">
        <v>0</v>
      </c>
      <c r="G1890" s="12">
        <v>0</v>
      </c>
      <c r="H1890" s="12">
        <v>0</v>
      </c>
      <c r="I1890" s="12">
        <v>0</v>
      </c>
      <c r="J1890" s="12">
        <v>0</v>
      </c>
      <c r="K1890" s="12">
        <v>0</v>
      </c>
      <c r="L1890" s="12">
        <v>0</v>
      </c>
      <c r="M1890" s="12">
        <v>-38.869999999999997</v>
      </c>
      <c r="N1890" s="12">
        <v>0</v>
      </c>
      <c r="O1890" s="12">
        <v>0</v>
      </c>
      <c r="P1890" s="12">
        <v>-38.869999999999997</v>
      </c>
      <c r="Q1890" s="12">
        <v>-38.869999999999997</v>
      </c>
    </row>
    <row r="1891" spans="1:17" x14ac:dyDescent="0.3">
      <c r="A1891" s="12" t="s">
        <v>93</v>
      </c>
      <c r="B1891" s="12" t="s">
        <v>167</v>
      </c>
      <c r="C1891" s="12" t="s">
        <v>123</v>
      </c>
      <c r="D1891" s="12" t="s">
        <v>110</v>
      </c>
      <c r="E1891" s="12" t="s">
        <v>41</v>
      </c>
      <c r="F1891" s="12">
        <v>0</v>
      </c>
      <c r="G1891" s="12">
        <v>0</v>
      </c>
      <c r="H1891" s="12">
        <v>0</v>
      </c>
      <c r="I1891" s="12">
        <v>0</v>
      </c>
      <c r="J1891" s="12">
        <v>0</v>
      </c>
      <c r="K1891" s="12">
        <v>0</v>
      </c>
      <c r="L1891" s="12">
        <v>2117.6</v>
      </c>
      <c r="M1891" s="12">
        <v>0</v>
      </c>
      <c r="N1891" s="12">
        <v>0</v>
      </c>
      <c r="O1891" s="12">
        <v>0</v>
      </c>
      <c r="P1891" s="12">
        <v>2117.6</v>
      </c>
      <c r="Q1891" s="12">
        <v>2117.6</v>
      </c>
    </row>
    <row r="1892" spans="1:17" x14ac:dyDescent="0.3">
      <c r="A1892" s="12" t="s">
        <v>93</v>
      </c>
      <c r="B1892" s="12" t="s">
        <v>167</v>
      </c>
      <c r="C1892" s="12" t="s">
        <v>123</v>
      </c>
      <c r="D1892" s="12" t="s">
        <v>110</v>
      </c>
      <c r="E1892" s="12" t="s">
        <v>42</v>
      </c>
      <c r="F1892" s="12">
        <v>0</v>
      </c>
      <c r="G1892" s="12">
        <v>0</v>
      </c>
      <c r="H1892" s="12">
        <v>0</v>
      </c>
      <c r="I1892" s="12">
        <v>0</v>
      </c>
      <c r="J1892" s="12">
        <v>0</v>
      </c>
      <c r="K1892" s="12">
        <v>0</v>
      </c>
      <c r="L1892" s="12">
        <v>1537.1</v>
      </c>
      <c r="M1892" s="12">
        <v>0</v>
      </c>
      <c r="N1892" s="12">
        <v>0</v>
      </c>
      <c r="O1892" s="12">
        <v>0</v>
      </c>
      <c r="P1892" s="12">
        <v>1537.1</v>
      </c>
      <c r="Q1892" s="12">
        <v>1537.1</v>
      </c>
    </row>
    <row r="1893" spans="1:17" x14ac:dyDescent="0.3">
      <c r="A1893" s="12" t="s">
        <v>93</v>
      </c>
      <c r="B1893" s="12" t="s">
        <v>167</v>
      </c>
      <c r="C1893" s="12" t="s">
        <v>123</v>
      </c>
      <c r="D1893" s="12" t="s">
        <v>110</v>
      </c>
      <c r="E1893" s="12" t="s">
        <v>43</v>
      </c>
      <c r="F1893" s="12">
        <v>0</v>
      </c>
      <c r="G1893" s="12">
        <v>0</v>
      </c>
      <c r="H1893" s="12">
        <v>0</v>
      </c>
      <c r="I1893" s="12">
        <v>0</v>
      </c>
      <c r="J1893" s="12">
        <v>0</v>
      </c>
      <c r="K1893" s="12">
        <v>0</v>
      </c>
      <c r="L1893" s="12">
        <v>928.3</v>
      </c>
      <c r="M1893" s="12">
        <v>0</v>
      </c>
      <c r="N1893" s="12">
        <v>0</v>
      </c>
      <c r="O1893" s="12">
        <v>0</v>
      </c>
      <c r="P1893" s="12">
        <v>928.3</v>
      </c>
      <c r="Q1893" s="12">
        <v>928.3</v>
      </c>
    </row>
    <row r="1894" spans="1:17" x14ac:dyDescent="0.3">
      <c r="A1894" s="12" t="s">
        <v>93</v>
      </c>
      <c r="B1894" s="12" t="s">
        <v>167</v>
      </c>
      <c r="C1894" s="12" t="s">
        <v>123</v>
      </c>
      <c r="D1894" s="12" t="s">
        <v>110</v>
      </c>
      <c r="E1894" s="12" t="s">
        <v>44</v>
      </c>
      <c r="F1894" s="12">
        <v>0</v>
      </c>
      <c r="G1894" s="12">
        <v>0</v>
      </c>
      <c r="H1894" s="12">
        <v>0</v>
      </c>
      <c r="I1894" s="12">
        <v>0</v>
      </c>
      <c r="J1894" s="12">
        <v>0</v>
      </c>
      <c r="K1894" s="12">
        <v>0</v>
      </c>
      <c r="L1894" s="12">
        <v>75.95</v>
      </c>
      <c r="M1894" s="12">
        <v>-43.6</v>
      </c>
      <c r="N1894" s="12">
        <v>0</v>
      </c>
      <c r="O1894" s="12">
        <v>0</v>
      </c>
      <c r="P1894" s="12">
        <v>32.35</v>
      </c>
      <c r="Q1894" s="12">
        <v>32.35</v>
      </c>
    </row>
    <row r="1895" spans="1:17" x14ac:dyDescent="0.3">
      <c r="A1895" s="12" t="s">
        <v>93</v>
      </c>
      <c r="B1895" s="12" t="s">
        <v>167</v>
      </c>
      <c r="C1895" s="12" t="s">
        <v>123</v>
      </c>
      <c r="D1895" s="12" t="s">
        <v>110</v>
      </c>
      <c r="E1895" s="12" t="s">
        <v>35</v>
      </c>
      <c r="F1895" s="12">
        <v>0</v>
      </c>
      <c r="G1895" s="12">
        <v>0</v>
      </c>
      <c r="H1895" s="12">
        <v>0</v>
      </c>
      <c r="I1895" s="12">
        <v>0</v>
      </c>
      <c r="J1895" s="12">
        <v>0</v>
      </c>
      <c r="K1895" s="12">
        <v>0</v>
      </c>
      <c r="L1895" s="12">
        <v>0</v>
      </c>
      <c r="M1895" s="12">
        <v>-124</v>
      </c>
      <c r="N1895" s="12">
        <v>0</v>
      </c>
      <c r="O1895" s="12">
        <v>0</v>
      </c>
      <c r="P1895" s="12">
        <v>-124</v>
      </c>
      <c r="Q1895" s="12">
        <v>-124</v>
      </c>
    </row>
    <row r="1896" spans="1:17" x14ac:dyDescent="0.3">
      <c r="A1896" s="12" t="s">
        <v>93</v>
      </c>
      <c r="B1896" s="12" t="s">
        <v>167</v>
      </c>
      <c r="C1896" s="12" t="s">
        <v>123</v>
      </c>
      <c r="D1896" s="12" t="s">
        <v>97</v>
      </c>
      <c r="F1896" s="12">
        <v>0</v>
      </c>
      <c r="G1896" s="12">
        <v>1428.136591</v>
      </c>
      <c r="H1896" s="12">
        <v>-786.35</v>
      </c>
      <c r="I1896" s="12">
        <v>0</v>
      </c>
      <c r="J1896" s="12">
        <v>0</v>
      </c>
      <c r="K1896" s="12">
        <v>641.78659100000004</v>
      </c>
      <c r="L1896" s="12">
        <v>23347.085396999999</v>
      </c>
      <c r="M1896" s="12">
        <v>-5482.68</v>
      </c>
      <c r="N1896" s="12">
        <v>0</v>
      </c>
      <c r="O1896" s="12">
        <v>0</v>
      </c>
      <c r="P1896" s="12">
        <v>17864.405396999999</v>
      </c>
      <c r="Q1896" s="12">
        <v>18506.191987999999</v>
      </c>
    </row>
    <row r="1897" spans="1:17" x14ac:dyDescent="0.3">
      <c r="A1897" s="12" t="s">
        <v>93</v>
      </c>
      <c r="B1897" s="12" t="s">
        <v>167</v>
      </c>
      <c r="C1897" s="12" t="s">
        <v>123</v>
      </c>
      <c r="D1897" s="12" t="s">
        <v>112</v>
      </c>
      <c r="E1897" s="12" t="s">
        <v>52</v>
      </c>
      <c r="F1897" s="12">
        <v>0</v>
      </c>
      <c r="G1897" s="12">
        <v>0</v>
      </c>
      <c r="H1897" s="12">
        <v>-887.25</v>
      </c>
      <c r="I1897" s="12">
        <v>0</v>
      </c>
      <c r="J1897" s="12">
        <v>0</v>
      </c>
      <c r="K1897" s="12">
        <v>-887.25</v>
      </c>
      <c r="L1897" s="12">
        <v>0</v>
      </c>
      <c r="M1897" s="12">
        <v>-6001.25</v>
      </c>
      <c r="N1897" s="12">
        <v>0</v>
      </c>
      <c r="O1897" s="12">
        <v>0</v>
      </c>
      <c r="P1897" s="12">
        <v>-6001.25</v>
      </c>
      <c r="Q1897" s="12">
        <v>-6888.5</v>
      </c>
    </row>
    <row r="1898" spans="1:17" x14ac:dyDescent="0.3">
      <c r="A1898" s="12" t="s">
        <v>93</v>
      </c>
      <c r="B1898" s="12" t="s">
        <v>167</v>
      </c>
      <c r="C1898" s="12" t="s">
        <v>123</v>
      </c>
      <c r="D1898" s="12" t="s">
        <v>112</v>
      </c>
      <c r="E1898" s="12" t="s">
        <v>53</v>
      </c>
      <c r="F1898" s="12">
        <v>0</v>
      </c>
      <c r="G1898" s="12">
        <v>0</v>
      </c>
      <c r="H1898" s="12">
        <v>0</v>
      </c>
      <c r="I1898" s="12">
        <v>0</v>
      </c>
      <c r="J1898" s="12">
        <v>0</v>
      </c>
      <c r="K1898" s="12">
        <v>0</v>
      </c>
      <c r="L1898" s="12">
        <v>0</v>
      </c>
      <c r="M1898" s="12">
        <v>-1412</v>
      </c>
      <c r="N1898" s="12">
        <v>0</v>
      </c>
      <c r="O1898" s="12">
        <v>0</v>
      </c>
      <c r="P1898" s="12">
        <v>-1412</v>
      </c>
      <c r="Q1898" s="12">
        <v>-1412</v>
      </c>
    </row>
    <row r="1899" spans="1:17" x14ac:dyDescent="0.3">
      <c r="A1899" s="12" t="s">
        <v>93</v>
      </c>
      <c r="B1899" s="12" t="s">
        <v>167</v>
      </c>
      <c r="C1899" s="12" t="s">
        <v>123</v>
      </c>
      <c r="D1899" s="12" t="s">
        <v>97</v>
      </c>
      <c r="F1899" s="12">
        <v>0</v>
      </c>
      <c r="G1899" s="12">
        <v>0</v>
      </c>
      <c r="H1899" s="12">
        <v>-887.25</v>
      </c>
      <c r="I1899" s="12">
        <v>0</v>
      </c>
      <c r="J1899" s="12">
        <v>0</v>
      </c>
      <c r="K1899" s="12">
        <v>-887.25</v>
      </c>
      <c r="L1899" s="12">
        <v>0</v>
      </c>
      <c r="M1899" s="12">
        <v>-7413.25</v>
      </c>
      <c r="N1899" s="12">
        <v>0</v>
      </c>
      <c r="O1899" s="12">
        <v>0</v>
      </c>
      <c r="P1899" s="12">
        <v>-7413.25</v>
      </c>
      <c r="Q1899" s="12">
        <v>-8300.5</v>
      </c>
    </row>
    <row r="1900" spans="1:17" x14ac:dyDescent="0.3">
      <c r="A1900" s="12" t="s">
        <v>93</v>
      </c>
      <c r="B1900" s="12" t="s">
        <v>167</v>
      </c>
      <c r="C1900" s="12" t="s">
        <v>123</v>
      </c>
      <c r="D1900" s="12" t="s">
        <v>115</v>
      </c>
      <c r="F1900" s="12">
        <v>0</v>
      </c>
      <c r="G1900" s="12">
        <v>1428.136591</v>
      </c>
      <c r="H1900" s="12">
        <v>-1673.6</v>
      </c>
      <c r="I1900" s="12">
        <v>0</v>
      </c>
      <c r="J1900" s="12">
        <v>0</v>
      </c>
      <c r="K1900" s="12">
        <v>-245.46340900000001</v>
      </c>
      <c r="L1900" s="12">
        <v>23347.085396999999</v>
      </c>
      <c r="M1900" s="12">
        <v>-12895.93</v>
      </c>
      <c r="N1900" s="12">
        <v>0</v>
      </c>
      <c r="O1900" s="12">
        <v>0</v>
      </c>
      <c r="P1900" s="12">
        <v>10451.155397</v>
      </c>
      <c r="Q1900" s="12">
        <v>10205.691988</v>
      </c>
    </row>
    <row r="1901" spans="1:17" x14ac:dyDescent="0.3">
      <c r="A1901" s="12" t="s">
        <v>93</v>
      </c>
      <c r="B1901" s="12" t="s">
        <v>179</v>
      </c>
      <c r="C1901" s="12" t="s">
        <v>120</v>
      </c>
      <c r="D1901" s="12" t="s">
        <v>180</v>
      </c>
      <c r="E1901" s="12" t="s">
        <v>181</v>
      </c>
      <c r="F1901" s="12" t="s">
        <v>97</v>
      </c>
      <c r="G1901" s="12" t="s">
        <v>182</v>
      </c>
      <c r="H1901" s="12" t="s">
        <v>112</v>
      </c>
    </row>
    <row r="1902" spans="1:17" x14ac:dyDescent="0.3">
      <c r="A1902" s="12" t="s">
        <v>93</v>
      </c>
      <c r="B1902" s="12" t="s">
        <v>179</v>
      </c>
      <c r="C1902" s="12" t="s">
        <v>123</v>
      </c>
      <c r="D1902" s="12" t="s">
        <v>183</v>
      </c>
      <c r="E1902" s="12" t="s">
        <v>184</v>
      </c>
      <c r="F1902" s="12">
        <v>41307.718625000001</v>
      </c>
      <c r="G1902" s="12">
        <v>17343.258624999999</v>
      </c>
      <c r="H1902" s="12">
        <v>23964.46</v>
      </c>
    </row>
    <row r="1903" spans="1:17" x14ac:dyDescent="0.3">
      <c r="A1903" s="12" t="s">
        <v>93</v>
      </c>
      <c r="B1903" s="12" t="s">
        <v>179</v>
      </c>
      <c r="C1903" s="12" t="s">
        <v>123</v>
      </c>
      <c r="D1903" s="12" t="s">
        <v>162</v>
      </c>
      <c r="E1903" s="12" t="s">
        <v>184</v>
      </c>
      <c r="F1903" s="12">
        <v>-3.9</v>
      </c>
      <c r="G1903" s="12">
        <v>-3.9</v>
      </c>
      <c r="H1903" s="12">
        <v>0</v>
      </c>
    </row>
    <row r="1904" spans="1:17" x14ac:dyDescent="0.3">
      <c r="A1904" s="12" t="s">
        <v>93</v>
      </c>
      <c r="B1904" s="12" t="s">
        <v>179</v>
      </c>
      <c r="C1904" s="12" t="s">
        <v>123</v>
      </c>
      <c r="D1904" s="12" t="s">
        <v>774</v>
      </c>
      <c r="E1904" s="12" t="s">
        <v>184</v>
      </c>
      <c r="F1904" s="12">
        <v>250000</v>
      </c>
      <c r="G1904" s="12">
        <v>250000</v>
      </c>
      <c r="H1904" s="12">
        <v>0</v>
      </c>
    </row>
    <row r="1905" spans="1:15" x14ac:dyDescent="0.3">
      <c r="A1905" s="12" t="s">
        <v>93</v>
      </c>
      <c r="B1905" s="12" t="s">
        <v>179</v>
      </c>
      <c r="C1905" s="12" t="s">
        <v>123</v>
      </c>
      <c r="D1905" s="12" t="s">
        <v>185</v>
      </c>
      <c r="E1905" s="12" t="s">
        <v>184</v>
      </c>
      <c r="F1905" s="12">
        <v>0</v>
      </c>
      <c r="G1905" s="12">
        <v>-17142.41</v>
      </c>
      <c r="H1905" s="12">
        <v>17142.41</v>
      </c>
    </row>
    <row r="1906" spans="1:15" x14ac:dyDescent="0.3">
      <c r="A1906" s="12" t="s">
        <v>93</v>
      </c>
      <c r="B1906" s="12" t="s">
        <v>179</v>
      </c>
      <c r="C1906" s="12" t="s">
        <v>123</v>
      </c>
      <c r="D1906" s="12" t="s">
        <v>157</v>
      </c>
      <c r="E1906" s="12" t="s">
        <v>184</v>
      </c>
      <c r="F1906" s="12">
        <v>156.61000000000001</v>
      </c>
      <c r="G1906" s="12">
        <v>156.61000000000001</v>
      </c>
      <c r="H1906" s="12">
        <v>0</v>
      </c>
    </row>
    <row r="1907" spans="1:15" x14ac:dyDescent="0.3">
      <c r="A1907" s="12" t="s">
        <v>93</v>
      </c>
      <c r="B1907" s="12" t="s">
        <v>179</v>
      </c>
      <c r="C1907" s="12" t="s">
        <v>123</v>
      </c>
      <c r="D1907" s="12" t="s">
        <v>116</v>
      </c>
      <c r="E1907" s="12" t="s">
        <v>184</v>
      </c>
      <c r="F1907" s="12">
        <v>-0.01</v>
      </c>
      <c r="G1907" s="12">
        <v>-0.01</v>
      </c>
      <c r="H1907" s="12">
        <v>0</v>
      </c>
    </row>
    <row r="1908" spans="1:15" x14ac:dyDescent="0.3">
      <c r="A1908" s="12" t="s">
        <v>93</v>
      </c>
      <c r="B1908" s="12" t="s">
        <v>179</v>
      </c>
      <c r="C1908" s="12" t="s">
        <v>123</v>
      </c>
      <c r="D1908" s="12" t="s">
        <v>186</v>
      </c>
      <c r="E1908" s="12" t="s">
        <v>184</v>
      </c>
      <c r="F1908" s="12">
        <v>-13100.5</v>
      </c>
      <c r="G1908" s="12">
        <v>0</v>
      </c>
      <c r="H1908" s="12">
        <v>-13100.5</v>
      </c>
    </row>
    <row r="1909" spans="1:15" x14ac:dyDescent="0.3">
      <c r="A1909" s="12" t="s">
        <v>93</v>
      </c>
      <c r="B1909" s="12" t="s">
        <v>179</v>
      </c>
      <c r="C1909" s="12" t="s">
        <v>123</v>
      </c>
      <c r="D1909" s="12" t="s">
        <v>187</v>
      </c>
      <c r="E1909" s="12" t="s">
        <v>184</v>
      </c>
      <c r="F1909" s="12">
        <v>24929.702499999999</v>
      </c>
      <c r="G1909" s="12">
        <v>24929.702499999999</v>
      </c>
      <c r="H1909" s="12">
        <v>0</v>
      </c>
    </row>
    <row r="1910" spans="1:15" x14ac:dyDescent="0.3">
      <c r="A1910" s="12" t="s">
        <v>93</v>
      </c>
      <c r="B1910" s="12" t="s">
        <v>179</v>
      </c>
      <c r="C1910" s="12" t="s">
        <v>123</v>
      </c>
      <c r="D1910" s="12" t="s">
        <v>188</v>
      </c>
      <c r="E1910" s="12" t="s">
        <v>184</v>
      </c>
      <c r="F1910" s="12">
        <v>-242921.87</v>
      </c>
      <c r="G1910" s="12">
        <v>-242921.87</v>
      </c>
      <c r="H1910" s="12">
        <v>0</v>
      </c>
    </row>
    <row r="1911" spans="1:15" x14ac:dyDescent="0.3">
      <c r="A1911" s="12" t="s">
        <v>93</v>
      </c>
      <c r="B1911" s="12" t="s">
        <v>179</v>
      </c>
      <c r="C1911" s="12" t="s">
        <v>123</v>
      </c>
      <c r="D1911" s="12" t="s">
        <v>158</v>
      </c>
      <c r="E1911" s="12" t="s">
        <v>184</v>
      </c>
      <c r="F1911" s="12">
        <v>-39.17</v>
      </c>
      <c r="G1911" s="12">
        <v>-39.17</v>
      </c>
      <c r="H1911" s="12">
        <v>0</v>
      </c>
    </row>
    <row r="1912" spans="1:15" x14ac:dyDescent="0.3">
      <c r="A1912" s="12" t="s">
        <v>93</v>
      </c>
      <c r="B1912" s="12" t="s">
        <v>179</v>
      </c>
      <c r="C1912" s="12" t="s">
        <v>123</v>
      </c>
      <c r="D1912" s="12" t="s">
        <v>189</v>
      </c>
      <c r="E1912" s="12" t="s">
        <v>184</v>
      </c>
      <c r="F1912" s="12">
        <v>60328.581124999997</v>
      </c>
      <c r="G1912" s="12">
        <v>32322.211125000002</v>
      </c>
      <c r="H1912" s="12">
        <v>28006.37</v>
      </c>
    </row>
    <row r="1913" spans="1:15" x14ac:dyDescent="0.3">
      <c r="A1913" s="12" t="s">
        <v>93</v>
      </c>
      <c r="B1913" s="12" t="s">
        <v>179</v>
      </c>
      <c r="C1913" s="12" t="s">
        <v>123</v>
      </c>
      <c r="D1913" s="12" t="s">
        <v>190</v>
      </c>
      <c r="E1913" s="12" t="s">
        <v>184</v>
      </c>
      <c r="F1913" s="12">
        <v>62785.581124999997</v>
      </c>
      <c r="G1913" s="12">
        <v>32322.211125000002</v>
      </c>
      <c r="H1913" s="12">
        <v>30463.37</v>
      </c>
    </row>
    <row r="1914" spans="1:15" x14ac:dyDescent="0.3">
      <c r="A1914" s="12" t="s">
        <v>93</v>
      </c>
      <c r="B1914" s="12" t="s">
        <v>191</v>
      </c>
      <c r="C1914" s="12" t="s">
        <v>120</v>
      </c>
      <c r="D1914" s="12" t="s">
        <v>192</v>
      </c>
      <c r="E1914" s="12" t="s">
        <v>100</v>
      </c>
      <c r="F1914" s="12" t="s">
        <v>181</v>
      </c>
      <c r="G1914" s="12" t="s">
        <v>0</v>
      </c>
      <c r="H1914" s="12" t="s">
        <v>193</v>
      </c>
      <c r="I1914" s="12" t="s">
        <v>194</v>
      </c>
      <c r="J1914" s="12" t="s">
        <v>195</v>
      </c>
      <c r="K1914" s="12" t="s">
        <v>196</v>
      </c>
      <c r="L1914" s="12" t="s">
        <v>197</v>
      </c>
      <c r="M1914" s="12" t="s">
        <v>198</v>
      </c>
      <c r="N1914" s="12" t="s">
        <v>199</v>
      </c>
      <c r="O1914" s="12" t="s">
        <v>165</v>
      </c>
    </row>
    <row r="1915" spans="1:15" x14ac:dyDescent="0.3">
      <c r="A1915" s="12" t="s">
        <v>93</v>
      </c>
      <c r="B1915" s="12" t="s">
        <v>191</v>
      </c>
      <c r="C1915" s="12" t="s">
        <v>123</v>
      </c>
      <c r="D1915" s="12" t="s">
        <v>200</v>
      </c>
      <c r="E1915" s="12" t="s">
        <v>110</v>
      </c>
      <c r="F1915" s="12" t="s">
        <v>114</v>
      </c>
      <c r="G1915" s="12" t="s">
        <v>2</v>
      </c>
      <c r="H1915" s="12">
        <v>72</v>
      </c>
      <c r="I1915" s="12">
        <v>1</v>
      </c>
      <c r="J1915" s="12">
        <v>183.47499999999999</v>
      </c>
      <c r="K1915" s="12">
        <v>13210.2</v>
      </c>
      <c r="L1915" s="12">
        <v>192.25</v>
      </c>
      <c r="M1915" s="12">
        <v>13842</v>
      </c>
      <c r="N1915" s="12">
        <v>631.79999999999995</v>
      </c>
    </row>
    <row r="1916" spans="1:15" x14ac:dyDescent="0.3">
      <c r="A1916" s="12" t="s">
        <v>93</v>
      </c>
      <c r="B1916" s="12" t="s">
        <v>191</v>
      </c>
      <c r="C1916" s="12" t="s">
        <v>123</v>
      </c>
      <c r="D1916" s="12" t="s">
        <v>200</v>
      </c>
      <c r="E1916" s="12" t="s">
        <v>110</v>
      </c>
      <c r="F1916" s="12" t="s">
        <v>114</v>
      </c>
      <c r="G1916" s="12" t="s">
        <v>45</v>
      </c>
      <c r="H1916" s="12">
        <v>55</v>
      </c>
      <c r="I1916" s="12">
        <v>1</v>
      </c>
      <c r="J1916" s="12">
        <v>163.088545455</v>
      </c>
      <c r="K1916" s="12">
        <v>8969.8700000000008</v>
      </c>
      <c r="L1916" s="12">
        <v>166.9</v>
      </c>
      <c r="M1916" s="12">
        <v>9179.5</v>
      </c>
      <c r="N1916" s="12">
        <v>209.63</v>
      </c>
    </row>
    <row r="1917" spans="1:15" x14ac:dyDescent="0.3">
      <c r="A1917" s="12" t="s">
        <v>93</v>
      </c>
      <c r="B1917" s="12" t="s">
        <v>191</v>
      </c>
      <c r="C1917" s="12" t="s">
        <v>123</v>
      </c>
      <c r="D1917" s="12" t="s">
        <v>200</v>
      </c>
      <c r="E1917" s="12" t="s">
        <v>110</v>
      </c>
      <c r="F1917" s="12" t="s">
        <v>114</v>
      </c>
      <c r="G1917" s="12" t="s">
        <v>5</v>
      </c>
      <c r="H1917" s="12">
        <v>128</v>
      </c>
      <c r="I1917" s="12">
        <v>1</v>
      </c>
      <c r="J1917" s="12">
        <v>180.054648437</v>
      </c>
      <c r="K1917" s="12">
        <v>23046.994999999999</v>
      </c>
      <c r="L1917" s="12">
        <v>176.44</v>
      </c>
      <c r="M1917" s="12">
        <v>22584.32</v>
      </c>
      <c r="N1917" s="12">
        <v>-462.67500000000001</v>
      </c>
    </row>
    <row r="1918" spans="1:15" x14ac:dyDescent="0.3">
      <c r="A1918" s="12" t="s">
        <v>93</v>
      </c>
      <c r="B1918" s="12" t="s">
        <v>191</v>
      </c>
      <c r="C1918" s="12" t="s">
        <v>123</v>
      </c>
      <c r="D1918" s="12" t="s">
        <v>200</v>
      </c>
      <c r="E1918" s="12" t="s">
        <v>110</v>
      </c>
      <c r="F1918" s="12" t="s">
        <v>114</v>
      </c>
      <c r="G1918" s="12" t="s">
        <v>58</v>
      </c>
      <c r="H1918" s="12">
        <v>50</v>
      </c>
      <c r="I1918" s="12">
        <v>1</v>
      </c>
      <c r="J1918" s="12">
        <v>105.48</v>
      </c>
      <c r="K1918" s="12">
        <v>5274</v>
      </c>
      <c r="L1918" s="12">
        <v>120.52</v>
      </c>
      <c r="M1918" s="12">
        <v>6026</v>
      </c>
      <c r="N1918" s="12">
        <v>752</v>
      </c>
    </row>
    <row r="1919" spans="1:15" x14ac:dyDescent="0.3">
      <c r="A1919" s="12" t="s">
        <v>93</v>
      </c>
      <c r="B1919" s="12" t="s">
        <v>191</v>
      </c>
      <c r="C1919" s="12" t="s">
        <v>123</v>
      </c>
      <c r="D1919" s="12" t="s">
        <v>200</v>
      </c>
      <c r="E1919" s="12" t="s">
        <v>110</v>
      </c>
      <c r="F1919" s="12" t="s">
        <v>114</v>
      </c>
      <c r="G1919" s="12" t="s">
        <v>7</v>
      </c>
      <c r="H1919" s="12">
        <v>6</v>
      </c>
      <c r="I1919" s="12">
        <v>1</v>
      </c>
      <c r="J1919" s="12">
        <v>1347.6</v>
      </c>
      <c r="K1919" s="12">
        <v>8085.6</v>
      </c>
      <c r="L1919" s="12">
        <v>1328.55</v>
      </c>
      <c r="M1919" s="12">
        <v>7971.3</v>
      </c>
      <c r="N1919" s="12">
        <v>-114.3</v>
      </c>
    </row>
    <row r="1920" spans="1:15" x14ac:dyDescent="0.3">
      <c r="A1920" s="12" t="s">
        <v>93</v>
      </c>
      <c r="B1920" s="12" t="s">
        <v>191</v>
      </c>
      <c r="C1920" s="12" t="s">
        <v>123</v>
      </c>
      <c r="D1920" s="12" t="s">
        <v>200</v>
      </c>
      <c r="E1920" s="12" t="s">
        <v>110</v>
      </c>
      <c r="F1920" s="12" t="s">
        <v>114</v>
      </c>
      <c r="G1920" s="12" t="s">
        <v>8</v>
      </c>
      <c r="H1920" s="12">
        <v>391</v>
      </c>
      <c r="I1920" s="12">
        <v>1</v>
      </c>
      <c r="J1920" s="12">
        <v>34.589480817999998</v>
      </c>
      <c r="K1920" s="12">
        <v>13524.486999999999</v>
      </c>
      <c r="L1920" s="12">
        <v>39.99</v>
      </c>
      <c r="M1920" s="12">
        <v>15636.09</v>
      </c>
      <c r="N1920" s="12">
        <v>2111.6030000000001</v>
      </c>
    </row>
    <row r="1921" spans="1:14" x14ac:dyDescent="0.3">
      <c r="A1921" s="12" t="s">
        <v>93</v>
      </c>
      <c r="B1921" s="12" t="s">
        <v>191</v>
      </c>
      <c r="C1921" s="12" t="s">
        <v>123</v>
      </c>
      <c r="D1921" s="12" t="s">
        <v>200</v>
      </c>
      <c r="E1921" s="12" t="s">
        <v>110</v>
      </c>
      <c r="F1921" s="12" t="s">
        <v>114</v>
      </c>
      <c r="G1921" s="12" t="s">
        <v>3</v>
      </c>
      <c r="H1921" s="12">
        <v>166</v>
      </c>
      <c r="I1921" s="12">
        <v>1</v>
      </c>
      <c r="J1921" s="12">
        <v>57.494032885999999</v>
      </c>
      <c r="K1921" s="12">
        <v>9544.0094590000008</v>
      </c>
      <c r="L1921" s="12">
        <v>62.31</v>
      </c>
      <c r="M1921" s="12">
        <v>10343.459999999999</v>
      </c>
      <c r="N1921" s="12">
        <v>799.45054100000004</v>
      </c>
    </row>
    <row r="1922" spans="1:14" x14ac:dyDescent="0.3">
      <c r="A1922" s="12" t="s">
        <v>93</v>
      </c>
      <c r="B1922" s="12" t="s">
        <v>191</v>
      </c>
      <c r="C1922" s="12" t="s">
        <v>123</v>
      </c>
      <c r="D1922" s="12" t="s">
        <v>200</v>
      </c>
      <c r="E1922" s="12" t="s">
        <v>110</v>
      </c>
      <c r="F1922" s="12" t="s">
        <v>114</v>
      </c>
      <c r="G1922" s="12" t="s">
        <v>46</v>
      </c>
      <c r="H1922" s="12">
        <v>24</v>
      </c>
      <c r="I1922" s="12">
        <v>1</v>
      </c>
      <c r="J1922" s="12">
        <v>350.27583333299998</v>
      </c>
      <c r="K1922" s="12">
        <v>8406.6200000000008</v>
      </c>
      <c r="L1922" s="12">
        <v>338.52</v>
      </c>
      <c r="M1922" s="12">
        <v>8124.48</v>
      </c>
      <c r="N1922" s="12">
        <v>-282.14</v>
      </c>
    </row>
    <row r="1923" spans="1:14" x14ac:dyDescent="0.3">
      <c r="A1923" s="12" t="s">
        <v>93</v>
      </c>
      <c r="B1923" s="12" t="s">
        <v>191</v>
      </c>
      <c r="C1923" s="12" t="s">
        <v>123</v>
      </c>
      <c r="D1923" s="12" t="s">
        <v>200</v>
      </c>
      <c r="E1923" s="12" t="s">
        <v>110</v>
      </c>
      <c r="F1923" s="12" t="s">
        <v>114</v>
      </c>
      <c r="G1923" s="12" t="s">
        <v>11</v>
      </c>
      <c r="H1923" s="12">
        <v>5</v>
      </c>
      <c r="I1923" s="12">
        <v>1</v>
      </c>
      <c r="J1923" s="12">
        <v>783.5</v>
      </c>
      <c r="K1923" s="12">
        <v>3917.5</v>
      </c>
      <c r="L1923" s="12">
        <v>809.89</v>
      </c>
      <c r="M1923" s="12">
        <v>4049.45</v>
      </c>
      <c r="N1923" s="12">
        <v>131.94999999999999</v>
      </c>
    </row>
    <row r="1924" spans="1:14" x14ac:dyDescent="0.3">
      <c r="A1924" s="12" t="s">
        <v>93</v>
      </c>
      <c r="B1924" s="12" t="s">
        <v>191</v>
      </c>
      <c r="C1924" s="12" t="s">
        <v>123</v>
      </c>
      <c r="D1924" s="12" t="s">
        <v>200</v>
      </c>
      <c r="E1924" s="12" t="s">
        <v>110</v>
      </c>
      <c r="F1924" s="12" t="s">
        <v>114</v>
      </c>
      <c r="G1924" s="12" t="s">
        <v>14</v>
      </c>
      <c r="H1924" s="12">
        <v>30</v>
      </c>
      <c r="I1924" s="12">
        <v>1</v>
      </c>
      <c r="J1924" s="12">
        <v>253.11</v>
      </c>
      <c r="K1924" s="12">
        <v>7593.3</v>
      </c>
      <c r="L1924" s="12">
        <v>256.8</v>
      </c>
      <c r="M1924" s="12">
        <v>7704</v>
      </c>
      <c r="N1924" s="12">
        <v>110.7</v>
      </c>
    </row>
    <row r="1925" spans="1:14" x14ac:dyDescent="0.3">
      <c r="A1925" s="12" t="s">
        <v>93</v>
      </c>
      <c r="B1925" s="12" t="s">
        <v>191</v>
      </c>
      <c r="C1925" s="12" t="s">
        <v>123</v>
      </c>
      <c r="D1925" s="12" t="s">
        <v>200</v>
      </c>
      <c r="E1925" s="12" t="s">
        <v>110</v>
      </c>
      <c r="F1925" s="12" t="s">
        <v>114</v>
      </c>
      <c r="G1925" s="12" t="s">
        <v>18</v>
      </c>
      <c r="H1925" s="12">
        <v>19</v>
      </c>
      <c r="I1925" s="12">
        <v>1</v>
      </c>
      <c r="J1925" s="12">
        <v>266.143157895</v>
      </c>
      <c r="K1925" s="12">
        <v>5056.72</v>
      </c>
      <c r="L1925" s="12">
        <v>299.77</v>
      </c>
      <c r="M1925" s="12">
        <v>5695.63</v>
      </c>
      <c r="N1925" s="12">
        <v>638.91</v>
      </c>
    </row>
    <row r="1926" spans="1:14" x14ac:dyDescent="0.3">
      <c r="A1926" s="12" t="s">
        <v>93</v>
      </c>
      <c r="B1926" s="12" t="s">
        <v>191</v>
      </c>
      <c r="C1926" s="12" t="s">
        <v>123</v>
      </c>
      <c r="D1926" s="12" t="s">
        <v>200</v>
      </c>
      <c r="E1926" s="12" t="s">
        <v>110</v>
      </c>
      <c r="F1926" s="12" t="s">
        <v>114</v>
      </c>
      <c r="G1926" s="12" t="s">
        <v>48</v>
      </c>
      <c r="H1926" s="12">
        <v>75</v>
      </c>
      <c r="I1926" s="12">
        <v>1</v>
      </c>
      <c r="J1926" s="12">
        <v>151.037292933</v>
      </c>
      <c r="K1926" s="12">
        <v>11327.796969999999</v>
      </c>
      <c r="L1926" s="12">
        <v>165.14</v>
      </c>
      <c r="M1926" s="12">
        <v>12385.5</v>
      </c>
      <c r="N1926" s="12">
        <v>1057.7030299999999</v>
      </c>
    </row>
    <row r="1927" spans="1:14" x14ac:dyDescent="0.3">
      <c r="A1927" s="12" t="s">
        <v>93</v>
      </c>
      <c r="B1927" s="12" t="s">
        <v>191</v>
      </c>
      <c r="C1927" s="12" t="s">
        <v>123</v>
      </c>
      <c r="D1927" s="12" t="s">
        <v>200</v>
      </c>
      <c r="E1927" s="12" t="s">
        <v>110</v>
      </c>
      <c r="F1927" s="12" t="s">
        <v>114</v>
      </c>
      <c r="G1927" s="12" t="s">
        <v>54</v>
      </c>
      <c r="H1927" s="12">
        <v>46</v>
      </c>
      <c r="I1927" s="12">
        <v>1</v>
      </c>
      <c r="J1927" s="12">
        <v>156.26745454300001</v>
      </c>
      <c r="K1927" s="12">
        <v>7188.302909</v>
      </c>
      <c r="L1927" s="12">
        <v>175.9</v>
      </c>
      <c r="M1927" s="12">
        <v>8091.4</v>
      </c>
      <c r="N1927" s="12">
        <v>903.09709099999998</v>
      </c>
    </row>
    <row r="1928" spans="1:14" x14ac:dyDescent="0.3">
      <c r="A1928" s="12" t="s">
        <v>93</v>
      </c>
      <c r="B1928" s="12" t="s">
        <v>191</v>
      </c>
      <c r="C1928" s="12" t="s">
        <v>123</v>
      </c>
      <c r="D1928" s="12" t="s">
        <v>200</v>
      </c>
      <c r="E1928" s="12" t="s">
        <v>110</v>
      </c>
      <c r="F1928" s="12" t="s">
        <v>114</v>
      </c>
      <c r="G1928" s="12" t="s">
        <v>19</v>
      </c>
      <c r="H1928" s="12">
        <v>124</v>
      </c>
      <c r="I1928" s="12">
        <v>1</v>
      </c>
      <c r="J1928" s="12">
        <v>157.59459903999999</v>
      </c>
      <c r="K1928" s="12">
        <v>19541.730281</v>
      </c>
      <c r="L1928" s="12">
        <v>172.5</v>
      </c>
      <c r="M1928" s="12">
        <v>21390</v>
      </c>
      <c r="N1928" s="12">
        <v>1848.2697189999999</v>
      </c>
    </row>
    <row r="1929" spans="1:14" x14ac:dyDescent="0.3">
      <c r="A1929" s="12" t="s">
        <v>93</v>
      </c>
      <c r="B1929" s="12" t="s">
        <v>191</v>
      </c>
      <c r="C1929" s="12" t="s">
        <v>123</v>
      </c>
      <c r="D1929" s="12" t="s">
        <v>200</v>
      </c>
      <c r="E1929" s="12" t="s">
        <v>110</v>
      </c>
      <c r="F1929" s="12" t="s">
        <v>114</v>
      </c>
      <c r="G1929" s="12" t="s">
        <v>20</v>
      </c>
      <c r="H1929" s="12">
        <v>11</v>
      </c>
      <c r="I1929" s="12">
        <v>1</v>
      </c>
      <c r="J1929" s="12">
        <v>339.08818181800001</v>
      </c>
      <c r="K1929" s="12">
        <v>3729.97</v>
      </c>
      <c r="L1929" s="12">
        <v>334.87</v>
      </c>
      <c r="M1929" s="12">
        <v>3683.57</v>
      </c>
      <c r="N1929" s="12">
        <v>-46.4</v>
      </c>
    </row>
    <row r="1930" spans="1:14" x14ac:dyDescent="0.3">
      <c r="A1930" s="12" t="s">
        <v>93</v>
      </c>
      <c r="B1930" s="12" t="s">
        <v>191</v>
      </c>
      <c r="C1930" s="12" t="s">
        <v>123</v>
      </c>
      <c r="D1930" s="12" t="s">
        <v>200</v>
      </c>
      <c r="E1930" s="12" t="s">
        <v>110</v>
      </c>
      <c r="F1930" s="12" t="s">
        <v>114</v>
      </c>
      <c r="G1930" s="12" t="s">
        <v>22</v>
      </c>
      <c r="H1930" s="12">
        <v>83</v>
      </c>
      <c r="I1930" s="12">
        <v>1</v>
      </c>
      <c r="J1930" s="12">
        <v>60.662999999999997</v>
      </c>
      <c r="K1930" s="12">
        <v>5035.0290000000005</v>
      </c>
      <c r="L1930" s="12">
        <v>84.65</v>
      </c>
      <c r="M1930" s="12">
        <v>7025.95</v>
      </c>
      <c r="N1930" s="12">
        <v>1990.921</v>
      </c>
    </row>
    <row r="1931" spans="1:14" x14ac:dyDescent="0.3">
      <c r="A1931" s="12" t="s">
        <v>93</v>
      </c>
      <c r="B1931" s="12" t="s">
        <v>191</v>
      </c>
      <c r="C1931" s="12" t="s">
        <v>123</v>
      </c>
      <c r="D1931" s="12" t="s">
        <v>200</v>
      </c>
      <c r="E1931" s="12" t="s">
        <v>110</v>
      </c>
      <c r="F1931" s="12" t="s">
        <v>114</v>
      </c>
      <c r="G1931" s="12" t="s">
        <v>37</v>
      </c>
      <c r="H1931" s="12">
        <v>30</v>
      </c>
      <c r="I1931" s="12">
        <v>1</v>
      </c>
      <c r="J1931" s="12">
        <v>178.93333333300001</v>
      </c>
      <c r="K1931" s="12">
        <v>5368</v>
      </c>
      <c r="L1931" s="12">
        <v>166.85</v>
      </c>
      <c r="M1931" s="12">
        <v>5005.5</v>
      </c>
      <c r="N1931" s="12">
        <v>-362.5</v>
      </c>
    </row>
    <row r="1932" spans="1:14" x14ac:dyDescent="0.3">
      <c r="A1932" s="12" t="s">
        <v>93</v>
      </c>
      <c r="B1932" s="12" t="s">
        <v>191</v>
      </c>
      <c r="C1932" s="12" t="s">
        <v>123</v>
      </c>
      <c r="D1932" s="12" t="s">
        <v>200</v>
      </c>
      <c r="E1932" s="12" t="s">
        <v>110</v>
      </c>
      <c r="F1932" s="12" t="s">
        <v>114</v>
      </c>
      <c r="G1932" s="12" t="s">
        <v>24</v>
      </c>
      <c r="H1932" s="12">
        <v>50</v>
      </c>
      <c r="I1932" s="12">
        <v>1</v>
      </c>
      <c r="J1932" s="12">
        <v>80.665750000000003</v>
      </c>
      <c r="K1932" s="12">
        <v>4033.2874999999999</v>
      </c>
      <c r="L1932" s="12">
        <v>93.05</v>
      </c>
      <c r="M1932" s="12">
        <v>4652.5</v>
      </c>
      <c r="N1932" s="12">
        <v>619.21249999999998</v>
      </c>
    </row>
    <row r="1933" spans="1:14" x14ac:dyDescent="0.3">
      <c r="A1933" s="12" t="s">
        <v>93</v>
      </c>
      <c r="B1933" s="12" t="s">
        <v>191</v>
      </c>
      <c r="C1933" s="12" t="s">
        <v>123</v>
      </c>
      <c r="D1933" s="12" t="s">
        <v>200</v>
      </c>
      <c r="E1933" s="12" t="s">
        <v>110</v>
      </c>
      <c r="F1933" s="12" t="s">
        <v>114</v>
      </c>
      <c r="G1933" s="12" t="s">
        <v>59</v>
      </c>
      <c r="H1933" s="12">
        <v>100</v>
      </c>
      <c r="I1933" s="12">
        <v>1</v>
      </c>
      <c r="J1933" s="12">
        <v>63.17</v>
      </c>
      <c r="K1933" s="12">
        <v>6317</v>
      </c>
      <c r="L1933" s="12">
        <v>62.93</v>
      </c>
      <c r="M1933" s="12">
        <v>6293</v>
      </c>
      <c r="N1933" s="12">
        <v>-24</v>
      </c>
    </row>
    <row r="1934" spans="1:14" x14ac:dyDescent="0.3">
      <c r="A1934" s="12" t="s">
        <v>93</v>
      </c>
      <c r="B1934" s="12" t="s">
        <v>191</v>
      </c>
      <c r="C1934" s="12" t="s">
        <v>123</v>
      </c>
      <c r="D1934" s="12" t="s">
        <v>200</v>
      </c>
      <c r="E1934" s="12" t="s">
        <v>110</v>
      </c>
      <c r="F1934" s="12" t="s">
        <v>114</v>
      </c>
      <c r="G1934" s="12" t="s">
        <v>49</v>
      </c>
      <c r="H1934" s="12">
        <v>10</v>
      </c>
      <c r="I1934" s="12">
        <v>1</v>
      </c>
      <c r="J1934" s="12">
        <v>760.73800000000006</v>
      </c>
      <c r="K1934" s="12">
        <v>7607.38</v>
      </c>
      <c r="L1934" s="12">
        <v>820.34</v>
      </c>
      <c r="M1934" s="12">
        <v>8203.4</v>
      </c>
      <c r="N1934" s="12">
        <v>596.02</v>
      </c>
    </row>
    <row r="1935" spans="1:14" x14ac:dyDescent="0.3">
      <c r="A1935" s="12" t="s">
        <v>93</v>
      </c>
      <c r="B1935" s="12" t="s">
        <v>191</v>
      </c>
      <c r="C1935" s="12" t="s">
        <v>123</v>
      </c>
      <c r="D1935" s="12" t="s">
        <v>200</v>
      </c>
      <c r="E1935" s="12" t="s">
        <v>110</v>
      </c>
      <c r="F1935" s="12" t="s">
        <v>114</v>
      </c>
      <c r="G1935" s="12" t="s">
        <v>26</v>
      </c>
      <c r="H1935" s="12">
        <v>20</v>
      </c>
      <c r="I1935" s="12">
        <v>1</v>
      </c>
      <c r="J1935" s="12">
        <v>391.84750000000003</v>
      </c>
      <c r="K1935" s="12">
        <v>7836.95</v>
      </c>
      <c r="L1935" s="12">
        <v>396.99</v>
      </c>
      <c r="M1935" s="12">
        <v>7939.8</v>
      </c>
      <c r="N1935" s="12">
        <v>102.85</v>
      </c>
    </row>
    <row r="1936" spans="1:14" x14ac:dyDescent="0.3">
      <c r="A1936" s="12" t="s">
        <v>93</v>
      </c>
      <c r="B1936" s="12" t="s">
        <v>191</v>
      </c>
      <c r="C1936" s="12" t="s">
        <v>123</v>
      </c>
      <c r="D1936" s="12" t="s">
        <v>200</v>
      </c>
      <c r="E1936" s="12" t="s">
        <v>110</v>
      </c>
      <c r="F1936" s="12" t="s">
        <v>114</v>
      </c>
      <c r="G1936" s="12" t="s">
        <v>27</v>
      </c>
      <c r="H1936" s="12">
        <v>44</v>
      </c>
      <c r="I1936" s="12">
        <v>1</v>
      </c>
      <c r="J1936" s="12">
        <v>444.88752163599997</v>
      </c>
      <c r="K1936" s="12">
        <v>19575.050952000001</v>
      </c>
      <c r="L1936" s="12">
        <v>466.83</v>
      </c>
      <c r="M1936" s="12">
        <v>20540.52</v>
      </c>
      <c r="N1936" s="12">
        <v>965.46904800000004</v>
      </c>
    </row>
    <row r="1937" spans="1:15" x14ac:dyDescent="0.3">
      <c r="A1937" s="12" t="s">
        <v>93</v>
      </c>
      <c r="B1937" s="12" t="s">
        <v>191</v>
      </c>
      <c r="C1937" s="12" t="s">
        <v>123</v>
      </c>
      <c r="D1937" s="12" t="s">
        <v>200</v>
      </c>
      <c r="E1937" s="12" t="s">
        <v>110</v>
      </c>
      <c r="F1937" s="12" t="s">
        <v>114</v>
      </c>
      <c r="G1937" s="12" t="s">
        <v>28</v>
      </c>
      <c r="H1937" s="12">
        <v>49</v>
      </c>
      <c r="I1937" s="12">
        <v>1</v>
      </c>
      <c r="J1937" s="12">
        <v>381.51555185699999</v>
      </c>
      <c r="K1937" s="12">
        <v>18694.262041000002</v>
      </c>
      <c r="L1937" s="12">
        <v>415.13</v>
      </c>
      <c r="M1937" s="12">
        <v>20341.37</v>
      </c>
      <c r="N1937" s="12">
        <v>1647.1079589999999</v>
      </c>
    </row>
    <row r="1938" spans="1:15" x14ac:dyDescent="0.3">
      <c r="A1938" s="12" t="s">
        <v>93</v>
      </c>
      <c r="B1938" s="12" t="s">
        <v>191</v>
      </c>
      <c r="C1938" s="12" t="s">
        <v>123</v>
      </c>
      <c r="D1938" s="12" t="s">
        <v>200</v>
      </c>
      <c r="E1938" s="12" t="s">
        <v>110</v>
      </c>
      <c r="F1938" s="12" t="s">
        <v>114</v>
      </c>
      <c r="G1938" s="12" t="s">
        <v>55</v>
      </c>
      <c r="H1938" s="12">
        <v>80</v>
      </c>
      <c r="I1938" s="12">
        <v>1</v>
      </c>
      <c r="J1938" s="12">
        <v>121.50275000000001</v>
      </c>
      <c r="K1938" s="12">
        <v>9720.2199999999993</v>
      </c>
      <c r="L1938" s="12">
        <v>125</v>
      </c>
      <c r="M1938" s="12">
        <v>10000</v>
      </c>
      <c r="N1938" s="12">
        <v>279.77999999999997</v>
      </c>
    </row>
    <row r="1939" spans="1:15" x14ac:dyDescent="0.3">
      <c r="A1939" s="12" t="s">
        <v>93</v>
      </c>
      <c r="B1939" s="12" t="s">
        <v>191</v>
      </c>
      <c r="C1939" s="12" t="s">
        <v>123</v>
      </c>
      <c r="D1939" s="12" t="s">
        <v>200</v>
      </c>
      <c r="E1939" s="12" t="s">
        <v>110</v>
      </c>
      <c r="F1939" s="12" t="s">
        <v>114</v>
      </c>
      <c r="G1939" s="12" t="s">
        <v>50</v>
      </c>
      <c r="H1939" s="12">
        <v>12</v>
      </c>
      <c r="I1939" s="12">
        <v>1</v>
      </c>
      <c r="J1939" s="12">
        <v>739.80833333299995</v>
      </c>
      <c r="K1939" s="12">
        <v>8877.7000000000007</v>
      </c>
      <c r="L1939" s="12">
        <v>656.93</v>
      </c>
      <c r="M1939" s="12">
        <v>7883.16</v>
      </c>
      <c r="N1939" s="12">
        <v>-994.54</v>
      </c>
    </row>
    <row r="1940" spans="1:15" x14ac:dyDescent="0.3">
      <c r="A1940" s="12" t="s">
        <v>93</v>
      </c>
      <c r="B1940" s="12" t="s">
        <v>191</v>
      </c>
      <c r="C1940" s="12" t="s">
        <v>123</v>
      </c>
      <c r="D1940" s="12" t="s">
        <v>200</v>
      </c>
      <c r="E1940" s="12" t="s">
        <v>110</v>
      </c>
      <c r="F1940" s="12" t="s">
        <v>114</v>
      </c>
      <c r="G1940" s="12" t="s">
        <v>56</v>
      </c>
      <c r="H1940" s="12">
        <v>50</v>
      </c>
      <c r="I1940" s="12">
        <v>1</v>
      </c>
      <c r="J1940" s="12">
        <v>126.538</v>
      </c>
      <c r="K1940" s="12">
        <v>6326.9</v>
      </c>
      <c r="L1940" s="12">
        <v>135.28</v>
      </c>
      <c r="M1940" s="12">
        <v>6764</v>
      </c>
      <c r="N1940" s="12">
        <v>437.1</v>
      </c>
    </row>
    <row r="1941" spans="1:15" x14ac:dyDescent="0.3">
      <c r="A1941" s="12" t="s">
        <v>93</v>
      </c>
      <c r="B1941" s="12" t="s">
        <v>191</v>
      </c>
      <c r="C1941" s="12" t="s">
        <v>123</v>
      </c>
      <c r="D1941" s="12" t="s">
        <v>200</v>
      </c>
      <c r="E1941" s="12" t="s">
        <v>110</v>
      </c>
      <c r="F1941" s="12" t="s">
        <v>114</v>
      </c>
      <c r="G1941" s="12" t="s">
        <v>57</v>
      </c>
      <c r="H1941" s="12">
        <v>65</v>
      </c>
      <c r="I1941" s="12">
        <v>1</v>
      </c>
      <c r="J1941" s="12">
        <v>121.434769231</v>
      </c>
      <c r="K1941" s="12">
        <v>7893.26</v>
      </c>
      <c r="L1941" s="12">
        <v>117.19</v>
      </c>
      <c r="M1941" s="12">
        <v>7617.35</v>
      </c>
      <c r="N1941" s="12">
        <v>-275.91000000000003</v>
      </c>
    </row>
    <row r="1942" spans="1:15" x14ac:dyDescent="0.3">
      <c r="A1942" s="12" t="s">
        <v>93</v>
      </c>
      <c r="B1942" s="12" t="s">
        <v>191</v>
      </c>
      <c r="C1942" s="12" t="s">
        <v>123</v>
      </c>
      <c r="D1942" s="12" t="s">
        <v>200</v>
      </c>
      <c r="E1942" s="12" t="s">
        <v>110</v>
      </c>
      <c r="F1942" s="12" t="s">
        <v>114</v>
      </c>
      <c r="G1942" s="12" t="s">
        <v>29</v>
      </c>
      <c r="H1942" s="12">
        <v>30</v>
      </c>
      <c r="I1942" s="12">
        <v>1</v>
      </c>
      <c r="J1942" s="12">
        <v>290.443333333</v>
      </c>
      <c r="K1942" s="12">
        <v>8713.2999999999993</v>
      </c>
      <c r="L1942" s="12">
        <v>294.91000000000003</v>
      </c>
      <c r="M1942" s="12">
        <v>8847.2999999999993</v>
      </c>
      <c r="N1942" s="12">
        <v>134</v>
      </c>
    </row>
    <row r="1943" spans="1:15" x14ac:dyDescent="0.3">
      <c r="A1943" s="12" t="s">
        <v>93</v>
      </c>
      <c r="B1943" s="12" t="s">
        <v>191</v>
      </c>
      <c r="C1943" s="12" t="s">
        <v>123</v>
      </c>
      <c r="D1943" s="12" t="s">
        <v>200</v>
      </c>
      <c r="E1943" s="12" t="s">
        <v>110</v>
      </c>
      <c r="F1943" s="12" t="s">
        <v>114</v>
      </c>
      <c r="G1943" s="12" t="s">
        <v>39</v>
      </c>
      <c r="H1943" s="12">
        <v>50</v>
      </c>
      <c r="I1943" s="12">
        <v>1</v>
      </c>
      <c r="J1943" s="12">
        <v>173.38149999999999</v>
      </c>
      <c r="K1943" s="12">
        <v>8669.0750000000007</v>
      </c>
      <c r="L1943" s="12">
        <v>204.05</v>
      </c>
      <c r="M1943" s="12">
        <v>10202.5</v>
      </c>
      <c r="N1943" s="12">
        <v>1533.425</v>
      </c>
    </row>
    <row r="1944" spans="1:15" x14ac:dyDescent="0.3">
      <c r="A1944" s="12" t="s">
        <v>93</v>
      </c>
      <c r="B1944" s="12" t="s">
        <v>191</v>
      </c>
      <c r="C1944" s="12" t="s">
        <v>123</v>
      </c>
      <c r="D1944" s="12" t="s">
        <v>200</v>
      </c>
      <c r="E1944" s="12" t="s">
        <v>110</v>
      </c>
      <c r="F1944" s="12" t="s">
        <v>114</v>
      </c>
      <c r="G1944" s="12" t="s">
        <v>51</v>
      </c>
      <c r="H1944" s="12">
        <v>10</v>
      </c>
      <c r="I1944" s="12">
        <v>1</v>
      </c>
      <c r="J1944" s="12">
        <v>890.06</v>
      </c>
      <c r="K1944" s="12">
        <v>8900.6</v>
      </c>
      <c r="L1944" s="12">
        <v>784.51</v>
      </c>
      <c r="M1944" s="12">
        <v>7845.1</v>
      </c>
      <c r="N1944" s="12">
        <v>-1055.5</v>
      </c>
    </row>
    <row r="1945" spans="1:15" x14ac:dyDescent="0.3">
      <c r="A1945" s="12" t="s">
        <v>93</v>
      </c>
      <c r="B1945" s="12" t="s">
        <v>191</v>
      </c>
      <c r="C1945" s="12" t="s">
        <v>123</v>
      </c>
      <c r="D1945" s="12" t="s">
        <v>200</v>
      </c>
      <c r="E1945" s="12" t="s">
        <v>110</v>
      </c>
      <c r="F1945" s="12" t="s">
        <v>114</v>
      </c>
      <c r="G1945" s="12" t="s">
        <v>32</v>
      </c>
      <c r="H1945" s="12">
        <v>140</v>
      </c>
      <c r="I1945" s="12">
        <v>1</v>
      </c>
      <c r="J1945" s="12">
        <v>65.575774936000002</v>
      </c>
      <c r="K1945" s="12">
        <v>9180.6084910000009</v>
      </c>
      <c r="L1945" s="12">
        <v>64.56</v>
      </c>
      <c r="M1945" s="12">
        <v>9038.4</v>
      </c>
      <c r="N1945" s="12">
        <v>-142.20849100000001</v>
      </c>
    </row>
    <row r="1946" spans="1:15" x14ac:dyDescent="0.3">
      <c r="A1946" s="12" t="s">
        <v>93</v>
      </c>
      <c r="B1946" s="12" t="s">
        <v>191</v>
      </c>
      <c r="C1946" s="12" t="s">
        <v>123</v>
      </c>
      <c r="D1946" s="12" t="s">
        <v>200</v>
      </c>
      <c r="E1946" s="12" t="s">
        <v>110</v>
      </c>
      <c r="F1946" s="12" t="s">
        <v>114</v>
      </c>
      <c r="G1946" s="12" t="s">
        <v>60</v>
      </c>
      <c r="H1946" s="12">
        <v>15</v>
      </c>
      <c r="I1946" s="12">
        <v>1</v>
      </c>
      <c r="J1946" s="12">
        <v>509.43</v>
      </c>
      <c r="K1946" s="12">
        <v>7641.45</v>
      </c>
      <c r="L1946" s="12">
        <v>495.37</v>
      </c>
      <c r="M1946" s="12">
        <v>7430.55</v>
      </c>
      <c r="N1946" s="12">
        <v>-210.9</v>
      </c>
    </row>
    <row r="1947" spans="1:15" x14ac:dyDescent="0.3">
      <c r="A1947" s="12" t="s">
        <v>93</v>
      </c>
      <c r="B1947" s="12" t="s">
        <v>191</v>
      </c>
      <c r="C1947" s="12" t="s">
        <v>123</v>
      </c>
      <c r="D1947" s="12" t="s">
        <v>200</v>
      </c>
      <c r="E1947" s="12" t="s">
        <v>110</v>
      </c>
      <c r="F1947" s="12" t="s">
        <v>114</v>
      </c>
      <c r="G1947" s="12" t="s">
        <v>61</v>
      </c>
      <c r="H1947" s="12">
        <v>100</v>
      </c>
      <c r="I1947" s="12">
        <v>1</v>
      </c>
      <c r="J1947" s="12">
        <v>94.38</v>
      </c>
      <c r="K1947" s="12">
        <v>9438</v>
      </c>
      <c r="L1947" s="12">
        <v>93.2</v>
      </c>
      <c r="M1947" s="12">
        <v>9320</v>
      </c>
      <c r="N1947" s="12">
        <v>-118</v>
      </c>
    </row>
    <row r="1948" spans="1:15" x14ac:dyDescent="0.3">
      <c r="A1948" s="12" t="s">
        <v>93</v>
      </c>
      <c r="B1948" s="12" t="s">
        <v>191</v>
      </c>
      <c r="C1948" s="12" t="s">
        <v>123</v>
      </c>
      <c r="D1948" s="12" t="s">
        <v>200</v>
      </c>
      <c r="E1948" s="12" t="s">
        <v>110</v>
      </c>
      <c r="F1948" s="12" t="s">
        <v>114</v>
      </c>
      <c r="G1948" s="12" t="s">
        <v>62</v>
      </c>
      <c r="H1948" s="12">
        <v>100</v>
      </c>
      <c r="I1948" s="12">
        <v>1</v>
      </c>
      <c r="J1948" s="12">
        <v>42.028700000000001</v>
      </c>
      <c r="K1948" s="12">
        <v>4202.87</v>
      </c>
      <c r="L1948" s="12">
        <v>41.64</v>
      </c>
      <c r="M1948" s="12">
        <v>4164</v>
      </c>
      <c r="N1948" s="12">
        <v>-38.869999999999997</v>
      </c>
    </row>
    <row r="1949" spans="1:15" x14ac:dyDescent="0.3">
      <c r="A1949" s="12" t="s">
        <v>93</v>
      </c>
      <c r="B1949" s="12" t="s">
        <v>191</v>
      </c>
      <c r="C1949" s="12" t="s">
        <v>123</v>
      </c>
      <c r="D1949" s="12" t="s">
        <v>200</v>
      </c>
      <c r="E1949" s="12" t="s">
        <v>110</v>
      </c>
      <c r="F1949" s="12" t="s">
        <v>114</v>
      </c>
      <c r="G1949" s="12" t="s">
        <v>41</v>
      </c>
      <c r="H1949" s="12">
        <v>1600</v>
      </c>
      <c r="I1949" s="12">
        <v>1</v>
      </c>
      <c r="J1949" s="12">
        <v>41.9465</v>
      </c>
      <c r="K1949" s="12">
        <v>67114.399999999994</v>
      </c>
      <c r="L1949" s="12">
        <v>43.27</v>
      </c>
      <c r="M1949" s="12">
        <v>69232</v>
      </c>
      <c r="N1949" s="12">
        <v>2117.6</v>
      </c>
      <c r="O1949" s="12" t="s">
        <v>555</v>
      </c>
    </row>
    <row r="1950" spans="1:15" x14ac:dyDescent="0.3">
      <c r="A1950" s="12" t="s">
        <v>93</v>
      </c>
      <c r="B1950" s="12" t="s">
        <v>191</v>
      </c>
      <c r="C1950" s="12" t="s">
        <v>123</v>
      </c>
      <c r="D1950" s="12" t="s">
        <v>200</v>
      </c>
      <c r="E1950" s="12" t="s">
        <v>110</v>
      </c>
      <c r="F1950" s="12" t="s">
        <v>114</v>
      </c>
      <c r="G1950" s="12" t="s">
        <v>42</v>
      </c>
      <c r="H1950" s="12">
        <v>150</v>
      </c>
      <c r="I1950" s="12">
        <v>1</v>
      </c>
      <c r="J1950" s="12">
        <v>199.912666667</v>
      </c>
      <c r="K1950" s="12">
        <v>29986.9</v>
      </c>
      <c r="L1950" s="12">
        <v>210.16</v>
      </c>
      <c r="M1950" s="12">
        <v>31524</v>
      </c>
      <c r="N1950" s="12">
        <v>1537.1</v>
      </c>
    </row>
    <row r="1951" spans="1:15" x14ac:dyDescent="0.3">
      <c r="A1951" s="12" t="s">
        <v>93</v>
      </c>
      <c r="B1951" s="12" t="s">
        <v>191</v>
      </c>
      <c r="C1951" s="12" t="s">
        <v>123</v>
      </c>
      <c r="D1951" s="12" t="s">
        <v>200</v>
      </c>
      <c r="E1951" s="12" t="s">
        <v>110</v>
      </c>
      <c r="F1951" s="12" t="s">
        <v>114</v>
      </c>
      <c r="G1951" s="12" t="s">
        <v>43</v>
      </c>
      <c r="H1951" s="12">
        <v>80</v>
      </c>
      <c r="I1951" s="12">
        <v>1</v>
      </c>
      <c r="J1951" s="12">
        <v>61.116250000000001</v>
      </c>
      <c r="K1951" s="12">
        <v>4889.3</v>
      </c>
      <c r="L1951" s="12">
        <v>72.72</v>
      </c>
      <c r="M1951" s="12">
        <v>5817.6</v>
      </c>
      <c r="N1951" s="12">
        <v>928.3</v>
      </c>
    </row>
    <row r="1952" spans="1:15" x14ac:dyDescent="0.3">
      <c r="A1952" s="12" t="s">
        <v>93</v>
      </c>
      <c r="B1952" s="12" t="s">
        <v>191</v>
      </c>
      <c r="C1952" s="12" t="s">
        <v>123</v>
      </c>
      <c r="D1952" s="12" t="s">
        <v>200</v>
      </c>
      <c r="E1952" s="12" t="s">
        <v>110</v>
      </c>
      <c r="F1952" s="12" t="s">
        <v>114</v>
      </c>
      <c r="G1952" s="12" t="s">
        <v>44</v>
      </c>
      <c r="H1952" s="12">
        <v>60</v>
      </c>
      <c r="I1952" s="12">
        <v>1</v>
      </c>
      <c r="J1952" s="12">
        <v>143.160833333</v>
      </c>
      <c r="K1952" s="12">
        <v>8589.65</v>
      </c>
      <c r="L1952" s="12">
        <v>143.69999999999999</v>
      </c>
      <c r="M1952" s="12">
        <v>8622</v>
      </c>
      <c r="N1952" s="12">
        <v>32.35</v>
      </c>
    </row>
    <row r="1953" spans="1:17" x14ac:dyDescent="0.3">
      <c r="A1953" s="12" t="s">
        <v>93</v>
      </c>
      <c r="B1953" s="12" t="s">
        <v>191</v>
      </c>
      <c r="C1953" s="12" t="s">
        <v>123</v>
      </c>
      <c r="D1953" s="12" t="s">
        <v>200</v>
      </c>
      <c r="E1953" s="12" t="s">
        <v>110</v>
      </c>
      <c r="F1953" s="12" t="s">
        <v>114</v>
      </c>
      <c r="G1953" s="12" t="s">
        <v>35</v>
      </c>
      <c r="H1953" s="12">
        <v>100</v>
      </c>
      <c r="I1953" s="12">
        <v>1</v>
      </c>
      <c r="J1953" s="12">
        <v>118.5</v>
      </c>
      <c r="K1953" s="12">
        <v>11850</v>
      </c>
      <c r="L1953" s="12">
        <v>117.26</v>
      </c>
      <c r="M1953" s="12">
        <v>11726</v>
      </c>
      <c r="N1953" s="12">
        <v>-124</v>
      </c>
    </row>
    <row r="1954" spans="1:17" x14ac:dyDescent="0.3">
      <c r="A1954" s="12" t="s">
        <v>93</v>
      </c>
      <c r="B1954" s="12" t="s">
        <v>191</v>
      </c>
      <c r="C1954" s="12" t="s">
        <v>97</v>
      </c>
      <c r="E1954" s="12" t="s">
        <v>110</v>
      </c>
      <c r="F1954" s="12" t="s">
        <v>114</v>
      </c>
      <c r="K1954" s="12">
        <v>434878.29460299999</v>
      </c>
      <c r="M1954" s="12">
        <v>452742.7</v>
      </c>
      <c r="N1954" s="12">
        <v>17864.405396999999</v>
      </c>
    </row>
    <row r="1955" spans="1:17" x14ac:dyDescent="0.3">
      <c r="A1955" s="12" t="s">
        <v>93</v>
      </c>
      <c r="B1955" s="12" t="s">
        <v>191</v>
      </c>
      <c r="C1955" s="12" t="s">
        <v>120</v>
      </c>
      <c r="D1955" s="12" t="s">
        <v>192</v>
      </c>
      <c r="E1955" s="12" t="s">
        <v>100</v>
      </c>
      <c r="F1955" s="12" t="s">
        <v>181</v>
      </c>
      <c r="G1955" s="12" t="s">
        <v>0</v>
      </c>
      <c r="H1955" s="12" t="s">
        <v>193</v>
      </c>
      <c r="I1955" s="12" t="s">
        <v>194</v>
      </c>
      <c r="J1955" s="12" t="s">
        <v>195</v>
      </c>
      <c r="K1955" s="12" t="s">
        <v>196</v>
      </c>
      <c r="L1955" s="12" t="s">
        <v>197</v>
      </c>
      <c r="M1955" s="12" t="s">
        <v>198</v>
      </c>
      <c r="N1955" s="12" t="s">
        <v>199</v>
      </c>
      <c r="O1955" s="12" t="s">
        <v>165</v>
      </c>
    </row>
    <row r="1956" spans="1:17" x14ac:dyDescent="0.3">
      <c r="A1956" s="12" t="s">
        <v>93</v>
      </c>
      <c r="B1956" s="12" t="s">
        <v>191</v>
      </c>
      <c r="C1956" s="12" t="s">
        <v>123</v>
      </c>
      <c r="D1956" s="12" t="s">
        <v>200</v>
      </c>
      <c r="E1956" s="12" t="s">
        <v>112</v>
      </c>
      <c r="F1956" s="12" t="s">
        <v>114</v>
      </c>
      <c r="G1956" s="12" t="s">
        <v>52</v>
      </c>
      <c r="H1956" s="12">
        <v>-12</v>
      </c>
      <c r="I1956" s="12">
        <v>5</v>
      </c>
      <c r="J1956" s="12">
        <v>5195.4791666669998</v>
      </c>
      <c r="K1956" s="12">
        <v>-311728.75</v>
      </c>
      <c r="L1956" s="12">
        <v>5295.5</v>
      </c>
      <c r="M1956" s="12">
        <v>-317730</v>
      </c>
      <c r="N1956" s="12">
        <v>-6001.25</v>
      </c>
    </row>
    <row r="1957" spans="1:17" x14ac:dyDescent="0.3">
      <c r="A1957" s="12" t="s">
        <v>93</v>
      </c>
      <c r="B1957" s="12" t="s">
        <v>191</v>
      </c>
      <c r="C1957" s="12" t="s">
        <v>123</v>
      </c>
      <c r="D1957" s="12" t="s">
        <v>200</v>
      </c>
      <c r="E1957" s="12" t="s">
        <v>112</v>
      </c>
      <c r="F1957" s="12" t="s">
        <v>114</v>
      </c>
      <c r="G1957" s="12" t="s">
        <v>53</v>
      </c>
      <c r="H1957" s="12">
        <v>-3</v>
      </c>
      <c r="I1957" s="12">
        <v>2</v>
      </c>
      <c r="J1957" s="12">
        <v>18355.666666666999</v>
      </c>
      <c r="K1957" s="12">
        <v>-110134</v>
      </c>
      <c r="L1957" s="12">
        <v>18591</v>
      </c>
      <c r="M1957" s="12">
        <v>-111546</v>
      </c>
      <c r="N1957" s="12">
        <v>-1412</v>
      </c>
    </row>
    <row r="1958" spans="1:17" x14ac:dyDescent="0.3">
      <c r="A1958" s="12" t="s">
        <v>93</v>
      </c>
      <c r="B1958" s="12" t="s">
        <v>191</v>
      </c>
      <c r="C1958" s="12" t="s">
        <v>97</v>
      </c>
      <c r="E1958" s="12" t="s">
        <v>112</v>
      </c>
      <c r="F1958" s="12" t="s">
        <v>114</v>
      </c>
      <c r="K1958" s="12">
        <v>-421862.75</v>
      </c>
      <c r="M1958" s="12">
        <v>-429276</v>
      </c>
      <c r="N1958" s="12">
        <v>-7413.25</v>
      </c>
    </row>
    <row r="1959" spans="1:17" x14ac:dyDescent="0.3">
      <c r="A1959" s="12" t="s">
        <v>93</v>
      </c>
      <c r="B1959" s="12" t="s">
        <v>201</v>
      </c>
      <c r="C1959" s="12" t="s">
        <v>120</v>
      </c>
      <c r="D1959" s="12" t="s">
        <v>192</v>
      </c>
      <c r="E1959" s="12" t="s">
        <v>100</v>
      </c>
      <c r="F1959" s="12" t="s">
        <v>181</v>
      </c>
      <c r="G1959" s="12" t="s">
        <v>0</v>
      </c>
      <c r="H1959" s="12" t="s">
        <v>202</v>
      </c>
      <c r="I1959" s="12" t="s">
        <v>193</v>
      </c>
      <c r="J1959" s="12" t="s">
        <v>203</v>
      </c>
      <c r="K1959" s="12" t="s">
        <v>204</v>
      </c>
      <c r="L1959" s="12" t="s">
        <v>205</v>
      </c>
      <c r="M1959" s="12" t="s">
        <v>206</v>
      </c>
      <c r="N1959" s="12" t="s">
        <v>1</v>
      </c>
      <c r="O1959" s="12" t="s">
        <v>207</v>
      </c>
      <c r="P1959" s="12" t="s">
        <v>208</v>
      </c>
      <c r="Q1959" s="12" t="s">
        <v>165</v>
      </c>
    </row>
    <row r="1960" spans="1:17" x14ac:dyDescent="0.3">
      <c r="A1960" s="12" t="s">
        <v>93</v>
      </c>
      <c r="B1960" s="12" t="s">
        <v>201</v>
      </c>
      <c r="C1960" s="12" t="s">
        <v>123</v>
      </c>
      <c r="D1960" s="12" t="s">
        <v>209</v>
      </c>
      <c r="E1960" s="12" t="s">
        <v>110</v>
      </c>
      <c r="F1960" s="12" t="s">
        <v>114</v>
      </c>
      <c r="G1960" s="12" t="s">
        <v>2</v>
      </c>
      <c r="H1960" s="12" t="s">
        <v>775</v>
      </c>
      <c r="I1960" s="12">
        <v>36</v>
      </c>
      <c r="J1960" s="12">
        <v>183.25</v>
      </c>
      <c r="K1960" s="12">
        <v>183.05</v>
      </c>
      <c r="L1960" s="12">
        <v>-6597</v>
      </c>
      <c r="M1960" s="12">
        <v>0</v>
      </c>
      <c r="N1960" s="12">
        <v>6597</v>
      </c>
      <c r="O1960" s="12">
        <v>0</v>
      </c>
      <c r="P1960" s="12">
        <v>-7.2</v>
      </c>
      <c r="Q1960" s="12" t="s">
        <v>215</v>
      </c>
    </row>
    <row r="1961" spans="1:17" x14ac:dyDescent="0.3">
      <c r="A1961" s="12" t="s">
        <v>93</v>
      </c>
      <c r="B1961" s="12" t="s">
        <v>201</v>
      </c>
      <c r="C1961" s="12" t="s">
        <v>213</v>
      </c>
      <c r="E1961" s="12" t="s">
        <v>110</v>
      </c>
      <c r="F1961" s="12" t="s">
        <v>114</v>
      </c>
      <c r="G1961" s="12" t="s">
        <v>2</v>
      </c>
      <c r="I1961" s="12">
        <v>36</v>
      </c>
      <c r="L1961" s="12">
        <v>-6597</v>
      </c>
      <c r="M1961" s="12">
        <v>0</v>
      </c>
      <c r="N1961" s="12">
        <v>6597</v>
      </c>
      <c r="O1961" s="12">
        <v>0</v>
      </c>
      <c r="P1961" s="12">
        <v>-7.2</v>
      </c>
    </row>
    <row r="1962" spans="1:17" x14ac:dyDescent="0.3">
      <c r="A1962" s="12" t="s">
        <v>93</v>
      </c>
      <c r="B1962" s="12" t="s">
        <v>201</v>
      </c>
      <c r="C1962" s="12" t="s">
        <v>123</v>
      </c>
      <c r="D1962" s="12" t="s">
        <v>209</v>
      </c>
      <c r="E1962" s="12" t="s">
        <v>110</v>
      </c>
      <c r="F1962" s="12" t="s">
        <v>114</v>
      </c>
      <c r="G1962" s="12" t="s">
        <v>45</v>
      </c>
      <c r="H1962" s="12" t="s">
        <v>776</v>
      </c>
      <c r="I1962" s="12">
        <v>15</v>
      </c>
      <c r="J1962" s="12">
        <v>150.83000000000001</v>
      </c>
      <c r="K1962" s="12">
        <v>153.16</v>
      </c>
      <c r="L1962" s="12">
        <v>-2262.4499999999998</v>
      </c>
      <c r="M1962" s="12">
        <v>0</v>
      </c>
      <c r="N1962" s="12">
        <v>2262.4499999999998</v>
      </c>
      <c r="O1962" s="12">
        <v>0</v>
      </c>
      <c r="P1962" s="12">
        <v>34.950000000000003</v>
      </c>
      <c r="Q1962" s="12" t="s">
        <v>215</v>
      </c>
    </row>
    <row r="1963" spans="1:17" x14ac:dyDescent="0.3">
      <c r="A1963" s="12" t="s">
        <v>93</v>
      </c>
      <c r="B1963" s="12" t="s">
        <v>201</v>
      </c>
      <c r="C1963" s="12" t="s">
        <v>123</v>
      </c>
      <c r="D1963" s="12" t="s">
        <v>209</v>
      </c>
      <c r="E1963" s="12" t="s">
        <v>110</v>
      </c>
      <c r="F1963" s="12" t="s">
        <v>114</v>
      </c>
      <c r="G1963" s="12" t="s">
        <v>45</v>
      </c>
      <c r="H1963" s="12" t="s">
        <v>777</v>
      </c>
      <c r="I1963" s="12">
        <v>25</v>
      </c>
      <c r="J1963" s="12">
        <v>165.29599999999999</v>
      </c>
      <c r="K1963" s="12">
        <v>164.66</v>
      </c>
      <c r="L1963" s="12">
        <v>-4132.3999999999996</v>
      </c>
      <c r="M1963" s="12">
        <v>0</v>
      </c>
      <c r="N1963" s="12">
        <v>4132.3999999999996</v>
      </c>
      <c r="O1963" s="12">
        <v>0</v>
      </c>
      <c r="P1963" s="12">
        <v>-15.9</v>
      </c>
      <c r="Q1963" s="12" t="s">
        <v>215</v>
      </c>
    </row>
    <row r="1964" spans="1:17" x14ac:dyDescent="0.3">
      <c r="A1964" s="12" t="s">
        <v>93</v>
      </c>
      <c r="B1964" s="12" t="s">
        <v>201</v>
      </c>
      <c r="C1964" s="12" t="s">
        <v>213</v>
      </c>
      <c r="E1964" s="12" t="s">
        <v>110</v>
      </c>
      <c r="F1964" s="12" t="s">
        <v>114</v>
      </c>
      <c r="G1964" s="12" t="s">
        <v>45</v>
      </c>
      <c r="I1964" s="12">
        <v>40</v>
      </c>
      <c r="L1964" s="12">
        <v>-6394.85</v>
      </c>
      <c r="M1964" s="12">
        <v>0</v>
      </c>
      <c r="N1964" s="12">
        <v>6394.85</v>
      </c>
      <c r="O1964" s="12">
        <v>0</v>
      </c>
      <c r="P1964" s="12">
        <v>19.05</v>
      </c>
    </row>
    <row r="1965" spans="1:17" x14ac:dyDescent="0.3">
      <c r="A1965" s="12" t="s">
        <v>93</v>
      </c>
      <c r="B1965" s="12" t="s">
        <v>201</v>
      </c>
      <c r="C1965" s="12" t="s">
        <v>123</v>
      </c>
      <c r="D1965" s="12" t="s">
        <v>209</v>
      </c>
      <c r="E1965" s="12" t="s">
        <v>110</v>
      </c>
      <c r="F1965" s="12" t="s">
        <v>114</v>
      </c>
      <c r="G1965" s="12" t="s">
        <v>5</v>
      </c>
      <c r="H1965" s="12" t="s">
        <v>778</v>
      </c>
      <c r="I1965" s="12">
        <v>100</v>
      </c>
      <c r="J1965" s="12">
        <v>185.42</v>
      </c>
      <c r="K1965" s="12">
        <v>186.57</v>
      </c>
      <c r="L1965" s="12">
        <v>-18542</v>
      </c>
      <c r="M1965" s="12">
        <v>0</v>
      </c>
      <c r="N1965" s="12">
        <v>18542</v>
      </c>
      <c r="O1965" s="12">
        <v>0</v>
      </c>
      <c r="P1965" s="12">
        <v>115</v>
      </c>
      <c r="Q1965" s="12" t="s">
        <v>215</v>
      </c>
    </row>
    <row r="1966" spans="1:17" x14ac:dyDescent="0.3">
      <c r="A1966" s="12" t="s">
        <v>93</v>
      </c>
      <c r="B1966" s="12" t="s">
        <v>201</v>
      </c>
      <c r="C1966" s="12" t="s">
        <v>213</v>
      </c>
      <c r="E1966" s="12" t="s">
        <v>110</v>
      </c>
      <c r="F1966" s="12" t="s">
        <v>114</v>
      </c>
      <c r="G1966" s="12" t="s">
        <v>5</v>
      </c>
      <c r="I1966" s="12">
        <v>100</v>
      </c>
      <c r="L1966" s="12">
        <v>-18542</v>
      </c>
      <c r="M1966" s="12">
        <v>0</v>
      </c>
      <c r="N1966" s="12">
        <v>18542</v>
      </c>
      <c r="O1966" s="12">
        <v>0</v>
      </c>
      <c r="P1966" s="12">
        <v>115</v>
      </c>
    </row>
    <row r="1967" spans="1:17" x14ac:dyDescent="0.3">
      <c r="A1967" s="12" t="s">
        <v>93</v>
      </c>
      <c r="B1967" s="12" t="s">
        <v>201</v>
      </c>
      <c r="C1967" s="12" t="s">
        <v>123</v>
      </c>
      <c r="D1967" s="12" t="s">
        <v>209</v>
      </c>
      <c r="E1967" s="12" t="s">
        <v>110</v>
      </c>
      <c r="F1967" s="12" t="s">
        <v>114</v>
      </c>
      <c r="G1967" s="12" t="s">
        <v>58</v>
      </c>
      <c r="H1967" s="12" t="s">
        <v>779</v>
      </c>
      <c r="I1967" s="12">
        <v>50</v>
      </c>
      <c r="J1967" s="12">
        <v>105.48</v>
      </c>
      <c r="K1967" s="12">
        <v>103.59</v>
      </c>
      <c r="L1967" s="12">
        <v>-5274</v>
      </c>
      <c r="M1967" s="12">
        <v>0</v>
      </c>
      <c r="N1967" s="12">
        <v>5274</v>
      </c>
      <c r="O1967" s="12">
        <v>0</v>
      </c>
      <c r="P1967" s="12">
        <v>-94.5</v>
      </c>
      <c r="Q1967" s="12" t="s">
        <v>215</v>
      </c>
    </row>
    <row r="1968" spans="1:17" x14ac:dyDescent="0.3">
      <c r="A1968" s="12" t="s">
        <v>93</v>
      </c>
      <c r="B1968" s="12" t="s">
        <v>201</v>
      </c>
      <c r="C1968" s="12" t="s">
        <v>213</v>
      </c>
      <c r="E1968" s="12" t="s">
        <v>110</v>
      </c>
      <c r="F1968" s="12" t="s">
        <v>114</v>
      </c>
      <c r="G1968" s="12" t="s">
        <v>58</v>
      </c>
      <c r="I1968" s="12">
        <v>50</v>
      </c>
      <c r="L1968" s="12">
        <v>-5274</v>
      </c>
      <c r="M1968" s="12">
        <v>0</v>
      </c>
      <c r="N1968" s="12">
        <v>5274</v>
      </c>
      <c r="O1968" s="12">
        <v>0</v>
      </c>
      <c r="P1968" s="12">
        <v>-94.5</v>
      </c>
    </row>
    <row r="1969" spans="1:17" x14ac:dyDescent="0.3">
      <c r="A1969" s="12" t="s">
        <v>93</v>
      </c>
      <c r="B1969" s="12" t="s">
        <v>201</v>
      </c>
      <c r="C1969" s="12" t="s">
        <v>123</v>
      </c>
      <c r="D1969" s="12" t="s">
        <v>209</v>
      </c>
      <c r="E1969" s="12" t="s">
        <v>110</v>
      </c>
      <c r="F1969" s="12" t="s">
        <v>114</v>
      </c>
      <c r="G1969" s="12" t="s">
        <v>8</v>
      </c>
      <c r="H1969" s="12" t="s">
        <v>780</v>
      </c>
      <c r="I1969" s="12">
        <v>110</v>
      </c>
      <c r="J1969" s="12">
        <v>38.704999999999998</v>
      </c>
      <c r="K1969" s="12">
        <v>38.450000000000003</v>
      </c>
      <c r="L1969" s="12">
        <v>-4257.55</v>
      </c>
      <c r="M1969" s="12">
        <v>0</v>
      </c>
      <c r="N1969" s="12">
        <v>4257.55</v>
      </c>
      <c r="O1969" s="12">
        <v>0</v>
      </c>
      <c r="P1969" s="12">
        <v>-28.05</v>
      </c>
      <c r="Q1969" s="12" t="s">
        <v>215</v>
      </c>
    </row>
    <row r="1970" spans="1:17" x14ac:dyDescent="0.3">
      <c r="A1970" s="12" t="s">
        <v>93</v>
      </c>
      <c r="B1970" s="12" t="s">
        <v>201</v>
      </c>
      <c r="C1970" s="12" t="s">
        <v>213</v>
      </c>
      <c r="E1970" s="12" t="s">
        <v>110</v>
      </c>
      <c r="F1970" s="12" t="s">
        <v>114</v>
      </c>
      <c r="G1970" s="12" t="s">
        <v>8</v>
      </c>
      <c r="I1970" s="12">
        <v>110</v>
      </c>
      <c r="L1970" s="12">
        <v>-4257.55</v>
      </c>
      <c r="M1970" s="12">
        <v>0</v>
      </c>
      <c r="N1970" s="12">
        <v>4257.55</v>
      </c>
      <c r="O1970" s="12">
        <v>0</v>
      </c>
      <c r="P1970" s="12">
        <v>-28.05</v>
      </c>
    </row>
    <row r="1971" spans="1:17" x14ac:dyDescent="0.3">
      <c r="A1971" s="12" t="s">
        <v>93</v>
      </c>
      <c r="B1971" s="12" t="s">
        <v>201</v>
      </c>
      <c r="C1971" s="12" t="s">
        <v>123</v>
      </c>
      <c r="D1971" s="12" t="s">
        <v>209</v>
      </c>
      <c r="E1971" s="12" t="s">
        <v>110</v>
      </c>
      <c r="F1971" s="12" t="s">
        <v>114</v>
      </c>
      <c r="G1971" s="12" t="s">
        <v>46</v>
      </c>
      <c r="H1971" s="12" t="s">
        <v>781</v>
      </c>
      <c r="I1971" s="12">
        <v>5</v>
      </c>
      <c r="J1971" s="12">
        <v>358.52</v>
      </c>
      <c r="K1971" s="12">
        <v>359.07</v>
      </c>
      <c r="L1971" s="12">
        <v>-1792.6</v>
      </c>
      <c r="M1971" s="12">
        <v>0</v>
      </c>
      <c r="N1971" s="12">
        <v>1792.6</v>
      </c>
      <c r="O1971" s="12">
        <v>0</v>
      </c>
      <c r="P1971" s="12">
        <v>2.75</v>
      </c>
      <c r="Q1971" s="12" t="s">
        <v>211</v>
      </c>
    </row>
    <row r="1972" spans="1:17" x14ac:dyDescent="0.3">
      <c r="A1972" s="12" t="s">
        <v>93</v>
      </c>
      <c r="B1972" s="12" t="s">
        <v>201</v>
      </c>
      <c r="C1972" s="12" t="s">
        <v>213</v>
      </c>
      <c r="E1972" s="12" t="s">
        <v>110</v>
      </c>
      <c r="F1972" s="12" t="s">
        <v>114</v>
      </c>
      <c r="G1972" s="12" t="s">
        <v>46</v>
      </c>
      <c r="I1972" s="12">
        <v>5</v>
      </c>
      <c r="L1972" s="12">
        <v>-1792.6</v>
      </c>
      <c r="M1972" s="12">
        <v>0</v>
      </c>
      <c r="N1972" s="12">
        <v>1792.6</v>
      </c>
      <c r="O1972" s="12">
        <v>0</v>
      </c>
      <c r="P1972" s="12">
        <v>2.75</v>
      </c>
    </row>
    <row r="1973" spans="1:17" x14ac:dyDescent="0.3">
      <c r="A1973" s="12" t="s">
        <v>93</v>
      </c>
      <c r="B1973" s="12" t="s">
        <v>201</v>
      </c>
      <c r="C1973" s="12" t="s">
        <v>123</v>
      </c>
      <c r="D1973" s="12" t="s">
        <v>209</v>
      </c>
      <c r="E1973" s="12" t="s">
        <v>110</v>
      </c>
      <c r="F1973" s="12" t="s">
        <v>114</v>
      </c>
      <c r="G1973" s="12" t="s">
        <v>11</v>
      </c>
      <c r="H1973" s="12" t="s">
        <v>782</v>
      </c>
      <c r="I1973" s="12">
        <v>10</v>
      </c>
      <c r="J1973" s="12">
        <v>783.5</v>
      </c>
      <c r="K1973" s="12">
        <v>787.19</v>
      </c>
      <c r="L1973" s="12">
        <v>-7835</v>
      </c>
      <c r="M1973" s="12">
        <v>0</v>
      </c>
      <c r="N1973" s="12">
        <v>7835</v>
      </c>
      <c r="O1973" s="12">
        <v>0</v>
      </c>
      <c r="P1973" s="12">
        <v>36.9</v>
      </c>
      <c r="Q1973" s="12" t="s">
        <v>215</v>
      </c>
    </row>
    <row r="1974" spans="1:17" x14ac:dyDescent="0.3">
      <c r="A1974" s="12" t="s">
        <v>93</v>
      </c>
      <c r="B1974" s="12" t="s">
        <v>201</v>
      </c>
      <c r="C1974" s="12" t="s">
        <v>123</v>
      </c>
      <c r="D1974" s="12" t="s">
        <v>209</v>
      </c>
      <c r="E1974" s="12" t="s">
        <v>110</v>
      </c>
      <c r="F1974" s="12" t="s">
        <v>114</v>
      </c>
      <c r="G1974" s="12" t="s">
        <v>11</v>
      </c>
      <c r="H1974" s="12" t="s">
        <v>783</v>
      </c>
      <c r="I1974" s="12">
        <v>-10</v>
      </c>
      <c r="J1974" s="12">
        <v>793</v>
      </c>
      <c r="K1974" s="12">
        <v>800.93</v>
      </c>
      <c r="L1974" s="12">
        <v>7930</v>
      </c>
      <c r="M1974" s="12">
        <v>0</v>
      </c>
      <c r="N1974" s="12">
        <v>-6978.7409090000001</v>
      </c>
      <c r="O1974" s="12">
        <v>951.25909100000001</v>
      </c>
      <c r="P1974" s="12">
        <v>-79.3</v>
      </c>
      <c r="Q1974" s="12" t="s">
        <v>3</v>
      </c>
    </row>
    <row r="1975" spans="1:17" x14ac:dyDescent="0.3">
      <c r="A1975" s="12" t="s">
        <v>93</v>
      </c>
      <c r="B1975" s="12" t="s">
        <v>201</v>
      </c>
      <c r="C1975" s="12" t="s">
        <v>123</v>
      </c>
      <c r="D1975" s="12" t="s">
        <v>209</v>
      </c>
      <c r="E1975" s="12" t="s">
        <v>110</v>
      </c>
      <c r="F1975" s="12" t="s">
        <v>114</v>
      </c>
      <c r="G1975" s="12" t="s">
        <v>11</v>
      </c>
      <c r="H1975" s="12" t="s">
        <v>784</v>
      </c>
      <c r="I1975" s="12">
        <v>-5</v>
      </c>
      <c r="J1975" s="12">
        <v>805.8605</v>
      </c>
      <c r="K1975" s="12">
        <v>813.17</v>
      </c>
      <c r="L1975" s="12">
        <v>4029.3024999999998</v>
      </c>
      <c r="M1975" s="12">
        <v>0</v>
      </c>
      <c r="N1975" s="12">
        <v>-3917.5</v>
      </c>
      <c r="O1975" s="12">
        <v>111.80249999999999</v>
      </c>
      <c r="P1975" s="12">
        <v>-36.547499999999999</v>
      </c>
      <c r="Q1975" s="12" t="s">
        <v>785</v>
      </c>
    </row>
    <row r="1976" spans="1:17" x14ac:dyDescent="0.3">
      <c r="A1976" s="12" t="s">
        <v>93</v>
      </c>
      <c r="B1976" s="12" t="s">
        <v>201</v>
      </c>
      <c r="C1976" s="12" t="s">
        <v>213</v>
      </c>
      <c r="E1976" s="12" t="s">
        <v>110</v>
      </c>
      <c r="F1976" s="12" t="s">
        <v>114</v>
      </c>
      <c r="G1976" s="12" t="s">
        <v>11</v>
      </c>
      <c r="I1976" s="12">
        <v>-5</v>
      </c>
      <c r="L1976" s="12">
        <v>4124.3024999999998</v>
      </c>
      <c r="M1976" s="12">
        <v>0</v>
      </c>
      <c r="N1976" s="12">
        <v>-3061.2409090000001</v>
      </c>
      <c r="O1976" s="12">
        <v>1063.0615909999999</v>
      </c>
      <c r="P1976" s="12">
        <v>-78.947500000000005</v>
      </c>
    </row>
    <row r="1977" spans="1:17" x14ac:dyDescent="0.3">
      <c r="A1977" s="12" t="s">
        <v>93</v>
      </c>
      <c r="B1977" s="12" t="s">
        <v>201</v>
      </c>
      <c r="C1977" s="12" t="s">
        <v>123</v>
      </c>
      <c r="D1977" s="12" t="s">
        <v>209</v>
      </c>
      <c r="E1977" s="12" t="s">
        <v>110</v>
      </c>
      <c r="F1977" s="12" t="s">
        <v>114</v>
      </c>
      <c r="G1977" s="12" t="s">
        <v>47</v>
      </c>
      <c r="H1977" s="12" t="s">
        <v>786</v>
      </c>
      <c r="I1977" s="12">
        <v>-16</v>
      </c>
      <c r="J1977" s="12">
        <v>226.74</v>
      </c>
      <c r="K1977" s="12">
        <v>230.09</v>
      </c>
      <c r="L1977" s="12">
        <v>3627.84</v>
      </c>
      <c r="M1977" s="12">
        <v>0</v>
      </c>
      <c r="N1977" s="12">
        <v>-4162.8999999999996</v>
      </c>
      <c r="O1977" s="12">
        <v>-535.05999999999995</v>
      </c>
      <c r="P1977" s="12">
        <v>-53.6</v>
      </c>
      <c r="Q1977" s="12" t="s">
        <v>3</v>
      </c>
    </row>
    <row r="1978" spans="1:17" x14ac:dyDescent="0.3">
      <c r="A1978" s="12" t="s">
        <v>93</v>
      </c>
      <c r="B1978" s="12" t="s">
        <v>201</v>
      </c>
      <c r="C1978" s="12" t="s">
        <v>213</v>
      </c>
      <c r="E1978" s="12" t="s">
        <v>110</v>
      </c>
      <c r="F1978" s="12" t="s">
        <v>114</v>
      </c>
      <c r="G1978" s="12" t="s">
        <v>47</v>
      </c>
      <c r="I1978" s="12">
        <v>-16</v>
      </c>
      <c r="L1978" s="12">
        <v>3627.84</v>
      </c>
      <c r="M1978" s="12">
        <v>0</v>
      </c>
      <c r="N1978" s="12">
        <v>-4162.8999999999996</v>
      </c>
      <c r="O1978" s="12">
        <v>-535.05999999999995</v>
      </c>
      <c r="P1978" s="12">
        <v>-53.6</v>
      </c>
    </row>
    <row r="1979" spans="1:17" x14ac:dyDescent="0.3">
      <c r="A1979" s="12" t="s">
        <v>93</v>
      </c>
      <c r="B1979" s="12" t="s">
        <v>201</v>
      </c>
      <c r="C1979" s="12" t="s">
        <v>123</v>
      </c>
      <c r="D1979" s="12" t="s">
        <v>209</v>
      </c>
      <c r="E1979" s="12" t="s">
        <v>110</v>
      </c>
      <c r="F1979" s="12" t="s">
        <v>114</v>
      </c>
      <c r="G1979" s="12" t="s">
        <v>14</v>
      </c>
      <c r="H1979" s="12" t="s">
        <v>787</v>
      </c>
      <c r="I1979" s="12">
        <v>30</v>
      </c>
      <c r="J1979" s="12">
        <v>253.11</v>
      </c>
      <c r="K1979" s="12">
        <v>253.38</v>
      </c>
      <c r="L1979" s="12">
        <v>-7593.3</v>
      </c>
      <c r="M1979" s="12">
        <v>0</v>
      </c>
      <c r="N1979" s="12">
        <v>7593.3</v>
      </c>
      <c r="O1979" s="12">
        <v>0</v>
      </c>
      <c r="P1979" s="12">
        <v>8.1</v>
      </c>
      <c r="Q1979" s="12" t="s">
        <v>215</v>
      </c>
    </row>
    <row r="1980" spans="1:17" x14ac:dyDescent="0.3">
      <c r="A1980" s="12" t="s">
        <v>93</v>
      </c>
      <c r="B1980" s="12" t="s">
        <v>201</v>
      </c>
      <c r="C1980" s="12" t="s">
        <v>213</v>
      </c>
      <c r="E1980" s="12" t="s">
        <v>110</v>
      </c>
      <c r="F1980" s="12" t="s">
        <v>114</v>
      </c>
      <c r="G1980" s="12" t="s">
        <v>14</v>
      </c>
      <c r="I1980" s="12">
        <v>30</v>
      </c>
      <c r="L1980" s="12">
        <v>-7593.3</v>
      </c>
      <c r="M1980" s="12">
        <v>0</v>
      </c>
      <c r="N1980" s="12">
        <v>7593.3</v>
      </c>
      <c r="O1980" s="12">
        <v>0</v>
      </c>
      <c r="P1980" s="12">
        <v>8.1</v>
      </c>
    </row>
    <row r="1981" spans="1:17" x14ac:dyDescent="0.3">
      <c r="A1981" s="12" t="s">
        <v>93</v>
      </c>
      <c r="B1981" s="12" t="s">
        <v>201</v>
      </c>
      <c r="C1981" s="12" t="s">
        <v>123</v>
      </c>
      <c r="D1981" s="12" t="s">
        <v>209</v>
      </c>
      <c r="E1981" s="12" t="s">
        <v>110</v>
      </c>
      <c r="F1981" s="12" t="s">
        <v>114</v>
      </c>
      <c r="G1981" s="12" t="s">
        <v>48</v>
      </c>
      <c r="H1981" s="12" t="s">
        <v>788</v>
      </c>
      <c r="I1981" s="12">
        <v>25</v>
      </c>
      <c r="J1981" s="12">
        <v>164.91</v>
      </c>
      <c r="K1981" s="12">
        <v>163.38</v>
      </c>
      <c r="L1981" s="12">
        <v>-4122.75</v>
      </c>
      <c r="M1981" s="12">
        <v>0</v>
      </c>
      <c r="N1981" s="12">
        <v>4122.75</v>
      </c>
      <c r="O1981" s="12">
        <v>0</v>
      </c>
      <c r="P1981" s="12">
        <v>-38.25</v>
      </c>
      <c r="Q1981" s="12" t="s">
        <v>215</v>
      </c>
    </row>
    <row r="1982" spans="1:17" x14ac:dyDescent="0.3">
      <c r="A1982" s="12" t="s">
        <v>93</v>
      </c>
      <c r="B1982" s="12" t="s">
        <v>201</v>
      </c>
      <c r="C1982" s="12" t="s">
        <v>123</v>
      </c>
      <c r="D1982" s="12" t="s">
        <v>209</v>
      </c>
      <c r="E1982" s="12" t="s">
        <v>110</v>
      </c>
      <c r="F1982" s="12" t="s">
        <v>114</v>
      </c>
      <c r="G1982" s="12" t="s">
        <v>48</v>
      </c>
      <c r="H1982" s="12" t="s">
        <v>789</v>
      </c>
      <c r="I1982" s="12">
        <v>25</v>
      </c>
      <c r="J1982" s="12">
        <v>160.09</v>
      </c>
      <c r="K1982" s="12">
        <v>160</v>
      </c>
      <c r="L1982" s="12">
        <v>-4002.25</v>
      </c>
      <c r="M1982" s="12">
        <v>0</v>
      </c>
      <c r="N1982" s="12">
        <v>4002.25</v>
      </c>
      <c r="O1982" s="12">
        <v>0</v>
      </c>
      <c r="P1982" s="12">
        <v>-2.25</v>
      </c>
      <c r="Q1982" s="12" t="s">
        <v>215</v>
      </c>
    </row>
    <row r="1983" spans="1:17" x14ac:dyDescent="0.3">
      <c r="A1983" s="12" t="s">
        <v>93</v>
      </c>
      <c r="B1983" s="12" t="s">
        <v>201</v>
      </c>
      <c r="C1983" s="12" t="s">
        <v>213</v>
      </c>
      <c r="E1983" s="12" t="s">
        <v>110</v>
      </c>
      <c r="F1983" s="12" t="s">
        <v>114</v>
      </c>
      <c r="G1983" s="12" t="s">
        <v>48</v>
      </c>
      <c r="I1983" s="12">
        <v>50</v>
      </c>
      <c r="L1983" s="12">
        <v>-8125</v>
      </c>
      <c r="M1983" s="12">
        <v>0</v>
      </c>
      <c r="N1983" s="12">
        <v>8125</v>
      </c>
      <c r="O1983" s="12">
        <v>0</v>
      </c>
      <c r="P1983" s="12">
        <v>-40.5</v>
      </c>
    </row>
    <row r="1984" spans="1:17" x14ac:dyDescent="0.3">
      <c r="A1984" s="12" t="s">
        <v>93</v>
      </c>
      <c r="B1984" s="12" t="s">
        <v>201</v>
      </c>
      <c r="C1984" s="12" t="s">
        <v>123</v>
      </c>
      <c r="D1984" s="12" t="s">
        <v>209</v>
      </c>
      <c r="E1984" s="12" t="s">
        <v>110</v>
      </c>
      <c r="F1984" s="12" t="s">
        <v>114</v>
      </c>
      <c r="G1984" s="12" t="s">
        <v>54</v>
      </c>
      <c r="H1984" s="12" t="s">
        <v>790</v>
      </c>
      <c r="I1984" s="12">
        <v>30</v>
      </c>
      <c r="J1984" s="12">
        <v>169.86</v>
      </c>
      <c r="K1984" s="12">
        <v>167.27</v>
      </c>
      <c r="L1984" s="12">
        <v>-5095.8</v>
      </c>
      <c r="M1984" s="12">
        <v>0</v>
      </c>
      <c r="N1984" s="12">
        <v>5095.8</v>
      </c>
      <c r="O1984" s="12">
        <v>0</v>
      </c>
      <c r="P1984" s="12">
        <v>-77.7</v>
      </c>
      <c r="Q1984" s="12" t="s">
        <v>215</v>
      </c>
    </row>
    <row r="1985" spans="1:17" x14ac:dyDescent="0.3">
      <c r="A1985" s="12" t="s">
        <v>93</v>
      </c>
      <c r="B1985" s="12" t="s">
        <v>201</v>
      </c>
      <c r="C1985" s="12" t="s">
        <v>213</v>
      </c>
      <c r="E1985" s="12" t="s">
        <v>110</v>
      </c>
      <c r="F1985" s="12" t="s">
        <v>114</v>
      </c>
      <c r="G1985" s="12" t="s">
        <v>54</v>
      </c>
      <c r="I1985" s="12">
        <v>30</v>
      </c>
      <c r="L1985" s="12">
        <v>-5095.8</v>
      </c>
      <c r="M1985" s="12">
        <v>0</v>
      </c>
      <c r="N1985" s="12">
        <v>5095.8</v>
      </c>
      <c r="O1985" s="12">
        <v>0</v>
      </c>
      <c r="P1985" s="12">
        <v>-77.7</v>
      </c>
    </row>
    <row r="1986" spans="1:17" x14ac:dyDescent="0.3">
      <c r="A1986" s="12" t="s">
        <v>93</v>
      </c>
      <c r="B1986" s="12" t="s">
        <v>201</v>
      </c>
      <c r="C1986" s="12" t="s">
        <v>123</v>
      </c>
      <c r="D1986" s="12" t="s">
        <v>209</v>
      </c>
      <c r="E1986" s="12" t="s">
        <v>110</v>
      </c>
      <c r="F1986" s="12" t="s">
        <v>114</v>
      </c>
      <c r="G1986" s="12" t="s">
        <v>19</v>
      </c>
      <c r="H1986" s="12" t="s">
        <v>791</v>
      </c>
      <c r="I1986" s="12">
        <v>42</v>
      </c>
      <c r="J1986" s="12">
        <v>166.09</v>
      </c>
      <c r="K1986" s="12">
        <v>163.86</v>
      </c>
      <c r="L1986" s="12">
        <v>-6975.78</v>
      </c>
      <c r="M1986" s="12">
        <v>-1.3</v>
      </c>
      <c r="N1986" s="12">
        <v>6977.08</v>
      </c>
      <c r="O1986" s="12">
        <v>0</v>
      </c>
      <c r="P1986" s="12">
        <v>-93.66</v>
      </c>
      <c r="Q1986" s="12" t="s">
        <v>215</v>
      </c>
    </row>
    <row r="1987" spans="1:17" x14ac:dyDescent="0.3">
      <c r="A1987" s="12" t="s">
        <v>93</v>
      </c>
      <c r="B1987" s="12" t="s">
        <v>201</v>
      </c>
      <c r="C1987" s="12" t="s">
        <v>123</v>
      </c>
      <c r="D1987" s="12" t="s">
        <v>209</v>
      </c>
      <c r="E1987" s="12" t="s">
        <v>110</v>
      </c>
      <c r="F1987" s="12" t="s">
        <v>114</v>
      </c>
      <c r="G1987" s="12" t="s">
        <v>19</v>
      </c>
      <c r="H1987" s="12" t="s">
        <v>792</v>
      </c>
      <c r="I1987" s="12">
        <v>40</v>
      </c>
      <c r="J1987" s="12">
        <v>168.08</v>
      </c>
      <c r="K1987" s="12">
        <v>168.65</v>
      </c>
      <c r="L1987" s="12">
        <v>-6723.2</v>
      </c>
      <c r="M1987" s="12">
        <v>0</v>
      </c>
      <c r="N1987" s="12">
        <v>6723.2</v>
      </c>
      <c r="O1987" s="12">
        <v>0</v>
      </c>
      <c r="P1987" s="12">
        <v>22.8</v>
      </c>
      <c r="Q1987" s="12" t="s">
        <v>215</v>
      </c>
    </row>
    <row r="1988" spans="1:17" x14ac:dyDescent="0.3">
      <c r="A1988" s="12" t="s">
        <v>93</v>
      </c>
      <c r="B1988" s="12" t="s">
        <v>201</v>
      </c>
      <c r="C1988" s="12" t="s">
        <v>213</v>
      </c>
      <c r="E1988" s="12" t="s">
        <v>110</v>
      </c>
      <c r="F1988" s="12" t="s">
        <v>114</v>
      </c>
      <c r="G1988" s="12" t="s">
        <v>19</v>
      </c>
      <c r="I1988" s="12">
        <v>82</v>
      </c>
      <c r="L1988" s="12">
        <v>-13698.98</v>
      </c>
      <c r="M1988" s="12">
        <v>-1.3</v>
      </c>
      <c r="N1988" s="12">
        <v>13700.28</v>
      </c>
      <c r="O1988" s="12">
        <v>0</v>
      </c>
      <c r="P1988" s="12">
        <v>-70.86</v>
      </c>
    </row>
    <row r="1989" spans="1:17" x14ac:dyDescent="0.3">
      <c r="A1989" s="12" t="s">
        <v>93</v>
      </c>
      <c r="B1989" s="12" t="s">
        <v>201</v>
      </c>
      <c r="C1989" s="12" t="s">
        <v>123</v>
      </c>
      <c r="D1989" s="12" t="s">
        <v>209</v>
      </c>
      <c r="E1989" s="12" t="s">
        <v>110</v>
      </c>
      <c r="F1989" s="12" t="s">
        <v>114</v>
      </c>
      <c r="G1989" s="12" t="s">
        <v>59</v>
      </c>
      <c r="H1989" s="12" t="s">
        <v>793</v>
      </c>
      <c r="I1989" s="12">
        <v>100</v>
      </c>
      <c r="J1989" s="12">
        <v>63.17</v>
      </c>
      <c r="K1989" s="12">
        <v>63.1</v>
      </c>
      <c r="L1989" s="12">
        <v>-6317</v>
      </c>
      <c r="M1989" s="12">
        <v>0</v>
      </c>
      <c r="N1989" s="12">
        <v>6317</v>
      </c>
      <c r="O1989" s="12">
        <v>0</v>
      </c>
      <c r="P1989" s="12">
        <v>-7</v>
      </c>
      <c r="Q1989" s="12" t="s">
        <v>211</v>
      </c>
    </row>
    <row r="1990" spans="1:17" x14ac:dyDescent="0.3">
      <c r="A1990" s="12" t="s">
        <v>93</v>
      </c>
      <c r="B1990" s="12" t="s">
        <v>201</v>
      </c>
      <c r="C1990" s="12" t="s">
        <v>213</v>
      </c>
      <c r="E1990" s="12" t="s">
        <v>110</v>
      </c>
      <c r="F1990" s="12" t="s">
        <v>114</v>
      </c>
      <c r="G1990" s="12" t="s">
        <v>59</v>
      </c>
      <c r="I1990" s="12">
        <v>100</v>
      </c>
      <c r="L1990" s="12">
        <v>-6317</v>
      </c>
      <c r="M1990" s="12">
        <v>0</v>
      </c>
      <c r="N1990" s="12">
        <v>6317</v>
      </c>
      <c r="O1990" s="12">
        <v>0</v>
      </c>
      <c r="P1990" s="12">
        <v>-7</v>
      </c>
    </row>
    <row r="1991" spans="1:17" x14ac:dyDescent="0.3">
      <c r="A1991" s="12" t="s">
        <v>93</v>
      </c>
      <c r="B1991" s="12" t="s">
        <v>201</v>
      </c>
      <c r="C1991" s="12" t="s">
        <v>123</v>
      </c>
      <c r="D1991" s="12" t="s">
        <v>209</v>
      </c>
      <c r="E1991" s="12" t="s">
        <v>110</v>
      </c>
      <c r="F1991" s="12" t="s">
        <v>114</v>
      </c>
      <c r="G1991" s="12" t="s">
        <v>49</v>
      </c>
      <c r="H1991" s="12" t="s">
        <v>794</v>
      </c>
      <c r="I1991" s="12">
        <v>6</v>
      </c>
      <c r="J1991" s="12">
        <v>752.25</v>
      </c>
      <c r="K1991" s="12">
        <v>755.91</v>
      </c>
      <c r="L1991" s="12">
        <v>-4513.5</v>
      </c>
      <c r="M1991" s="12">
        <v>0</v>
      </c>
      <c r="N1991" s="12">
        <v>4513.5</v>
      </c>
      <c r="O1991" s="12">
        <v>0</v>
      </c>
      <c r="P1991" s="12">
        <v>21.96</v>
      </c>
      <c r="Q1991" s="12" t="s">
        <v>215</v>
      </c>
    </row>
    <row r="1992" spans="1:17" x14ac:dyDescent="0.3">
      <c r="A1992" s="12" t="s">
        <v>93</v>
      </c>
      <c r="B1992" s="12" t="s">
        <v>201</v>
      </c>
      <c r="C1992" s="12" t="s">
        <v>213</v>
      </c>
      <c r="E1992" s="12" t="s">
        <v>110</v>
      </c>
      <c r="F1992" s="12" t="s">
        <v>114</v>
      </c>
      <c r="G1992" s="12" t="s">
        <v>49</v>
      </c>
      <c r="I1992" s="12">
        <v>6</v>
      </c>
      <c r="L1992" s="12">
        <v>-4513.5</v>
      </c>
      <c r="M1992" s="12">
        <v>0</v>
      </c>
      <c r="N1992" s="12">
        <v>4513.5</v>
      </c>
      <c r="O1992" s="12">
        <v>0</v>
      </c>
      <c r="P1992" s="12">
        <v>21.96</v>
      </c>
    </row>
    <row r="1993" spans="1:17" x14ac:dyDescent="0.3">
      <c r="A1993" s="12" t="s">
        <v>93</v>
      </c>
      <c r="B1993" s="12" t="s">
        <v>201</v>
      </c>
      <c r="C1993" s="12" t="s">
        <v>123</v>
      </c>
      <c r="D1993" s="12" t="s">
        <v>209</v>
      </c>
      <c r="E1993" s="12" t="s">
        <v>110</v>
      </c>
      <c r="F1993" s="12" t="s">
        <v>114</v>
      </c>
      <c r="G1993" s="12" t="s">
        <v>26</v>
      </c>
      <c r="H1993" s="12" t="s">
        <v>795</v>
      </c>
      <c r="I1993" s="12">
        <v>15</v>
      </c>
      <c r="J1993" s="12">
        <v>397.93</v>
      </c>
      <c r="K1993" s="12">
        <v>402.1</v>
      </c>
      <c r="L1993" s="12">
        <v>-5968.95</v>
      </c>
      <c r="M1993" s="12">
        <v>0</v>
      </c>
      <c r="N1993" s="12">
        <v>5968.95</v>
      </c>
      <c r="O1993" s="12">
        <v>0</v>
      </c>
      <c r="P1993" s="12">
        <v>62.55</v>
      </c>
      <c r="Q1993" s="12" t="s">
        <v>211</v>
      </c>
    </row>
    <row r="1994" spans="1:17" x14ac:dyDescent="0.3">
      <c r="A1994" s="12" t="s">
        <v>93</v>
      </c>
      <c r="B1994" s="12" t="s">
        <v>201</v>
      </c>
      <c r="C1994" s="12" t="s">
        <v>213</v>
      </c>
      <c r="E1994" s="12" t="s">
        <v>110</v>
      </c>
      <c r="F1994" s="12" t="s">
        <v>114</v>
      </c>
      <c r="G1994" s="12" t="s">
        <v>26</v>
      </c>
      <c r="I1994" s="12">
        <v>15</v>
      </c>
      <c r="L1994" s="12">
        <v>-5968.95</v>
      </c>
      <c r="M1994" s="12">
        <v>0</v>
      </c>
      <c r="N1994" s="12">
        <v>5968.95</v>
      </c>
      <c r="O1994" s="12">
        <v>0</v>
      </c>
      <c r="P1994" s="12">
        <v>62.55</v>
      </c>
    </row>
    <row r="1995" spans="1:17" x14ac:dyDescent="0.3">
      <c r="A1995" s="12" t="s">
        <v>93</v>
      </c>
      <c r="B1995" s="12" t="s">
        <v>201</v>
      </c>
      <c r="C1995" s="12" t="s">
        <v>123</v>
      </c>
      <c r="D1995" s="12" t="s">
        <v>209</v>
      </c>
      <c r="E1995" s="12" t="s">
        <v>110</v>
      </c>
      <c r="F1995" s="12" t="s">
        <v>114</v>
      </c>
      <c r="G1995" s="12" t="s">
        <v>27</v>
      </c>
      <c r="H1995" s="12" t="s">
        <v>796</v>
      </c>
      <c r="I1995" s="12">
        <v>30</v>
      </c>
      <c r="J1995" s="12">
        <v>474.83</v>
      </c>
      <c r="K1995" s="12">
        <v>476.2</v>
      </c>
      <c r="L1995" s="12">
        <v>-14244.9</v>
      </c>
      <c r="M1995" s="12">
        <v>0</v>
      </c>
      <c r="N1995" s="12">
        <v>14244.9</v>
      </c>
      <c r="O1995" s="12">
        <v>0</v>
      </c>
      <c r="P1995" s="12">
        <v>41.1</v>
      </c>
      <c r="Q1995" s="12" t="s">
        <v>215</v>
      </c>
    </row>
    <row r="1996" spans="1:17" x14ac:dyDescent="0.3">
      <c r="A1996" s="12" t="s">
        <v>93</v>
      </c>
      <c r="B1996" s="12" t="s">
        <v>201</v>
      </c>
      <c r="C1996" s="12" t="s">
        <v>213</v>
      </c>
      <c r="E1996" s="12" t="s">
        <v>110</v>
      </c>
      <c r="F1996" s="12" t="s">
        <v>114</v>
      </c>
      <c r="G1996" s="12" t="s">
        <v>27</v>
      </c>
      <c r="I1996" s="12">
        <v>30</v>
      </c>
      <c r="L1996" s="12">
        <v>-14244.9</v>
      </c>
      <c r="M1996" s="12">
        <v>0</v>
      </c>
      <c r="N1996" s="12">
        <v>14244.9</v>
      </c>
      <c r="O1996" s="12">
        <v>0</v>
      </c>
      <c r="P1996" s="12">
        <v>41.1</v>
      </c>
    </row>
    <row r="1997" spans="1:17" x14ac:dyDescent="0.3">
      <c r="A1997" s="12" t="s">
        <v>93</v>
      </c>
      <c r="B1997" s="12" t="s">
        <v>201</v>
      </c>
      <c r="C1997" s="12" t="s">
        <v>123</v>
      </c>
      <c r="D1997" s="12" t="s">
        <v>209</v>
      </c>
      <c r="E1997" s="12" t="s">
        <v>110</v>
      </c>
      <c r="F1997" s="12" t="s">
        <v>114</v>
      </c>
      <c r="G1997" s="12" t="s">
        <v>28</v>
      </c>
      <c r="H1997" s="12" t="s">
        <v>797</v>
      </c>
      <c r="I1997" s="12">
        <v>15</v>
      </c>
      <c r="J1997" s="12">
        <v>413.36</v>
      </c>
      <c r="K1997" s="12">
        <v>414.74</v>
      </c>
      <c r="L1997" s="12">
        <v>-6200.4</v>
      </c>
      <c r="M1997" s="12">
        <v>0</v>
      </c>
      <c r="N1997" s="12">
        <v>6200.4</v>
      </c>
      <c r="O1997" s="12">
        <v>0</v>
      </c>
      <c r="P1997" s="12">
        <v>20.7</v>
      </c>
      <c r="Q1997" s="12" t="s">
        <v>215</v>
      </c>
    </row>
    <row r="1998" spans="1:17" x14ac:dyDescent="0.3">
      <c r="A1998" s="12" t="s">
        <v>93</v>
      </c>
      <c r="B1998" s="12" t="s">
        <v>201</v>
      </c>
      <c r="C1998" s="12" t="s">
        <v>213</v>
      </c>
      <c r="E1998" s="12" t="s">
        <v>110</v>
      </c>
      <c r="F1998" s="12" t="s">
        <v>114</v>
      </c>
      <c r="G1998" s="12" t="s">
        <v>28</v>
      </c>
      <c r="I1998" s="12">
        <v>15</v>
      </c>
      <c r="L1998" s="12">
        <v>-6200.4</v>
      </c>
      <c r="M1998" s="12">
        <v>0</v>
      </c>
      <c r="N1998" s="12">
        <v>6200.4</v>
      </c>
      <c r="O1998" s="12">
        <v>0</v>
      </c>
      <c r="P1998" s="12">
        <v>20.7</v>
      </c>
    </row>
    <row r="1999" spans="1:17" x14ac:dyDescent="0.3">
      <c r="A1999" s="12" t="s">
        <v>93</v>
      </c>
      <c r="B1999" s="12" t="s">
        <v>201</v>
      </c>
      <c r="C1999" s="12" t="s">
        <v>123</v>
      </c>
      <c r="D1999" s="12" t="s">
        <v>209</v>
      </c>
      <c r="E1999" s="12" t="s">
        <v>110</v>
      </c>
      <c r="F1999" s="12" t="s">
        <v>114</v>
      </c>
      <c r="G1999" s="12" t="s">
        <v>55</v>
      </c>
      <c r="H1999" s="12" t="s">
        <v>798</v>
      </c>
      <c r="I1999" s="12">
        <v>30</v>
      </c>
      <c r="J1999" s="12">
        <v>119.764</v>
      </c>
      <c r="K1999" s="12">
        <v>121.24</v>
      </c>
      <c r="L1999" s="12">
        <v>-3592.92</v>
      </c>
      <c r="M1999" s="12">
        <v>0</v>
      </c>
      <c r="N1999" s="12">
        <v>3592.92</v>
      </c>
      <c r="O1999" s="12">
        <v>0</v>
      </c>
      <c r="P1999" s="12">
        <v>44.28</v>
      </c>
      <c r="Q1999" s="12" t="s">
        <v>215</v>
      </c>
    </row>
    <row r="2000" spans="1:17" x14ac:dyDescent="0.3">
      <c r="A2000" s="12" t="s">
        <v>93</v>
      </c>
      <c r="B2000" s="12" t="s">
        <v>201</v>
      </c>
      <c r="C2000" s="12" t="s">
        <v>213</v>
      </c>
      <c r="E2000" s="12" t="s">
        <v>110</v>
      </c>
      <c r="F2000" s="12" t="s">
        <v>114</v>
      </c>
      <c r="G2000" s="12" t="s">
        <v>55</v>
      </c>
      <c r="I2000" s="12">
        <v>30</v>
      </c>
      <c r="L2000" s="12">
        <v>-3592.92</v>
      </c>
      <c r="M2000" s="12">
        <v>0</v>
      </c>
      <c r="N2000" s="12">
        <v>3592.92</v>
      </c>
      <c r="O2000" s="12">
        <v>0</v>
      </c>
      <c r="P2000" s="12">
        <v>44.28</v>
      </c>
    </row>
    <row r="2001" spans="1:17" x14ac:dyDescent="0.3">
      <c r="A2001" s="12" t="s">
        <v>93</v>
      </c>
      <c r="B2001" s="12" t="s">
        <v>201</v>
      </c>
      <c r="C2001" s="12" t="s">
        <v>123</v>
      </c>
      <c r="D2001" s="12" t="s">
        <v>209</v>
      </c>
      <c r="E2001" s="12" t="s">
        <v>110</v>
      </c>
      <c r="F2001" s="12" t="s">
        <v>114</v>
      </c>
      <c r="G2001" s="12" t="s">
        <v>50</v>
      </c>
      <c r="H2001" s="12" t="s">
        <v>799</v>
      </c>
      <c r="I2001" s="12">
        <v>5</v>
      </c>
      <c r="J2001" s="12">
        <v>727</v>
      </c>
      <c r="K2001" s="12">
        <v>730.12</v>
      </c>
      <c r="L2001" s="12">
        <v>-3635</v>
      </c>
      <c r="M2001" s="12">
        <v>0</v>
      </c>
      <c r="N2001" s="12">
        <v>3635</v>
      </c>
      <c r="O2001" s="12">
        <v>0</v>
      </c>
      <c r="P2001" s="12">
        <v>15.6</v>
      </c>
      <c r="Q2001" s="12" t="s">
        <v>211</v>
      </c>
    </row>
    <row r="2002" spans="1:17" x14ac:dyDescent="0.3">
      <c r="A2002" s="12" t="s">
        <v>93</v>
      </c>
      <c r="B2002" s="12" t="s">
        <v>201</v>
      </c>
      <c r="C2002" s="12" t="s">
        <v>213</v>
      </c>
      <c r="E2002" s="12" t="s">
        <v>110</v>
      </c>
      <c r="F2002" s="12" t="s">
        <v>114</v>
      </c>
      <c r="G2002" s="12" t="s">
        <v>50</v>
      </c>
      <c r="I2002" s="12">
        <v>5</v>
      </c>
      <c r="L2002" s="12">
        <v>-3635</v>
      </c>
      <c r="M2002" s="12">
        <v>0</v>
      </c>
      <c r="N2002" s="12">
        <v>3635</v>
      </c>
      <c r="O2002" s="12">
        <v>0</v>
      </c>
      <c r="P2002" s="12">
        <v>15.6</v>
      </c>
    </row>
    <row r="2003" spans="1:17" x14ac:dyDescent="0.3">
      <c r="A2003" s="12" t="s">
        <v>93</v>
      </c>
      <c r="B2003" s="12" t="s">
        <v>201</v>
      </c>
      <c r="C2003" s="12" t="s">
        <v>123</v>
      </c>
      <c r="D2003" s="12" t="s">
        <v>209</v>
      </c>
      <c r="E2003" s="12" t="s">
        <v>110</v>
      </c>
      <c r="F2003" s="12" t="s">
        <v>114</v>
      </c>
      <c r="G2003" s="12" t="s">
        <v>56</v>
      </c>
      <c r="H2003" s="12" t="s">
        <v>800</v>
      </c>
      <c r="I2003" s="12">
        <v>15</v>
      </c>
      <c r="J2003" s="12">
        <v>129.78</v>
      </c>
      <c r="K2003" s="12">
        <v>128.41999999999999</v>
      </c>
      <c r="L2003" s="12">
        <v>-1946.7</v>
      </c>
      <c r="M2003" s="12">
        <v>0</v>
      </c>
      <c r="N2003" s="12">
        <v>1946.7</v>
      </c>
      <c r="O2003" s="12">
        <v>0</v>
      </c>
      <c r="P2003" s="12">
        <v>-20.399999999999999</v>
      </c>
      <c r="Q2003" s="12" t="s">
        <v>215</v>
      </c>
    </row>
    <row r="2004" spans="1:17" x14ac:dyDescent="0.3">
      <c r="A2004" s="12" t="s">
        <v>93</v>
      </c>
      <c r="B2004" s="12" t="s">
        <v>201</v>
      </c>
      <c r="C2004" s="12" t="s">
        <v>213</v>
      </c>
      <c r="E2004" s="12" t="s">
        <v>110</v>
      </c>
      <c r="F2004" s="12" t="s">
        <v>114</v>
      </c>
      <c r="G2004" s="12" t="s">
        <v>56</v>
      </c>
      <c r="I2004" s="12">
        <v>15</v>
      </c>
      <c r="L2004" s="12">
        <v>-1946.7</v>
      </c>
      <c r="M2004" s="12">
        <v>0</v>
      </c>
      <c r="N2004" s="12">
        <v>1946.7</v>
      </c>
      <c r="O2004" s="12">
        <v>0</v>
      </c>
      <c r="P2004" s="12">
        <v>-20.399999999999999</v>
      </c>
    </row>
    <row r="2005" spans="1:17" x14ac:dyDescent="0.3">
      <c r="A2005" s="12" t="s">
        <v>93</v>
      </c>
      <c r="B2005" s="12" t="s">
        <v>201</v>
      </c>
      <c r="C2005" s="12" t="s">
        <v>123</v>
      </c>
      <c r="D2005" s="12" t="s">
        <v>209</v>
      </c>
      <c r="E2005" s="12" t="s">
        <v>110</v>
      </c>
      <c r="F2005" s="12" t="s">
        <v>114</v>
      </c>
      <c r="G2005" s="12" t="s">
        <v>57</v>
      </c>
      <c r="H2005" s="12" t="s">
        <v>801</v>
      </c>
      <c r="I2005" s="12">
        <v>20</v>
      </c>
      <c r="J2005" s="12">
        <v>124.788</v>
      </c>
      <c r="K2005" s="12">
        <v>124.63</v>
      </c>
      <c r="L2005" s="12">
        <v>-2495.7600000000002</v>
      </c>
      <c r="M2005" s="12">
        <v>0</v>
      </c>
      <c r="N2005" s="12">
        <v>2495.7600000000002</v>
      </c>
      <c r="O2005" s="12">
        <v>0</v>
      </c>
      <c r="P2005" s="12">
        <v>-3.16</v>
      </c>
      <c r="Q2005" s="12" t="s">
        <v>215</v>
      </c>
    </row>
    <row r="2006" spans="1:17" x14ac:dyDescent="0.3">
      <c r="A2006" s="12" t="s">
        <v>93</v>
      </c>
      <c r="B2006" s="12" t="s">
        <v>201</v>
      </c>
      <c r="C2006" s="12" t="s">
        <v>213</v>
      </c>
      <c r="E2006" s="12" t="s">
        <v>110</v>
      </c>
      <c r="F2006" s="12" t="s">
        <v>114</v>
      </c>
      <c r="G2006" s="12" t="s">
        <v>57</v>
      </c>
      <c r="I2006" s="12">
        <v>20</v>
      </c>
      <c r="L2006" s="12">
        <v>-2495.7600000000002</v>
      </c>
      <c r="M2006" s="12">
        <v>0</v>
      </c>
      <c r="N2006" s="12">
        <v>2495.7600000000002</v>
      </c>
      <c r="O2006" s="12">
        <v>0</v>
      </c>
      <c r="P2006" s="12">
        <v>-3.16</v>
      </c>
    </row>
    <row r="2007" spans="1:17" x14ac:dyDescent="0.3">
      <c r="A2007" s="12" t="s">
        <v>93</v>
      </c>
      <c r="B2007" s="12" t="s">
        <v>201</v>
      </c>
      <c r="C2007" s="12" t="s">
        <v>123</v>
      </c>
      <c r="D2007" s="12" t="s">
        <v>209</v>
      </c>
      <c r="E2007" s="12" t="s">
        <v>110</v>
      </c>
      <c r="F2007" s="12" t="s">
        <v>114</v>
      </c>
      <c r="G2007" s="12" t="s">
        <v>29</v>
      </c>
      <c r="H2007" s="12" t="s">
        <v>802</v>
      </c>
      <c r="I2007" s="12">
        <v>15</v>
      </c>
      <c r="J2007" s="12">
        <v>297.58</v>
      </c>
      <c r="K2007" s="12">
        <v>297.47000000000003</v>
      </c>
      <c r="L2007" s="12">
        <v>-4463.7</v>
      </c>
      <c r="M2007" s="12">
        <v>0</v>
      </c>
      <c r="N2007" s="12">
        <v>4463.7</v>
      </c>
      <c r="O2007" s="12">
        <v>0</v>
      </c>
      <c r="P2007" s="12">
        <v>-1.65</v>
      </c>
      <c r="Q2007" s="12" t="s">
        <v>215</v>
      </c>
    </row>
    <row r="2008" spans="1:17" x14ac:dyDescent="0.3">
      <c r="A2008" s="12" t="s">
        <v>93</v>
      </c>
      <c r="B2008" s="12" t="s">
        <v>201</v>
      </c>
      <c r="C2008" s="12" t="s">
        <v>213</v>
      </c>
      <c r="E2008" s="12" t="s">
        <v>110</v>
      </c>
      <c r="F2008" s="12" t="s">
        <v>114</v>
      </c>
      <c r="G2008" s="12" t="s">
        <v>29</v>
      </c>
      <c r="I2008" s="12">
        <v>15</v>
      </c>
      <c r="L2008" s="12">
        <v>-4463.7</v>
      </c>
      <c r="M2008" s="12">
        <v>0</v>
      </c>
      <c r="N2008" s="12">
        <v>4463.7</v>
      </c>
      <c r="O2008" s="12">
        <v>0</v>
      </c>
      <c r="P2008" s="12">
        <v>-1.65</v>
      </c>
    </row>
    <row r="2009" spans="1:17" x14ac:dyDescent="0.3">
      <c r="A2009" s="12" t="s">
        <v>93</v>
      </c>
      <c r="B2009" s="12" t="s">
        <v>201</v>
      </c>
      <c r="C2009" s="12" t="s">
        <v>123</v>
      </c>
      <c r="D2009" s="12" t="s">
        <v>209</v>
      </c>
      <c r="E2009" s="12" t="s">
        <v>110</v>
      </c>
      <c r="F2009" s="12" t="s">
        <v>114</v>
      </c>
      <c r="G2009" s="12" t="s">
        <v>39</v>
      </c>
      <c r="H2009" s="12" t="s">
        <v>803</v>
      </c>
      <c r="I2009" s="12">
        <v>-15</v>
      </c>
      <c r="J2009" s="12">
        <v>166</v>
      </c>
      <c r="K2009" s="12">
        <v>164.11</v>
      </c>
      <c r="L2009" s="12">
        <v>2490</v>
      </c>
      <c r="M2009" s="12">
        <v>-1.3</v>
      </c>
      <c r="N2009" s="12">
        <v>-2123.625</v>
      </c>
      <c r="O2009" s="12">
        <v>365.07499999999999</v>
      </c>
      <c r="P2009" s="12">
        <v>28.35</v>
      </c>
      <c r="Q2009" s="12" t="s">
        <v>3</v>
      </c>
    </row>
    <row r="2010" spans="1:17" x14ac:dyDescent="0.3">
      <c r="A2010" s="12" t="s">
        <v>93</v>
      </c>
      <c r="B2010" s="12" t="s">
        <v>201</v>
      </c>
      <c r="C2010" s="12" t="s">
        <v>123</v>
      </c>
      <c r="D2010" s="12" t="s">
        <v>209</v>
      </c>
      <c r="E2010" s="12" t="s">
        <v>110</v>
      </c>
      <c r="F2010" s="12" t="s">
        <v>114</v>
      </c>
      <c r="G2010" s="12" t="s">
        <v>39</v>
      </c>
      <c r="H2010" s="12" t="s">
        <v>804</v>
      </c>
      <c r="I2010" s="12">
        <v>30</v>
      </c>
      <c r="J2010" s="12">
        <v>181.74</v>
      </c>
      <c r="K2010" s="12">
        <v>182.08</v>
      </c>
      <c r="L2010" s="12">
        <v>-5452.2</v>
      </c>
      <c r="M2010" s="12">
        <v>0</v>
      </c>
      <c r="N2010" s="12">
        <v>5452.2</v>
      </c>
      <c r="O2010" s="12">
        <v>0</v>
      </c>
      <c r="P2010" s="12">
        <v>10.199999999999999</v>
      </c>
      <c r="Q2010" s="12" t="s">
        <v>215</v>
      </c>
    </row>
    <row r="2011" spans="1:17" x14ac:dyDescent="0.3">
      <c r="A2011" s="12" t="s">
        <v>93</v>
      </c>
      <c r="B2011" s="12" t="s">
        <v>201</v>
      </c>
      <c r="C2011" s="12" t="s">
        <v>213</v>
      </c>
      <c r="E2011" s="12" t="s">
        <v>110</v>
      </c>
      <c r="F2011" s="12" t="s">
        <v>114</v>
      </c>
      <c r="G2011" s="12" t="s">
        <v>39</v>
      </c>
      <c r="I2011" s="12">
        <v>15</v>
      </c>
      <c r="L2011" s="12">
        <v>-2962.2</v>
      </c>
      <c r="M2011" s="12">
        <v>-1.3</v>
      </c>
      <c r="N2011" s="12">
        <v>3328.5749999999998</v>
      </c>
      <c r="O2011" s="12">
        <v>365.07499999999999</v>
      </c>
      <c r="P2011" s="12">
        <v>38.549999999999997</v>
      </c>
    </row>
    <row r="2012" spans="1:17" x14ac:dyDescent="0.3">
      <c r="A2012" s="12" t="s">
        <v>93</v>
      </c>
      <c r="B2012" s="12" t="s">
        <v>201</v>
      </c>
      <c r="C2012" s="12" t="s">
        <v>123</v>
      </c>
      <c r="D2012" s="12" t="s">
        <v>209</v>
      </c>
      <c r="E2012" s="12" t="s">
        <v>110</v>
      </c>
      <c r="F2012" s="12" t="s">
        <v>114</v>
      </c>
      <c r="G2012" s="12" t="s">
        <v>30</v>
      </c>
      <c r="H2012" s="12" t="s">
        <v>805</v>
      </c>
      <c r="I2012" s="12">
        <v>26</v>
      </c>
      <c r="J2012" s="12">
        <v>133.84</v>
      </c>
      <c r="K2012" s="12">
        <v>133</v>
      </c>
      <c r="L2012" s="12">
        <v>-3479.84</v>
      </c>
      <c r="M2012" s="12">
        <v>0</v>
      </c>
      <c r="N2012" s="12">
        <v>3479.84</v>
      </c>
      <c r="O2012" s="12">
        <v>0</v>
      </c>
      <c r="P2012" s="12">
        <v>-21.84</v>
      </c>
      <c r="Q2012" s="12" t="s">
        <v>215</v>
      </c>
    </row>
    <row r="2013" spans="1:17" x14ac:dyDescent="0.3">
      <c r="A2013" s="12" t="s">
        <v>93</v>
      </c>
      <c r="B2013" s="12" t="s">
        <v>201</v>
      </c>
      <c r="C2013" s="12" t="s">
        <v>123</v>
      </c>
      <c r="D2013" s="12" t="s">
        <v>209</v>
      </c>
      <c r="E2013" s="12" t="s">
        <v>110</v>
      </c>
      <c r="F2013" s="12" t="s">
        <v>114</v>
      </c>
      <c r="G2013" s="12" t="s">
        <v>30</v>
      </c>
      <c r="H2013" s="12" t="s">
        <v>806</v>
      </c>
      <c r="I2013" s="12">
        <v>-52</v>
      </c>
      <c r="J2013" s="12">
        <v>131.78</v>
      </c>
      <c r="K2013" s="12">
        <v>132.30000000000001</v>
      </c>
      <c r="L2013" s="12">
        <v>6852.56</v>
      </c>
      <c r="M2013" s="12">
        <v>0</v>
      </c>
      <c r="N2013" s="12">
        <v>-7103.85</v>
      </c>
      <c r="O2013" s="12">
        <v>-251.29</v>
      </c>
      <c r="P2013" s="12">
        <v>-27.04</v>
      </c>
      <c r="Q2013" s="12" t="s">
        <v>230</v>
      </c>
    </row>
    <row r="2014" spans="1:17" x14ac:dyDescent="0.3">
      <c r="A2014" s="12" t="s">
        <v>93</v>
      </c>
      <c r="B2014" s="12" t="s">
        <v>201</v>
      </c>
      <c r="C2014" s="12" t="s">
        <v>213</v>
      </c>
      <c r="E2014" s="12" t="s">
        <v>110</v>
      </c>
      <c r="F2014" s="12" t="s">
        <v>114</v>
      </c>
      <c r="G2014" s="12" t="s">
        <v>30</v>
      </c>
      <c r="I2014" s="12">
        <v>-26</v>
      </c>
      <c r="L2014" s="12">
        <v>3372.72</v>
      </c>
      <c r="M2014" s="12">
        <v>0</v>
      </c>
      <c r="N2014" s="12">
        <v>-3624.01</v>
      </c>
      <c r="O2014" s="12">
        <v>-251.29</v>
      </c>
      <c r="P2014" s="12">
        <v>-48.88</v>
      </c>
    </row>
    <row r="2015" spans="1:17" x14ac:dyDescent="0.3">
      <c r="A2015" s="12" t="s">
        <v>93</v>
      </c>
      <c r="B2015" s="12" t="s">
        <v>201</v>
      </c>
      <c r="C2015" s="12" t="s">
        <v>123</v>
      </c>
      <c r="D2015" s="12" t="s">
        <v>209</v>
      </c>
      <c r="E2015" s="12" t="s">
        <v>110</v>
      </c>
      <c r="F2015" s="12" t="s">
        <v>114</v>
      </c>
      <c r="G2015" s="12" t="s">
        <v>51</v>
      </c>
      <c r="H2015" s="12" t="s">
        <v>807</v>
      </c>
      <c r="I2015" s="12">
        <v>10</v>
      </c>
      <c r="J2015" s="12">
        <v>890.06</v>
      </c>
      <c r="K2015" s="12">
        <v>873.27</v>
      </c>
      <c r="L2015" s="12">
        <v>-8900.6</v>
      </c>
      <c r="M2015" s="12">
        <v>0</v>
      </c>
      <c r="N2015" s="12">
        <v>8900.6</v>
      </c>
      <c r="O2015" s="12">
        <v>0</v>
      </c>
      <c r="P2015" s="12">
        <v>-167.9</v>
      </c>
      <c r="Q2015" s="12" t="s">
        <v>215</v>
      </c>
    </row>
    <row r="2016" spans="1:17" x14ac:dyDescent="0.3">
      <c r="A2016" s="12" t="s">
        <v>93</v>
      </c>
      <c r="B2016" s="12" t="s">
        <v>201</v>
      </c>
      <c r="C2016" s="12" t="s">
        <v>213</v>
      </c>
      <c r="E2016" s="12" t="s">
        <v>110</v>
      </c>
      <c r="F2016" s="12" t="s">
        <v>114</v>
      </c>
      <c r="G2016" s="12" t="s">
        <v>51</v>
      </c>
      <c r="I2016" s="12">
        <v>10</v>
      </c>
      <c r="L2016" s="12">
        <v>-8900.6</v>
      </c>
      <c r="M2016" s="12">
        <v>0</v>
      </c>
      <c r="N2016" s="12">
        <v>8900.6</v>
      </c>
      <c r="O2016" s="12">
        <v>0</v>
      </c>
      <c r="P2016" s="12">
        <v>-167.9</v>
      </c>
    </row>
    <row r="2017" spans="1:17" x14ac:dyDescent="0.3">
      <c r="A2017" s="12" t="s">
        <v>93</v>
      </c>
      <c r="B2017" s="12" t="s">
        <v>201</v>
      </c>
      <c r="C2017" s="12" t="s">
        <v>123</v>
      </c>
      <c r="D2017" s="12" t="s">
        <v>209</v>
      </c>
      <c r="E2017" s="12" t="s">
        <v>110</v>
      </c>
      <c r="F2017" s="12" t="s">
        <v>114</v>
      </c>
      <c r="G2017" s="12" t="s">
        <v>32</v>
      </c>
      <c r="H2017" s="12" t="s">
        <v>808</v>
      </c>
      <c r="I2017" s="12">
        <v>70</v>
      </c>
      <c r="J2017" s="12">
        <v>66.2</v>
      </c>
      <c r="K2017" s="12">
        <v>66.02</v>
      </c>
      <c r="L2017" s="12">
        <v>-4634</v>
      </c>
      <c r="M2017" s="12">
        <v>0</v>
      </c>
      <c r="N2017" s="12">
        <v>4634</v>
      </c>
      <c r="O2017" s="12">
        <v>0</v>
      </c>
      <c r="P2017" s="12">
        <v>-12.6</v>
      </c>
      <c r="Q2017" s="12" t="s">
        <v>215</v>
      </c>
    </row>
    <row r="2018" spans="1:17" x14ac:dyDescent="0.3">
      <c r="A2018" s="12" t="s">
        <v>93</v>
      </c>
      <c r="B2018" s="12" t="s">
        <v>201</v>
      </c>
      <c r="C2018" s="12" t="s">
        <v>213</v>
      </c>
      <c r="E2018" s="12" t="s">
        <v>110</v>
      </c>
      <c r="F2018" s="12" t="s">
        <v>114</v>
      </c>
      <c r="G2018" s="12" t="s">
        <v>32</v>
      </c>
      <c r="I2018" s="12">
        <v>70</v>
      </c>
      <c r="L2018" s="12">
        <v>-4634</v>
      </c>
      <c r="M2018" s="12">
        <v>0</v>
      </c>
      <c r="N2018" s="12">
        <v>4634</v>
      </c>
      <c r="O2018" s="12">
        <v>0</v>
      </c>
      <c r="P2018" s="12">
        <v>-12.6</v>
      </c>
    </row>
    <row r="2019" spans="1:17" x14ac:dyDescent="0.3">
      <c r="A2019" s="12" t="s">
        <v>93</v>
      </c>
      <c r="B2019" s="12" t="s">
        <v>201</v>
      </c>
      <c r="C2019" s="12" t="s">
        <v>123</v>
      </c>
      <c r="D2019" s="12" t="s">
        <v>209</v>
      </c>
      <c r="E2019" s="12" t="s">
        <v>110</v>
      </c>
      <c r="F2019" s="12" t="s">
        <v>114</v>
      </c>
      <c r="G2019" s="12" t="s">
        <v>60</v>
      </c>
      <c r="H2019" s="12" t="s">
        <v>809</v>
      </c>
      <c r="I2019" s="12">
        <v>15</v>
      </c>
      <c r="J2019" s="12">
        <v>509.43</v>
      </c>
      <c r="K2019" s="12">
        <v>512.80999999999995</v>
      </c>
      <c r="L2019" s="12">
        <v>-7641.45</v>
      </c>
      <c r="M2019" s="12">
        <v>0</v>
      </c>
      <c r="N2019" s="12">
        <v>7641.45</v>
      </c>
      <c r="O2019" s="12">
        <v>0</v>
      </c>
      <c r="P2019" s="12">
        <v>50.7</v>
      </c>
      <c r="Q2019" s="12" t="s">
        <v>215</v>
      </c>
    </row>
    <row r="2020" spans="1:17" x14ac:dyDescent="0.3">
      <c r="A2020" s="12" t="s">
        <v>93</v>
      </c>
      <c r="B2020" s="12" t="s">
        <v>201</v>
      </c>
      <c r="C2020" s="12" t="s">
        <v>213</v>
      </c>
      <c r="E2020" s="12" t="s">
        <v>110</v>
      </c>
      <c r="F2020" s="12" t="s">
        <v>114</v>
      </c>
      <c r="G2020" s="12" t="s">
        <v>60</v>
      </c>
      <c r="I2020" s="12">
        <v>15</v>
      </c>
      <c r="L2020" s="12">
        <v>-7641.45</v>
      </c>
      <c r="M2020" s="12">
        <v>0</v>
      </c>
      <c r="N2020" s="12">
        <v>7641.45</v>
      </c>
      <c r="O2020" s="12">
        <v>0</v>
      </c>
      <c r="P2020" s="12">
        <v>50.7</v>
      </c>
    </row>
    <row r="2021" spans="1:17" x14ac:dyDescent="0.3">
      <c r="A2021" s="12" t="s">
        <v>93</v>
      </c>
      <c r="B2021" s="12" t="s">
        <v>201</v>
      </c>
      <c r="C2021" s="12" t="s">
        <v>123</v>
      </c>
      <c r="D2021" s="12" t="s">
        <v>209</v>
      </c>
      <c r="E2021" s="12" t="s">
        <v>110</v>
      </c>
      <c r="F2021" s="12" t="s">
        <v>114</v>
      </c>
      <c r="G2021" s="12" t="s">
        <v>61</v>
      </c>
      <c r="H2021" s="12" t="s">
        <v>810</v>
      </c>
      <c r="I2021" s="12">
        <v>100</v>
      </c>
      <c r="J2021" s="12">
        <v>94.38</v>
      </c>
      <c r="K2021" s="12">
        <v>93.83</v>
      </c>
      <c r="L2021" s="12">
        <v>-9438</v>
      </c>
      <c r="M2021" s="12">
        <v>0</v>
      </c>
      <c r="N2021" s="12">
        <v>9438</v>
      </c>
      <c r="O2021" s="12">
        <v>0</v>
      </c>
      <c r="P2021" s="12">
        <v>-55</v>
      </c>
      <c r="Q2021" s="12" t="s">
        <v>215</v>
      </c>
    </row>
    <row r="2022" spans="1:17" x14ac:dyDescent="0.3">
      <c r="A2022" s="12" t="s">
        <v>93</v>
      </c>
      <c r="B2022" s="12" t="s">
        <v>201</v>
      </c>
      <c r="C2022" s="12" t="s">
        <v>213</v>
      </c>
      <c r="E2022" s="12" t="s">
        <v>110</v>
      </c>
      <c r="F2022" s="12" t="s">
        <v>114</v>
      </c>
      <c r="G2022" s="12" t="s">
        <v>61</v>
      </c>
      <c r="I2022" s="12">
        <v>100</v>
      </c>
      <c r="L2022" s="12">
        <v>-9438</v>
      </c>
      <c r="M2022" s="12">
        <v>0</v>
      </c>
      <c r="N2022" s="12">
        <v>9438</v>
      </c>
      <c r="O2022" s="12">
        <v>0</v>
      </c>
      <c r="P2022" s="12">
        <v>-55</v>
      </c>
    </row>
    <row r="2023" spans="1:17" x14ac:dyDescent="0.3">
      <c r="A2023" s="12" t="s">
        <v>93</v>
      </c>
      <c r="B2023" s="12" t="s">
        <v>201</v>
      </c>
      <c r="C2023" s="12" t="s">
        <v>123</v>
      </c>
      <c r="D2023" s="12" t="s">
        <v>209</v>
      </c>
      <c r="E2023" s="12" t="s">
        <v>110</v>
      </c>
      <c r="F2023" s="12" t="s">
        <v>114</v>
      </c>
      <c r="G2023" s="12" t="s">
        <v>62</v>
      </c>
      <c r="H2023" s="12" t="s">
        <v>811</v>
      </c>
      <c r="I2023" s="12">
        <v>100</v>
      </c>
      <c r="J2023" s="12">
        <v>42.028700000000001</v>
      </c>
      <c r="K2023" s="12">
        <v>42.18</v>
      </c>
      <c r="L2023" s="12">
        <v>-4202.87</v>
      </c>
      <c r="M2023" s="12">
        <v>0</v>
      </c>
      <c r="N2023" s="12">
        <v>4202.87</v>
      </c>
      <c r="O2023" s="12">
        <v>0</v>
      </c>
      <c r="P2023" s="12">
        <v>15.13</v>
      </c>
      <c r="Q2023" s="12" t="s">
        <v>215</v>
      </c>
    </row>
    <row r="2024" spans="1:17" x14ac:dyDescent="0.3">
      <c r="A2024" s="12" t="s">
        <v>93</v>
      </c>
      <c r="B2024" s="12" t="s">
        <v>201</v>
      </c>
      <c r="C2024" s="12" t="s">
        <v>213</v>
      </c>
      <c r="E2024" s="12" t="s">
        <v>110</v>
      </c>
      <c r="F2024" s="12" t="s">
        <v>114</v>
      </c>
      <c r="G2024" s="12" t="s">
        <v>62</v>
      </c>
      <c r="I2024" s="12">
        <v>100</v>
      </c>
      <c r="L2024" s="12">
        <v>-4202.87</v>
      </c>
      <c r="M2024" s="12">
        <v>0</v>
      </c>
      <c r="N2024" s="12">
        <v>4202.87</v>
      </c>
      <c r="O2024" s="12">
        <v>0</v>
      </c>
      <c r="P2024" s="12">
        <v>15.13</v>
      </c>
    </row>
    <row r="2025" spans="1:17" x14ac:dyDescent="0.3">
      <c r="A2025" s="12" t="s">
        <v>93</v>
      </c>
      <c r="B2025" s="12" t="s">
        <v>201</v>
      </c>
      <c r="C2025" s="12" t="s">
        <v>123</v>
      </c>
      <c r="D2025" s="12" t="s">
        <v>209</v>
      </c>
      <c r="E2025" s="12" t="s">
        <v>110</v>
      </c>
      <c r="F2025" s="12" t="s">
        <v>114</v>
      </c>
      <c r="G2025" s="12" t="s">
        <v>41</v>
      </c>
      <c r="H2025" s="12" t="s">
        <v>812</v>
      </c>
      <c r="I2025" s="12">
        <v>800</v>
      </c>
      <c r="J2025" s="12">
        <v>42.36</v>
      </c>
      <c r="K2025" s="12">
        <v>42.32</v>
      </c>
      <c r="L2025" s="12">
        <v>-33888</v>
      </c>
      <c r="M2025" s="12">
        <v>0</v>
      </c>
      <c r="N2025" s="12">
        <v>33888</v>
      </c>
      <c r="O2025" s="12">
        <v>0</v>
      </c>
      <c r="P2025" s="12">
        <v>-32</v>
      </c>
      <c r="Q2025" s="12" t="s">
        <v>215</v>
      </c>
    </row>
    <row r="2026" spans="1:17" x14ac:dyDescent="0.3">
      <c r="A2026" s="12" t="s">
        <v>93</v>
      </c>
      <c r="B2026" s="12" t="s">
        <v>201</v>
      </c>
      <c r="C2026" s="12" t="s">
        <v>213</v>
      </c>
      <c r="E2026" s="12" t="s">
        <v>110</v>
      </c>
      <c r="F2026" s="12" t="s">
        <v>114</v>
      </c>
      <c r="G2026" s="12" t="s">
        <v>41</v>
      </c>
      <c r="I2026" s="12">
        <v>800</v>
      </c>
      <c r="L2026" s="12">
        <v>-33888</v>
      </c>
      <c r="M2026" s="12">
        <v>0</v>
      </c>
      <c r="N2026" s="12">
        <v>33888</v>
      </c>
      <c r="O2026" s="12">
        <v>0</v>
      </c>
      <c r="P2026" s="12">
        <v>-32</v>
      </c>
    </row>
    <row r="2027" spans="1:17" x14ac:dyDescent="0.3">
      <c r="A2027" s="12" t="s">
        <v>93</v>
      </c>
      <c r="B2027" s="12" t="s">
        <v>201</v>
      </c>
      <c r="C2027" s="12" t="s">
        <v>123</v>
      </c>
      <c r="D2027" s="12" t="s">
        <v>209</v>
      </c>
      <c r="E2027" s="12" t="s">
        <v>110</v>
      </c>
      <c r="F2027" s="12" t="s">
        <v>114</v>
      </c>
      <c r="G2027" s="12" t="s">
        <v>42</v>
      </c>
      <c r="H2027" s="12" t="s">
        <v>813</v>
      </c>
      <c r="I2027" s="12">
        <v>75</v>
      </c>
      <c r="J2027" s="12">
        <v>198</v>
      </c>
      <c r="K2027" s="12">
        <v>194.26</v>
      </c>
      <c r="L2027" s="12">
        <v>-14850</v>
      </c>
      <c r="M2027" s="12">
        <v>-1.3</v>
      </c>
      <c r="N2027" s="12">
        <v>14851.3</v>
      </c>
      <c r="O2027" s="12">
        <v>0</v>
      </c>
      <c r="P2027" s="12">
        <v>-280.5</v>
      </c>
      <c r="Q2027" s="12" t="s">
        <v>215</v>
      </c>
    </row>
    <row r="2028" spans="1:17" x14ac:dyDescent="0.3">
      <c r="A2028" s="12" t="s">
        <v>93</v>
      </c>
      <c r="B2028" s="12" t="s">
        <v>201</v>
      </c>
      <c r="C2028" s="12" t="s">
        <v>213</v>
      </c>
      <c r="E2028" s="12" t="s">
        <v>110</v>
      </c>
      <c r="F2028" s="12" t="s">
        <v>114</v>
      </c>
      <c r="G2028" s="12" t="s">
        <v>42</v>
      </c>
      <c r="I2028" s="12">
        <v>75</v>
      </c>
      <c r="L2028" s="12">
        <v>-14850</v>
      </c>
      <c r="M2028" s="12">
        <v>-1.3</v>
      </c>
      <c r="N2028" s="12">
        <v>14851.3</v>
      </c>
      <c r="O2028" s="12">
        <v>0</v>
      </c>
      <c r="P2028" s="12">
        <v>-280.5</v>
      </c>
    </row>
    <row r="2029" spans="1:17" x14ac:dyDescent="0.3">
      <c r="A2029" s="12" t="s">
        <v>93</v>
      </c>
      <c r="B2029" s="12" t="s">
        <v>201</v>
      </c>
      <c r="C2029" s="12" t="s">
        <v>123</v>
      </c>
      <c r="D2029" s="12" t="s">
        <v>209</v>
      </c>
      <c r="E2029" s="12" t="s">
        <v>110</v>
      </c>
      <c r="F2029" s="12" t="s">
        <v>114</v>
      </c>
      <c r="G2029" s="12" t="s">
        <v>35</v>
      </c>
      <c r="H2029" s="12" t="s">
        <v>814</v>
      </c>
      <c r="I2029" s="12">
        <v>100</v>
      </c>
      <c r="J2029" s="12">
        <v>118.5</v>
      </c>
      <c r="K2029" s="12">
        <v>117.96</v>
      </c>
      <c r="L2029" s="12">
        <v>-11850</v>
      </c>
      <c r="M2029" s="12">
        <v>0</v>
      </c>
      <c r="N2029" s="12">
        <v>11850</v>
      </c>
      <c r="O2029" s="12">
        <v>0</v>
      </c>
      <c r="P2029" s="12">
        <v>-54</v>
      </c>
      <c r="Q2029" s="12" t="s">
        <v>211</v>
      </c>
    </row>
    <row r="2030" spans="1:17" x14ac:dyDescent="0.3">
      <c r="A2030" s="12" t="s">
        <v>93</v>
      </c>
      <c r="B2030" s="12" t="s">
        <v>201</v>
      </c>
      <c r="C2030" s="12" t="s">
        <v>213</v>
      </c>
      <c r="E2030" s="12" t="s">
        <v>110</v>
      </c>
      <c r="F2030" s="12" t="s">
        <v>114</v>
      </c>
      <c r="G2030" s="12" t="s">
        <v>35</v>
      </c>
      <c r="I2030" s="12">
        <v>100</v>
      </c>
      <c r="L2030" s="12">
        <v>-11850</v>
      </c>
      <c r="M2030" s="12">
        <v>0</v>
      </c>
      <c r="N2030" s="12">
        <v>11850</v>
      </c>
      <c r="O2030" s="12">
        <v>0</v>
      </c>
      <c r="P2030" s="12">
        <v>-54</v>
      </c>
    </row>
    <row r="2031" spans="1:17" x14ac:dyDescent="0.3">
      <c r="A2031" s="12" t="s">
        <v>93</v>
      </c>
      <c r="B2031" s="12" t="s">
        <v>201</v>
      </c>
      <c r="C2031" s="12" t="s">
        <v>97</v>
      </c>
      <c r="E2031" s="12" t="s">
        <v>110</v>
      </c>
      <c r="F2031" s="12" t="s">
        <v>114</v>
      </c>
      <c r="L2031" s="12">
        <v>-217992.16750000001</v>
      </c>
      <c r="M2031" s="12">
        <v>-3.9</v>
      </c>
      <c r="N2031" s="12">
        <v>218637.85409099999</v>
      </c>
      <c r="O2031" s="12">
        <v>641.78659100000004</v>
      </c>
      <c r="P2031" s="12">
        <v>-678.97749999999996</v>
      </c>
      <c r="Q2031" s="12" t="s">
        <v>257</v>
      </c>
    </row>
    <row r="2032" spans="1:17" x14ac:dyDescent="0.3">
      <c r="A2032" s="12" t="s">
        <v>93</v>
      </c>
      <c r="B2032" s="12" t="s">
        <v>201</v>
      </c>
      <c r="C2032" s="12" t="s">
        <v>120</v>
      </c>
      <c r="D2032" s="12" t="s">
        <v>192</v>
      </c>
      <c r="E2032" s="12" t="s">
        <v>100</v>
      </c>
      <c r="F2032" s="12" t="s">
        <v>181</v>
      </c>
      <c r="G2032" s="12" t="s">
        <v>0</v>
      </c>
      <c r="H2032" s="12" t="s">
        <v>202</v>
      </c>
      <c r="I2032" s="12" t="s">
        <v>193</v>
      </c>
      <c r="J2032" s="12" t="s">
        <v>203</v>
      </c>
      <c r="K2032" s="12" t="s">
        <v>204</v>
      </c>
      <c r="L2032" s="12" t="s">
        <v>258</v>
      </c>
      <c r="M2032" s="12" t="s">
        <v>206</v>
      </c>
      <c r="N2032" s="12" t="s">
        <v>1</v>
      </c>
      <c r="O2032" s="12" t="s">
        <v>207</v>
      </c>
      <c r="P2032" s="12" t="s">
        <v>208</v>
      </c>
      <c r="Q2032" s="12" t="s">
        <v>165</v>
      </c>
    </row>
    <row r="2033" spans="1:17" x14ac:dyDescent="0.3">
      <c r="A2033" s="12" t="s">
        <v>93</v>
      </c>
      <c r="B2033" s="12" t="s">
        <v>201</v>
      </c>
      <c r="C2033" s="12" t="s">
        <v>123</v>
      </c>
      <c r="D2033" s="12" t="s">
        <v>209</v>
      </c>
      <c r="E2033" s="12" t="s">
        <v>112</v>
      </c>
      <c r="F2033" s="12" t="s">
        <v>114</v>
      </c>
      <c r="G2033" s="12" t="s">
        <v>52</v>
      </c>
      <c r="H2033" s="12" t="s">
        <v>815</v>
      </c>
      <c r="I2033" s="12">
        <v>-1</v>
      </c>
      <c r="J2033" s="12">
        <v>5110.5</v>
      </c>
      <c r="K2033" s="12">
        <v>5154.75</v>
      </c>
      <c r="L2033" s="12">
        <v>25552.5</v>
      </c>
      <c r="M2033" s="12">
        <v>0</v>
      </c>
      <c r="N2033" s="12">
        <v>-25552.5</v>
      </c>
      <c r="O2033" s="12">
        <v>0</v>
      </c>
      <c r="P2033" s="12">
        <v>-221.25</v>
      </c>
      <c r="Q2033" s="12" t="s">
        <v>215</v>
      </c>
    </row>
    <row r="2034" spans="1:17" x14ac:dyDescent="0.3">
      <c r="A2034" s="12" t="s">
        <v>93</v>
      </c>
      <c r="B2034" s="12" t="s">
        <v>201</v>
      </c>
      <c r="C2034" s="12" t="s">
        <v>123</v>
      </c>
      <c r="D2034" s="12" t="s">
        <v>209</v>
      </c>
      <c r="E2034" s="12" t="s">
        <v>112</v>
      </c>
      <c r="F2034" s="12" t="s">
        <v>114</v>
      </c>
      <c r="G2034" s="12" t="s">
        <v>52</v>
      </c>
      <c r="H2034" s="12" t="s">
        <v>816</v>
      </c>
      <c r="I2034" s="12">
        <v>-2</v>
      </c>
      <c r="J2034" s="12">
        <v>5248.25</v>
      </c>
      <c r="K2034" s="12">
        <v>5246.25</v>
      </c>
      <c r="L2034" s="12">
        <v>52482.5</v>
      </c>
      <c r="M2034" s="12">
        <v>0</v>
      </c>
      <c r="N2034" s="12">
        <v>-52482.5</v>
      </c>
      <c r="O2034" s="12">
        <v>0</v>
      </c>
      <c r="P2034" s="12">
        <v>20</v>
      </c>
      <c r="Q2034" s="12" t="s">
        <v>215</v>
      </c>
    </row>
    <row r="2035" spans="1:17" x14ac:dyDescent="0.3">
      <c r="A2035" s="12" t="s">
        <v>93</v>
      </c>
      <c r="B2035" s="12" t="s">
        <v>201</v>
      </c>
      <c r="C2035" s="12" t="s">
        <v>123</v>
      </c>
      <c r="D2035" s="12" t="s">
        <v>209</v>
      </c>
      <c r="E2035" s="12" t="s">
        <v>112</v>
      </c>
      <c r="F2035" s="12" t="s">
        <v>114</v>
      </c>
      <c r="G2035" s="12" t="s">
        <v>52</v>
      </c>
      <c r="H2035" s="12" t="s">
        <v>817</v>
      </c>
      <c r="I2035" s="12">
        <v>-3</v>
      </c>
      <c r="J2035" s="12">
        <v>5250</v>
      </c>
      <c r="K2035" s="12">
        <v>5246.25</v>
      </c>
      <c r="L2035" s="12">
        <v>78750</v>
      </c>
      <c r="M2035" s="12">
        <v>0</v>
      </c>
      <c r="N2035" s="12">
        <v>-78750</v>
      </c>
      <c r="O2035" s="12">
        <v>0</v>
      </c>
      <c r="P2035" s="12">
        <v>56.25</v>
      </c>
      <c r="Q2035" s="12" t="s">
        <v>215</v>
      </c>
    </row>
    <row r="2036" spans="1:17" x14ac:dyDescent="0.3">
      <c r="A2036" s="12" t="s">
        <v>93</v>
      </c>
      <c r="B2036" s="12" t="s">
        <v>201</v>
      </c>
      <c r="C2036" s="12" t="s">
        <v>123</v>
      </c>
      <c r="D2036" s="12" t="s">
        <v>209</v>
      </c>
      <c r="E2036" s="12" t="s">
        <v>112</v>
      </c>
      <c r="F2036" s="12" t="s">
        <v>114</v>
      </c>
      <c r="G2036" s="12" t="s">
        <v>52</v>
      </c>
      <c r="H2036" s="12" t="s">
        <v>818</v>
      </c>
      <c r="I2036" s="12">
        <v>2</v>
      </c>
      <c r="J2036" s="12">
        <v>5244.25</v>
      </c>
      <c r="K2036" s="12">
        <v>5246.25</v>
      </c>
      <c r="L2036" s="12">
        <v>-52442.5</v>
      </c>
      <c r="M2036" s="12">
        <v>0</v>
      </c>
      <c r="N2036" s="12">
        <v>51555.25</v>
      </c>
      <c r="O2036" s="12">
        <v>-887.25</v>
      </c>
      <c r="P2036" s="12">
        <v>20</v>
      </c>
      <c r="Q2036" s="12" t="s">
        <v>3</v>
      </c>
    </row>
    <row r="2037" spans="1:17" x14ac:dyDescent="0.3">
      <c r="A2037" s="12" t="s">
        <v>93</v>
      </c>
      <c r="B2037" s="12" t="s">
        <v>201</v>
      </c>
      <c r="C2037" s="12" t="s">
        <v>123</v>
      </c>
      <c r="D2037" s="12" t="s">
        <v>209</v>
      </c>
      <c r="E2037" s="12" t="s">
        <v>112</v>
      </c>
      <c r="F2037" s="12" t="s">
        <v>114</v>
      </c>
      <c r="G2037" s="12" t="s">
        <v>52</v>
      </c>
      <c r="H2037" s="12" t="s">
        <v>819</v>
      </c>
      <c r="I2037" s="12">
        <v>-1</v>
      </c>
      <c r="J2037" s="12">
        <v>5262</v>
      </c>
      <c r="K2037" s="12">
        <v>5269.5</v>
      </c>
      <c r="L2037" s="12">
        <v>26310</v>
      </c>
      <c r="M2037" s="12">
        <v>0</v>
      </c>
      <c r="N2037" s="12">
        <v>-26310</v>
      </c>
      <c r="O2037" s="12">
        <v>0</v>
      </c>
      <c r="P2037" s="12">
        <v>-37.5</v>
      </c>
      <c r="Q2037" s="12" t="s">
        <v>215</v>
      </c>
    </row>
    <row r="2038" spans="1:17" x14ac:dyDescent="0.3">
      <c r="A2038" s="12" t="s">
        <v>93</v>
      </c>
      <c r="B2038" s="12" t="s">
        <v>201</v>
      </c>
      <c r="C2038" s="12" t="s">
        <v>213</v>
      </c>
      <c r="E2038" s="12" t="s">
        <v>112</v>
      </c>
      <c r="F2038" s="12" t="s">
        <v>114</v>
      </c>
      <c r="G2038" s="12" t="s">
        <v>52</v>
      </c>
      <c r="I2038" s="12">
        <v>-5</v>
      </c>
      <c r="L2038" s="12">
        <v>130652.5</v>
      </c>
      <c r="M2038" s="12">
        <v>0</v>
      </c>
      <c r="N2038" s="12">
        <v>-131539.75</v>
      </c>
      <c r="O2038" s="12">
        <v>-887.25</v>
      </c>
      <c r="P2038" s="12">
        <v>-162.5</v>
      </c>
    </row>
    <row r="2039" spans="1:17" x14ac:dyDescent="0.3">
      <c r="A2039" s="12" t="s">
        <v>93</v>
      </c>
      <c r="B2039" s="12" t="s">
        <v>201</v>
      </c>
      <c r="C2039" s="12" t="s">
        <v>123</v>
      </c>
      <c r="D2039" s="12" t="s">
        <v>209</v>
      </c>
      <c r="E2039" s="12" t="s">
        <v>112</v>
      </c>
      <c r="F2039" s="12" t="s">
        <v>114</v>
      </c>
      <c r="G2039" s="12" t="s">
        <v>53</v>
      </c>
      <c r="H2039" s="12" t="s">
        <v>820</v>
      </c>
      <c r="I2039" s="12">
        <v>-1</v>
      </c>
      <c r="J2039" s="12">
        <v>18251.5</v>
      </c>
      <c r="K2039" s="12">
        <v>18255</v>
      </c>
      <c r="L2039" s="12">
        <v>36503</v>
      </c>
      <c r="M2039" s="12">
        <v>0</v>
      </c>
      <c r="N2039" s="12">
        <v>-36503</v>
      </c>
      <c r="O2039" s="12">
        <v>0</v>
      </c>
      <c r="P2039" s="12">
        <v>-7</v>
      </c>
      <c r="Q2039" s="12" t="s">
        <v>215</v>
      </c>
    </row>
    <row r="2040" spans="1:17" x14ac:dyDescent="0.3">
      <c r="A2040" s="12" t="s">
        <v>93</v>
      </c>
      <c r="B2040" s="12" t="s">
        <v>201</v>
      </c>
      <c r="C2040" s="12" t="s">
        <v>123</v>
      </c>
      <c r="D2040" s="12" t="s">
        <v>209</v>
      </c>
      <c r="E2040" s="12" t="s">
        <v>112</v>
      </c>
      <c r="F2040" s="12" t="s">
        <v>114</v>
      </c>
      <c r="G2040" s="12" t="s">
        <v>53</v>
      </c>
      <c r="H2040" s="12" t="s">
        <v>821</v>
      </c>
      <c r="I2040" s="12">
        <v>-1</v>
      </c>
      <c r="J2040" s="12">
        <v>18266.25</v>
      </c>
      <c r="K2040" s="12">
        <v>18255</v>
      </c>
      <c r="L2040" s="12">
        <v>36532.5</v>
      </c>
      <c r="M2040" s="12">
        <v>0</v>
      </c>
      <c r="N2040" s="12">
        <v>-36532.5</v>
      </c>
      <c r="O2040" s="12">
        <v>0</v>
      </c>
      <c r="P2040" s="12">
        <v>22.5</v>
      </c>
      <c r="Q2040" s="12" t="s">
        <v>215</v>
      </c>
    </row>
    <row r="2041" spans="1:17" x14ac:dyDescent="0.3">
      <c r="A2041" s="12" t="s">
        <v>93</v>
      </c>
      <c r="B2041" s="12" t="s">
        <v>201</v>
      </c>
      <c r="C2041" s="12" t="s">
        <v>213</v>
      </c>
      <c r="E2041" s="12" t="s">
        <v>112</v>
      </c>
      <c r="F2041" s="12" t="s">
        <v>114</v>
      </c>
      <c r="G2041" s="12" t="s">
        <v>53</v>
      </c>
      <c r="I2041" s="12">
        <v>-2</v>
      </c>
      <c r="L2041" s="12">
        <v>73035.5</v>
      </c>
      <c r="M2041" s="12">
        <v>0</v>
      </c>
      <c r="N2041" s="12">
        <v>-73035.5</v>
      </c>
      <c r="O2041" s="12">
        <v>0</v>
      </c>
      <c r="P2041" s="12">
        <v>15.5</v>
      </c>
    </row>
    <row r="2042" spans="1:17" x14ac:dyDescent="0.3">
      <c r="A2042" s="12" t="s">
        <v>93</v>
      </c>
      <c r="B2042" s="12" t="s">
        <v>201</v>
      </c>
      <c r="C2042" s="12" t="s">
        <v>97</v>
      </c>
      <c r="E2042" s="12" t="s">
        <v>112</v>
      </c>
      <c r="F2042" s="12" t="s">
        <v>114</v>
      </c>
      <c r="L2042" s="12">
        <v>203688</v>
      </c>
      <c r="M2042" s="12">
        <v>0</v>
      </c>
      <c r="N2042" s="12">
        <v>-204575.25</v>
      </c>
      <c r="O2042" s="12">
        <v>-887.25</v>
      </c>
      <c r="P2042" s="12">
        <v>-147</v>
      </c>
      <c r="Q2042" s="12" t="s">
        <v>257</v>
      </c>
    </row>
    <row r="2043" spans="1:17" x14ac:dyDescent="0.3">
      <c r="A2043" s="12" t="s">
        <v>93</v>
      </c>
      <c r="B2043" s="12" t="s">
        <v>773</v>
      </c>
      <c r="C2043" s="12" t="s">
        <v>120</v>
      </c>
      <c r="D2043" s="12" t="s">
        <v>181</v>
      </c>
      <c r="E2043" s="12" t="s">
        <v>822</v>
      </c>
      <c r="F2043" s="12" t="s">
        <v>269</v>
      </c>
      <c r="G2043" s="12" t="s">
        <v>270</v>
      </c>
    </row>
    <row r="2044" spans="1:17" x14ac:dyDescent="0.3">
      <c r="A2044" s="12" t="s">
        <v>93</v>
      </c>
      <c r="B2044" s="12" t="s">
        <v>773</v>
      </c>
      <c r="C2044" s="12" t="s">
        <v>123</v>
      </c>
      <c r="D2044" s="12" t="s">
        <v>114</v>
      </c>
      <c r="E2044" s="20">
        <v>45422</v>
      </c>
      <c r="F2044" s="12" t="s">
        <v>823</v>
      </c>
      <c r="G2044" s="12">
        <v>250000</v>
      </c>
    </row>
    <row r="2045" spans="1:17" x14ac:dyDescent="0.3">
      <c r="A2045" s="12" t="s">
        <v>93</v>
      </c>
      <c r="B2045" s="12" t="s">
        <v>773</v>
      </c>
      <c r="C2045" s="12" t="s">
        <v>123</v>
      </c>
      <c r="D2045" s="12" t="s">
        <v>97</v>
      </c>
      <c r="G2045" s="12">
        <v>250000</v>
      </c>
    </row>
    <row r="2046" spans="1:17" x14ac:dyDescent="0.3">
      <c r="A2046" s="12" t="s">
        <v>93</v>
      </c>
      <c r="B2046" s="12" t="s">
        <v>157</v>
      </c>
      <c r="C2046" s="12" t="s">
        <v>120</v>
      </c>
      <c r="D2046" s="12" t="s">
        <v>181</v>
      </c>
      <c r="E2046" s="12" t="s">
        <v>268</v>
      </c>
      <c r="F2046" s="12" t="s">
        <v>269</v>
      </c>
      <c r="G2046" s="12" t="s">
        <v>270</v>
      </c>
    </row>
    <row r="2047" spans="1:17" x14ac:dyDescent="0.3">
      <c r="A2047" s="12" t="s">
        <v>93</v>
      </c>
      <c r="B2047" s="12" t="s">
        <v>157</v>
      </c>
      <c r="C2047" s="12" t="s">
        <v>123</v>
      </c>
      <c r="D2047" s="12" t="s">
        <v>114</v>
      </c>
      <c r="E2047" s="20">
        <v>45422</v>
      </c>
      <c r="F2047" s="12" t="s">
        <v>824</v>
      </c>
      <c r="G2047" s="12">
        <v>11.6</v>
      </c>
    </row>
    <row r="2048" spans="1:17" x14ac:dyDescent="0.3">
      <c r="A2048" s="12" t="s">
        <v>93</v>
      </c>
      <c r="B2048" s="12" t="s">
        <v>157</v>
      </c>
      <c r="C2048" s="12" t="s">
        <v>123</v>
      </c>
      <c r="D2048" s="12" t="s">
        <v>114</v>
      </c>
      <c r="E2048" s="20">
        <v>45422</v>
      </c>
      <c r="F2048" s="12" t="s">
        <v>825</v>
      </c>
      <c r="G2048" s="12">
        <v>26.98</v>
      </c>
    </row>
    <row r="2049" spans="1:8" x14ac:dyDescent="0.3">
      <c r="A2049" s="12" t="s">
        <v>93</v>
      </c>
      <c r="B2049" s="12" t="s">
        <v>157</v>
      </c>
      <c r="C2049" s="12" t="s">
        <v>123</v>
      </c>
      <c r="D2049" s="12" t="s">
        <v>114</v>
      </c>
      <c r="E2049" s="20">
        <v>45428</v>
      </c>
      <c r="F2049" s="12" t="s">
        <v>826</v>
      </c>
      <c r="G2049" s="12">
        <v>9</v>
      </c>
    </row>
    <row r="2050" spans="1:8" x14ac:dyDescent="0.3">
      <c r="A2050" s="12" t="s">
        <v>93</v>
      </c>
      <c r="B2050" s="12" t="s">
        <v>157</v>
      </c>
      <c r="C2050" s="12" t="s">
        <v>123</v>
      </c>
      <c r="D2050" s="12" t="s">
        <v>114</v>
      </c>
      <c r="E2050" s="20">
        <v>45432</v>
      </c>
      <c r="F2050" s="12" t="s">
        <v>827</v>
      </c>
      <c r="G2050" s="12">
        <v>16.899999999999999</v>
      </c>
    </row>
    <row r="2051" spans="1:8" x14ac:dyDescent="0.3">
      <c r="A2051" s="12" t="s">
        <v>93</v>
      </c>
      <c r="B2051" s="12" t="s">
        <v>157</v>
      </c>
      <c r="C2051" s="12" t="s">
        <v>123</v>
      </c>
      <c r="D2051" s="12" t="s">
        <v>114</v>
      </c>
      <c r="E2051" s="20">
        <v>45436</v>
      </c>
      <c r="F2051" s="12" t="s">
        <v>601</v>
      </c>
      <c r="G2051" s="12">
        <v>87.98</v>
      </c>
    </row>
    <row r="2052" spans="1:8" x14ac:dyDescent="0.3">
      <c r="A2052" s="12" t="s">
        <v>93</v>
      </c>
      <c r="B2052" s="12" t="s">
        <v>157</v>
      </c>
      <c r="C2052" s="12" t="s">
        <v>123</v>
      </c>
      <c r="D2052" s="12" t="s">
        <v>114</v>
      </c>
      <c r="E2052" s="20">
        <v>45440</v>
      </c>
      <c r="F2052" s="12" t="s">
        <v>602</v>
      </c>
      <c r="G2052" s="12">
        <v>4.1500000000000004</v>
      </c>
    </row>
    <row r="2053" spans="1:8" x14ac:dyDescent="0.3">
      <c r="A2053" s="12" t="s">
        <v>93</v>
      </c>
      <c r="B2053" s="12" t="s">
        <v>157</v>
      </c>
      <c r="C2053" s="12" t="s">
        <v>123</v>
      </c>
      <c r="D2053" s="12" t="s">
        <v>97</v>
      </c>
      <c r="G2053" s="12">
        <v>156.61000000000001</v>
      </c>
    </row>
    <row r="2054" spans="1:8" x14ac:dyDescent="0.3">
      <c r="A2054" s="12" t="s">
        <v>93</v>
      </c>
      <c r="B2054" s="12" t="s">
        <v>158</v>
      </c>
      <c r="C2054" s="12" t="s">
        <v>120</v>
      </c>
      <c r="D2054" s="12" t="s">
        <v>181</v>
      </c>
      <c r="E2054" s="12" t="s">
        <v>268</v>
      </c>
      <c r="F2054" s="12" t="s">
        <v>269</v>
      </c>
      <c r="G2054" s="12" t="s">
        <v>270</v>
      </c>
      <c r="H2054" s="12" t="s">
        <v>165</v>
      </c>
    </row>
    <row r="2055" spans="1:8" x14ac:dyDescent="0.3">
      <c r="A2055" s="12" t="s">
        <v>93</v>
      </c>
      <c r="B2055" s="12" t="s">
        <v>158</v>
      </c>
      <c r="C2055" s="12" t="s">
        <v>123</v>
      </c>
      <c r="D2055" s="12" t="s">
        <v>114</v>
      </c>
      <c r="E2055" s="20">
        <v>45422</v>
      </c>
      <c r="F2055" s="12" t="s">
        <v>828</v>
      </c>
      <c r="G2055" s="12">
        <v>-2.9</v>
      </c>
    </row>
    <row r="2056" spans="1:8" x14ac:dyDescent="0.3">
      <c r="A2056" s="12" t="s">
        <v>93</v>
      </c>
      <c r="B2056" s="12" t="s">
        <v>158</v>
      </c>
      <c r="C2056" s="12" t="s">
        <v>123</v>
      </c>
      <c r="D2056" s="12" t="s">
        <v>114</v>
      </c>
      <c r="E2056" s="20">
        <v>45422</v>
      </c>
      <c r="F2056" s="12" t="s">
        <v>829</v>
      </c>
      <c r="G2056" s="12">
        <v>-6.75</v>
      </c>
    </row>
    <row r="2057" spans="1:8" x14ac:dyDescent="0.3">
      <c r="A2057" s="12" t="s">
        <v>93</v>
      </c>
      <c r="B2057" s="12" t="s">
        <v>158</v>
      </c>
      <c r="C2057" s="12" t="s">
        <v>123</v>
      </c>
      <c r="D2057" s="12" t="s">
        <v>114</v>
      </c>
      <c r="E2057" s="20">
        <v>45428</v>
      </c>
      <c r="F2057" s="12" t="s">
        <v>830</v>
      </c>
      <c r="G2057" s="12">
        <v>-2.25</v>
      </c>
    </row>
    <row r="2058" spans="1:8" x14ac:dyDescent="0.3">
      <c r="A2058" s="12" t="s">
        <v>93</v>
      </c>
      <c r="B2058" s="12" t="s">
        <v>158</v>
      </c>
      <c r="C2058" s="12" t="s">
        <v>123</v>
      </c>
      <c r="D2058" s="12" t="s">
        <v>114</v>
      </c>
      <c r="E2058" s="20">
        <v>45432</v>
      </c>
      <c r="F2058" s="12" t="s">
        <v>831</v>
      </c>
      <c r="G2058" s="12">
        <v>-4.2300000000000004</v>
      </c>
    </row>
    <row r="2059" spans="1:8" x14ac:dyDescent="0.3">
      <c r="A2059" s="12" t="s">
        <v>93</v>
      </c>
      <c r="B2059" s="12" t="s">
        <v>158</v>
      </c>
      <c r="C2059" s="12" t="s">
        <v>123</v>
      </c>
      <c r="D2059" s="12" t="s">
        <v>114</v>
      </c>
      <c r="E2059" s="20">
        <v>45436</v>
      </c>
      <c r="F2059" s="12" t="s">
        <v>610</v>
      </c>
      <c r="G2059" s="12">
        <v>-22</v>
      </c>
    </row>
    <row r="2060" spans="1:8" x14ac:dyDescent="0.3">
      <c r="A2060" s="12" t="s">
        <v>93</v>
      </c>
      <c r="B2060" s="12" t="s">
        <v>158</v>
      </c>
      <c r="C2060" s="12" t="s">
        <v>123</v>
      </c>
      <c r="D2060" s="12" t="s">
        <v>114</v>
      </c>
      <c r="E2060" s="20">
        <v>45440</v>
      </c>
      <c r="F2060" s="12" t="s">
        <v>611</v>
      </c>
      <c r="G2060" s="12">
        <v>-1.04</v>
      </c>
    </row>
    <row r="2061" spans="1:8" x14ac:dyDescent="0.3">
      <c r="A2061" s="12" t="s">
        <v>93</v>
      </c>
      <c r="B2061" s="12" t="s">
        <v>158</v>
      </c>
      <c r="C2061" s="12" t="s">
        <v>123</v>
      </c>
      <c r="D2061" s="12" t="s">
        <v>97</v>
      </c>
      <c r="G2061" s="12">
        <v>-39.17</v>
      </c>
    </row>
    <row r="2062" spans="1:8" x14ac:dyDescent="0.3">
      <c r="A2062" s="12" t="s">
        <v>93</v>
      </c>
      <c r="B2062" s="12" t="s">
        <v>160</v>
      </c>
      <c r="C2062" s="12" t="s">
        <v>120</v>
      </c>
      <c r="D2062" s="12" t="s">
        <v>181</v>
      </c>
      <c r="E2062" s="12" t="s">
        <v>268</v>
      </c>
      <c r="F2062" s="12" t="s">
        <v>269</v>
      </c>
      <c r="G2062" s="12" t="s">
        <v>270</v>
      </c>
    </row>
    <row r="2063" spans="1:8" x14ac:dyDescent="0.3">
      <c r="A2063" s="12" t="s">
        <v>93</v>
      </c>
      <c r="B2063" s="12" t="s">
        <v>160</v>
      </c>
      <c r="C2063" s="12" t="s">
        <v>123</v>
      </c>
      <c r="D2063" s="12" t="s">
        <v>114</v>
      </c>
      <c r="E2063" s="20">
        <v>45415</v>
      </c>
      <c r="F2063" s="12" t="s">
        <v>832</v>
      </c>
      <c r="G2063" s="12">
        <v>2.46</v>
      </c>
    </row>
    <row r="2064" spans="1:8" x14ac:dyDescent="0.3">
      <c r="A2064" s="12" t="s">
        <v>93</v>
      </c>
      <c r="B2064" s="12" t="s">
        <v>160</v>
      </c>
      <c r="C2064" s="12" t="s">
        <v>123</v>
      </c>
      <c r="D2064" s="12" t="s">
        <v>114</v>
      </c>
      <c r="E2064" s="20">
        <v>45415</v>
      </c>
      <c r="F2064" s="12" t="s">
        <v>833</v>
      </c>
      <c r="G2064" s="12">
        <v>-2.4700000000000002</v>
      </c>
    </row>
    <row r="2065" spans="1:16" x14ac:dyDescent="0.3">
      <c r="A2065" s="12" t="s">
        <v>93</v>
      </c>
      <c r="B2065" s="12" t="s">
        <v>160</v>
      </c>
      <c r="C2065" s="12" t="s">
        <v>123</v>
      </c>
      <c r="D2065" s="12" t="s">
        <v>97</v>
      </c>
      <c r="G2065" s="12">
        <v>-0.01</v>
      </c>
    </row>
    <row r="2066" spans="1:16" x14ac:dyDescent="0.3">
      <c r="A2066" s="12" t="s">
        <v>93</v>
      </c>
      <c r="B2066" s="12" t="s">
        <v>151</v>
      </c>
      <c r="C2066" s="12" t="s">
        <v>120</v>
      </c>
      <c r="D2066" s="12" t="s">
        <v>181</v>
      </c>
      <c r="E2066" s="12" t="s">
        <v>121</v>
      </c>
      <c r="F2066" s="12" t="s">
        <v>122</v>
      </c>
    </row>
    <row r="2067" spans="1:16" x14ac:dyDescent="0.3">
      <c r="A2067" s="12" t="s">
        <v>93</v>
      </c>
      <c r="B2067" s="12" t="s">
        <v>151</v>
      </c>
      <c r="C2067" s="12" t="s">
        <v>123</v>
      </c>
      <c r="D2067" s="12" t="s">
        <v>184</v>
      </c>
      <c r="E2067" s="12" t="s">
        <v>278</v>
      </c>
      <c r="F2067" s="12">
        <v>-1.43</v>
      </c>
    </row>
    <row r="2068" spans="1:16" x14ac:dyDescent="0.3">
      <c r="A2068" s="12" t="s">
        <v>93</v>
      </c>
      <c r="B2068" s="12" t="s">
        <v>151</v>
      </c>
      <c r="C2068" s="12" t="s">
        <v>123</v>
      </c>
      <c r="D2068" s="12" t="s">
        <v>184</v>
      </c>
      <c r="E2068" s="12" t="s">
        <v>279</v>
      </c>
      <c r="F2068" s="12">
        <v>195.41</v>
      </c>
    </row>
    <row r="2069" spans="1:16" x14ac:dyDescent="0.3">
      <c r="A2069" s="12" t="s">
        <v>93</v>
      </c>
      <c r="B2069" s="12" t="s">
        <v>151</v>
      </c>
      <c r="C2069" s="12" t="s">
        <v>123</v>
      </c>
      <c r="D2069" s="12" t="s">
        <v>184</v>
      </c>
      <c r="E2069" s="12" t="s">
        <v>280</v>
      </c>
      <c r="F2069" s="12">
        <v>0.01</v>
      </c>
    </row>
    <row r="2070" spans="1:16" x14ac:dyDescent="0.3">
      <c r="A2070" s="12" t="s">
        <v>93</v>
      </c>
      <c r="B2070" s="12" t="s">
        <v>151</v>
      </c>
      <c r="C2070" s="12" t="s">
        <v>123</v>
      </c>
      <c r="D2070" s="12" t="s">
        <v>184</v>
      </c>
      <c r="E2070" s="12" t="s">
        <v>282</v>
      </c>
      <c r="F2070" s="12">
        <v>193.99</v>
      </c>
    </row>
    <row r="2071" spans="1:16" x14ac:dyDescent="0.3">
      <c r="A2071" s="12" t="s">
        <v>93</v>
      </c>
      <c r="B2071" s="12" t="s">
        <v>159</v>
      </c>
      <c r="C2071" s="12" t="s">
        <v>120</v>
      </c>
      <c r="D2071" s="12" t="s">
        <v>100</v>
      </c>
      <c r="E2071" s="12" t="s">
        <v>181</v>
      </c>
      <c r="F2071" s="12" t="s">
        <v>0</v>
      </c>
      <c r="G2071" s="12" t="s">
        <v>268</v>
      </c>
      <c r="H2071" s="12" t="s">
        <v>283</v>
      </c>
      <c r="I2071" s="12" t="s">
        <v>284</v>
      </c>
      <c r="J2071" s="12" t="s">
        <v>193</v>
      </c>
      <c r="K2071" s="12" t="s">
        <v>285</v>
      </c>
      <c r="L2071" s="12" t="s">
        <v>286</v>
      </c>
      <c r="M2071" s="12" t="s">
        <v>287</v>
      </c>
      <c r="N2071" s="12" t="s">
        <v>288</v>
      </c>
      <c r="O2071" s="12" t="s">
        <v>289</v>
      </c>
      <c r="P2071" s="12" t="s">
        <v>165</v>
      </c>
    </row>
    <row r="2072" spans="1:16" x14ac:dyDescent="0.3">
      <c r="A2072" s="12" t="s">
        <v>93</v>
      </c>
      <c r="B2072" s="12" t="s">
        <v>159</v>
      </c>
      <c r="C2072" s="12" t="s">
        <v>123</v>
      </c>
      <c r="D2072" s="12" t="s">
        <v>290</v>
      </c>
      <c r="O2072" s="12">
        <v>41.6</v>
      </c>
    </row>
    <row r="2073" spans="1:16" x14ac:dyDescent="0.3">
      <c r="A2073" s="12" t="s">
        <v>93</v>
      </c>
      <c r="B2073" s="12" t="s">
        <v>159</v>
      </c>
      <c r="C2073" s="12" t="s">
        <v>123</v>
      </c>
      <c r="D2073" s="12" t="s">
        <v>110</v>
      </c>
      <c r="E2073" s="12" t="s">
        <v>114</v>
      </c>
      <c r="F2073" s="12" t="s">
        <v>2</v>
      </c>
      <c r="G2073" s="20">
        <v>45421</v>
      </c>
      <c r="H2073" s="20">
        <v>45422</v>
      </c>
      <c r="I2073" s="20">
        <v>45428</v>
      </c>
      <c r="J2073" s="12">
        <v>36</v>
      </c>
      <c r="K2073" s="12">
        <v>2.25</v>
      </c>
      <c r="L2073" s="12">
        <v>0</v>
      </c>
      <c r="M2073" s="12">
        <v>0.25</v>
      </c>
      <c r="N2073" s="12">
        <v>9</v>
      </c>
      <c r="O2073" s="12">
        <v>6.75</v>
      </c>
      <c r="P2073" s="12" t="s">
        <v>291</v>
      </c>
    </row>
    <row r="2074" spans="1:16" x14ac:dyDescent="0.3">
      <c r="A2074" s="12" t="s">
        <v>93</v>
      </c>
      <c r="B2074" s="12" t="s">
        <v>159</v>
      </c>
      <c r="C2074" s="12" t="s">
        <v>123</v>
      </c>
      <c r="D2074" s="12" t="s">
        <v>110</v>
      </c>
      <c r="E2074" s="12" t="s">
        <v>114</v>
      </c>
      <c r="F2074" s="12" t="s">
        <v>2</v>
      </c>
      <c r="G2074" s="20">
        <v>45428</v>
      </c>
      <c r="H2074" s="20">
        <v>45422</v>
      </c>
      <c r="I2074" s="20">
        <v>45428</v>
      </c>
      <c r="J2074" s="12">
        <v>36</v>
      </c>
      <c r="K2074" s="12">
        <v>-2.25</v>
      </c>
      <c r="L2074" s="12">
        <v>0</v>
      </c>
      <c r="M2074" s="12">
        <v>0.25</v>
      </c>
      <c r="N2074" s="12">
        <v>-9</v>
      </c>
      <c r="O2074" s="12">
        <v>-6.75</v>
      </c>
      <c r="P2074" s="12" t="s">
        <v>292</v>
      </c>
    </row>
    <row r="2075" spans="1:16" x14ac:dyDescent="0.3">
      <c r="A2075" s="12" t="s">
        <v>93</v>
      </c>
      <c r="B2075" s="12" t="s">
        <v>159</v>
      </c>
      <c r="C2075" s="12" t="s">
        <v>123</v>
      </c>
      <c r="D2075" s="12" t="s">
        <v>110</v>
      </c>
      <c r="E2075" s="12" t="s">
        <v>114</v>
      </c>
      <c r="F2075" s="12" t="s">
        <v>3</v>
      </c>
      <c r="G2075" s="20">
        <v>45414</v>
      </c>
      <c r="H2075" s="20">
        <v>45415</v>
      </c>
      <c r="I2075" s="20">
        <v>45436</v>
      </c>
      <c r="J2075" s="12">
        <v>166</v>
      </c>
      <c r="K2075" s="12">
        <v>22</v>
      </c>
      <c r="L2075" s="12">
        <v>0</v>
      </c>
      <c r="M2075" s="12">
        <v>0.53</v>
      </c>
      <c r="N2075" s="12">
        <v>87.98</v>
      </c>
      <c r="O2075" s="12">
        <v>65.98</v>
      </c>
      <c r="P2075" s="12" t="s">
        <v>291</v>
      </c>
    </row>
    <row r="2076" spans="1:16" x14ac:dyDescent="0.3">
      <c r="A2076" s="12" t="s">
        <v>93</v>
      </c>
      <c r="B2076" s="12" t="s">
        <v>159</v>
      </c>
      <c r="C2076" s="12" t="s">
        <v>123</v>
      </c>
      <c r="D2076" s="12" t="s">
        <v>110</v>
      </c>
      <c r="E2076" s="12" t="s">
        <v>114</v>
      </c>
      <c r="F2076" s="12" t="s">
        <v>3</v>
      </c>
      <c r="G2076" s="20">
        <v>45436</v>
      </c>
      <c r="H2076" s="20">
        <v>45415</v>
      </c>
      <c r="I2076" s="20">
        <v>45436</v>
      </c>
      <c r="J2076" s="12">
        <v>166</v>
      </c>
      <c r="K2076" s="12">
        <v>-22</v>
      </c>
      <c r="L2076" s="12">
        <v>0</v>
      </c>
      <c r="M2076" s="12">
        <v>0.53</v>
      </c>
      <c r="N2076" s="12">
        <v>-87.98</v>
      </c>
      <c r="O2076" s="12">
        <v>-65.98</v>
      </c>
      <c r="P2076" s="12" t="s">
        <v>292</v>
      </c>
    </row>
    <row r="2077" spans="1:16" x14ac:dyDescent="0.3">
      <c r="A2077" s="12" t="s">
        <v>93</v>
      </c>
      <c r="B2077" s="12" t="s">
        <v>159</v>
      </c>
      <c r="C2077" s="12" t="s">
        <v>123</v>
      </c>
      <c r="D2077" s="12" t="s">
        <v>110</v>
      </c>
      <c r="E2077" s="12" t="s">
        <v>114</v>
      </c>
      <c r="F2077" s="12" t="s">
        <v>46</v>
      </c>
      <c r="G2077" s="20">
        <v>45432</v>
      </c>
      <c r="H2077" s="20">
        <v>45401</v>
      </c>
      <c r="I2077" s="20">
        <v>45432</v>
      </c>
      <c r="J2077" s="12">
        <v>13</v>
      </c>
      <c r="K2077" s="12">
        <v>-4.2300000000000004</v>
      </c>
      <c r="L2077" s="12">
        <v>0</v>
      </c>
      <c r="M2077" s="12">
        <v>1.3</v>
      </c>
      <c r="N2077" s="12">
        <v>-16.899999999999999</v>
      </c>
      <c r="O2077" s="12">
        <v>-12.67</v>
      </c>
      <c r="P2077" s="12" t="s">
        <v>292</v>
      </c>
    </row>
    <row r="2078" spans="1:16" x14ac:dyDescent="0.3">
      <c r="A2078" s="12" t="s">
        <v>93</v>
      </c>
      <c r="B2078" s="12" t="s">
        <v>159</v>
      </c>
      <c r="C2078" s="12" t="s">
        <v>123</v>
      </c>
      <c r="D2078" s="12" t="s">
        <v>110</v>
      </c>
      <c r="E2078" s="12" t="s">
        <v>114</v>
      </c>
      <c r="F2078" s="12" t="s">
        <v>11</v>
      </c>
      <c r="G2078" s="20">
        <v>45422</v>
      </c>
      <c r="H2078" s="20">
        <v>45407</v>
      </c>
      <c r="I2078" s="20">
        <v>45422</v>
      </c>
      <c r="J2078" s="12">
        <v>10</v>
      </c>
      <c r="K2078" s="12">
        <v>-2.9</v>
      </c>
      <c r="L2078" s="12">
        <v>0</v>
      </c>
      <c r="M2078" s="12">
        <v>1.1599999999999999</v>
      </c>
      <c r="N2078" s="12">
        <v>-11.6</v>
      </c>
      <c r="O2078" s="12">
        <v>-8.6999999999999993</v>
      </c>
      <c r="P2078" s="12" t="s">
        <v>292</v>
      </c>
    </row>
    <row r="2079" spans="1:16" x14ac:dyDescent="0.3">
      <c r="A2079" s="12" t="s">
        <v>93</v>
      </c>
      <c r="B2079" s="12" t="s">
        <v>159</v>
      </c>
      <c r="C2079" s="12" t="s">
        <v>123</v>
      </c>
      <c r="D2079" s="12" t="s">
        <v>110</v>
      </c>
      <c r="E2079" s="12" t="s">
        <v>114</v>
      </c>
      <c r="F2079" s="12" t="s">
        <v>18</v>
      </c>
      <c r="G2079" s="20">
        <v>45422</v>
      </c>
      <c r="H2079" s="20">
        <v>45393</v>
      </c>
      <c r="I2079" s="20">
        <v>45422</v>
      </c>
      <c r="J2079" s="12">
        <v>19</v>
      </c>
      <c r="K2079" s="12">
        <v>-6.75</v>
      </c>
      <c r="L2079" s="12">
        <v>0</v>
      </c>
      <c r="M2079" s="12">
        <v>1.42</v>
      </c>
      <c r="N2079" s="12">
        <v>-26.98</v>
      </c>
      <c r="O2079" s="12">
        <v>-20.23</v>
      </c>
      <c r="P2079" s="12" t="s">
        <v>292</v>
      </c>
    </row>
    <row r="2080" spans="1:16" x14ac:dyDescent="0.3">
      <c r="A2080" s="12" t="s">
        <v>93</v>
      </c>
      <c r="B2080" s="12" t="s">
        <v>159</v>
      </c>
      <c r="C2080" s="12" t="s">
        <v>123</v>
      </c>
      <c r="D2080" s="12" t="s">
        <v>110</v>
      </c>
      <c r="E2080" s="12" t="s">
        <v>114</v>
      </c>
      <c r="F2080" s="12" t="s">
        <v>20</v>
      </c>
      <c r="G2080" s="20">
        <v>45441</v>
      </c>
      <c r="H2080" s="20">
        <v>45442</v>
      </c>
      <c r="I2080" s="20">
        <v>45456</v>
      </c>
      <c r="J2080" s="12">
        <v>11</v>
      </c>
      <c r="K2080" s="12">
        <v>6.19</v>
      </c>
      <c r="L2080" s="12">
        <v>0</v>
      </c>
      <c r="M2080" s="12">
        <v>2.25</v>
      </c>
      <c r="N2080" s="12">
        <v>24.75</v>
      </c>
      <c r="O2080" s="12">
        <v>18.559999999999999</v>
      </c>
      <c r="P2080" s="12" t="s">
        <v>291</v>
      </c>
    </row>
    <row r="2081" spans="1:16" x14ac:dyDescent="0.3">
      <c r="A2081" s="12" t="s">
        <v>93</v>
      </c>
      <c r="B2081" s="12" t="s">
        <v>159</v>
      </c>
      <c r="C2081" s="12" t="s">
        <v>123</v>
      </c>
      <c r="D2081" s="12" t="s">
        <v>110</v>
      </c>
      <c r="E2081" s="12" t="s">
        <v>114</v>
      </c>
      <c r="F2081" s="12" t="s">
        <v>22</v>
      </c>
      <c r="G2081" s="20">
        <v>45420</v>
      </c>
      <c r="H2081" s="20">
        <v>45421</v>
      </c>
      <c r="I2081" s="20">
        <v>45440</v>
      </c>
      <c r="J2081" s="12">
        <v>83</v>
      </c>
      <c r="K2081" s="12">
        <v>1.04</v>
      </c>
      <c r="L2081" s="12">
        <v>0</v>
      </c>
      <c r="M2081" s="12">
        <v>0.05</v>
      </c>
      <c r="N2081" s="12">
        <v>4.1500000000000004</v>
      </c>
      <c r="O2081" s="12">
        <v>3.11</v>
      </c>
      <c r="P2081" s="12" t="s">
        <v>291</v>
      </c>
    </row>
    <row r="2082" spans="1:16" x14ac:dyDescent="0.3">
      <c r="A2082" s="12" t="s">
        <v>93</v>
      </c>
      <c r="B2082" s="12" t="s">
        <v>159</v>
      </c>
      <c r="C2082" s="12" t="s">
        <v>123</v>
      </c>
      <c r="D2082" s="12" t="s">
        <v>110</v>
      </c>
      <c r="E2082" s="12" t="s">
        <v>114</v>
      </c>
      <c r="F2082" s="12" t="s">
        <v>22</v>
      </c>
      <c r="G2082" s="20">
        <v>45440</v>
      </c>
      <c r="H2082" s="20">
        <v>45421</v>
      </c>
      <c r="I2082" s="20">
        <v>45440</v>
      </c>
      <c r="J2082" s="12">
        <v>83</v>
      </c>
      <c r="K2082" s="12">
        <v>-1.04</v>
      </c>
      <c r="L2082" s="12">
        <v>0</v>
      </c>
      <c r="M2082" s="12">
        <v>0.05</v>
      </c>
      <c r="N2082" s="12">
        <v>-4.1500000000000004</v>
      </c>
      <c r="O2082" s="12">
        <v>-3.11</v>
      </c>
      <c r="P2082" s="12" t="s">
        <v>292</v>
      </c>
    </row>
    <row r="2083" spans="1:16" x14ac:dyDescent="0.3">
      <c r="A2083" s="12" t="s">
        <v>93</v>
      </c>
      <c r="B2083" s="12" t="s">
        <v>159</v>
      </c>
      <c r="C2083" s="12" t="s">
        <v>123</v>
      </c>
      <c r="D2083" s="12" t="s">
        <v>110</v>
      </c>
      <c r="E2083" s="12" t="s">
        <v>114</v>
      </c>
      <c r="F2083" s="12" t="s">
        <v>37</v>
      </c>
      <c r="G2083" s="20">
        <v>45420</v>
      </c>
      <c r="H2083" s="20">
        <v>45421</v>
      </c>
      <c r="I2083" s="20">
        <v>45453</v>
      </c>
      <c r="J2083" s="12">
        <v>30</v>
      </c>
      <c r="K2083" s="12">
        <v>12.53</v>
      </c>
      <c r="L2083" s="12">
        <v>0</v>
      </c>
      <c r="M2083" s="12">
        <v>1.67</v>
      </c>
      <c r="N2083" s="12">
        <v>50.1</v>
      </c>
      <c r="O2083" s="12">
        <v>37.57</v>
      </c>
      <c r="P2083" s="12" t="s">
        <v>291</v>
      </c>
    </row>
    <row r="2084" spans="1:16" x14ac:dyDescent="0.3">
      <c r="A2084" s="12" t="s">
        <v>93</v>
      </c>
      <c r="B2084" s="12" t="s">
        <v>159</v>
      </c>
      <c r="C2084" s="12" t="s">
        <v>123</v>
      </c>
      <c r="D2084" s="12" t="s">
        <v>110</v>
      </c>
      <c r="E2084" s="12" t="s">
        <v>114</v>
      </c>
      <c r="F2084" s="12" t="s">
        <v>24</v>
      </c>
      <c r="G2084" s="20">
        <v>45426</v>
      </c>
      <c r="H2084" s="20">
        <v>45427</v>
      </c>
      <c r="I2084" s="20">
        <v>45449</v>
      </c>
      <c r="J2084" s="12">
        <v>50</v>
      </c>
      <c r="K2084" s="12">
        <v>0.26</v>
      </c>
      <c r="L2084" s="12">
        <v>0</v>
      </c>
      <c r="M2084" s="12">
        <v>0.02</v>
      </c>
      <c r="N2084" s="12">
        <v>1</v>
      </c>
      <c r="O2084" s="12">
        <v>0.74</v>
      </c>
      <c r="P2084" s="12" t="s">
        <v>291</v>
      </c>
    </row>
    <row r="2085" spans="1:16" x14ac:dyDescent="0.3">
      <c r="A2085" s="12" t="s">
        <v>93</v>
      </c>
      <c r="B2085" s="12" t="s">
        <v>159</v>
      </c>
      <c r="C2085" s="12" t="s">
        <v>123</v>
      </c>
      <c r="D2085" s="12" t="s">
        <v>110</v>
      </c>
      <c r="E2085" s="12" t="s">
        <v>114</v>
      </c>
      <c r="F2085" s="12" t="s">
        <v>24</v>
      </c>
      <c r="G2085" s="20">
        <v>45426</v>
      </c>
      <c r="H2085" s="20">
        <v>45427</v>
      </c>
      <c r="I2085" s="20">
        <v>45449</v>
      </c>
      <c r="J2085" s="12">
        <v>50</v>
      </c>
      <c r="K2085" s="12">
        <v>0.25</v>
      </c>
      <c r="L2085" s="12">
        <v>0</v>
      </c>
      <c r="M2085" s="12">
        <v>0.02</v>
      </c>
      <c r="N2085" s="12">
        <v>1</v>
      </c>
      <c r="O2085" s="12">
        <v>0.75</v>
      </c>
      <c r="P2085" s="12" t="s">
        <v>291</v>
      </c>
    </row>
    <row r="2086" spans="1:16" x14ac:dyDescent="0.3">
      <c r="A2086" s="12" t="s">
        <v>93</v>
      </c>
      <c r="B2086" s="12" t="s">
        <v>159</v>
      </c>
      <c r="C2086" s="12" t="s">
        <v>123</v>
      </c>
      <c r="D2086" s="12" t="s">
        <v>110</v>
      </c>
      <c r="E2086" s="12" t="s">
        <v>114</v>
      </c>
      <c r="F2086" s="12" t="s">
        <v>24</v>
      </c>
      <c r="G2086" s="20">
        <v>45426</v>
      </c>
      <c r="H2086" s="20">
        <v>45427</v>
      </c>
      <c r="I2086" s="20">
        <v>45449</v>
      </c>
      <c r="J2086" s="12">
        <v>50</v>
      </c>
      <c r="K2086" s="12">
        <v>-0.26</v>
      </c>
      <c r="L2086" s="12">
        <v>0</v>
      </c>
      <c r="M2086" s="12">
        <v>0.02</v>
      </c>
      <c r="N2086" s="12">
        <v>-1</v>
      </c>
      <c r="O2086" s="12">
        <v>-0.74</v>
      </c>
      <c r="P2086" s="12" t="s">
        <v>292</v>
      </c>
    </row>
    <row r="2087" spans="1:16" x14ac:dyDescent="0.3">
      <c r="A2087" s="12" t="s">
        <v>93</v>
      </c>
      <c r="B2087" s="12" t="s">
        <v>159</v>
      </c>
      <c r="C2087" s="12" t="s">
        <v>123</v>
      </c>
      <c r="D2087" s="12" t="s">
        <v>110</v>
      </c>
      <c r="E2087" s="12" t="s">
        <v>114</v>
      </c>
      <c r="F2087" s="12" t="s">
        <v>49</v>
      </c>
      <c r="G2087" s="20">
        <v>45426</v>
      </c>
      <c r="H2087" s="20">
        <v>45427</v>
      </c>
      <c r="I2087" s="20">
        <v>45453</v>
      </c>
      <c r="J2087" s="12">
        <v>10</v>
      </c>
      <c r="K2087" s="12">
        <v>3.25</v>
      </c>
      <c r="L2087" s="12">
        <v>0</v>
      </c>
      <c r="M2087" s="12">
        <v>1.3</v>
      </c>
      <c r="N2087" s="12">
        <v>13</v>
      </c>
      <c r="O2087" s="12">
        <v>9.75</v>
      </c>
      <c r="P2087" s="12" t="s">
        <v>291</v>
      </c>
    </row>
    <row r="2088" spans="1:16" x14ac:dyDescent="0.3">
      <c r="A2088" s="12" t="s">
        <v>93</v>
      </c>
      <c r="B2088" s="12" t="s">
        <v>159</v>
      </c>
      <c r="C2088" s="12" t="s">
        <v>123</v>
      </c>
      <c r="D2088" s="12" t="s">
        <v>110</v>
      </c>
      <c r="E2088" s="12" t="s">
        <v>114</v>
      </c>
      <c r="F2088" s="12" t="s">
        <v>26</v>
      </c>
      <c r="G2088" s="20">
        <v>45427</v>
      </c>
      <c r="H2088" s="20">
        <v>45428</v>
      </c>
      <c r="I2088" s="20">
        <v>45450</v>
      </c>
      <c r="J2088" s="12">
        <v>20</v>
      </c>
      <c r="K2088" s="12">
        <v>4.25</v>
      </c>
      <c r="L2088" s="12">
        <v>0</v>
      </c>
      <c r="M2088" s="12">
        <v>0.85</v>
      </c>
      <c r="N2088" s="12">
        <v>17</v>
      </c>
      <c r="O2088" s="12">
        <v>12.75</v>
      </c>
      <c r="P2088" s="12" t="s">
        <v>291</v>
      </c>
    </row>
    <row r="2089" spans="1:16" x14ac:dyDescent="0.3">
      <c r="A2089" s="12" t="s">
        <v>93</v>
      </c>
      <c r="B2089" s="12" t="s">
        <v>159</v>
      </c>
      <c r="C2089" s="12" t="s">
        <v>123</v>
      </c>
      <c r="D2089" s="12" t="s">
        <v>110</v>
      </c>
      <c r="E2089" s="12" t="s">
        <v>114</v>
      </c>
      <c r="F2089" s="12" t="s">
        <v>28</v>
      </c>
      <c r="G2089" s="20">
        <v>45426</v>
      </c>
      <c r="H2089" s="20">
        <v>45427</v>
      </c>
      <c r="I2089" s="20">
        <v>45456</v>
      </c>
      <c r="J2089" s="12">
        <v>49</v>
      </c>
      <c r="K2089" s="12">
        <v>9.19</v>
      </c>
      <c r="L2089" s="12">
        <v>0</v>
      </c>
      <c r="M2089" s="12">
        <v>0.75</v>
      </c>
      <c r="N2089" s="12">
        <v>36.75</v>
      </c>
      <c r="O2089" s="12">
        <v>27.56</v>
      </c>
      <c r="P2089" s="12" t="s">
        <v>291</v>
      </c>
    </row>
    <row r="2090" spans="1:16" x14ac:dyDescent="0.3">
      <c r="A2090" s="12" t="s">
        <v>93</v>
      </c>
      <c r="B2090" s="12" t="s">
        <v>159</v>
      </c>
      <c r="C2090" s="12" t="s">
        <v>123</v>
      </c>
      <c r="D2090" s="12" t="s">
        <v>110</v>
      </c>
      <c r="E2090" s="12" t="s">
        <v>114</v>
      </c>
      <c r="F2090" s="12" t="s">
        <v>39</v>
      </c>
      <c r="G2090" s="20">
        <v>45441</v>
      </c>
      <c r="H2090" s="20">
        <v>45442</v>
      </c>
      <c r="I2090" s="20">
        <v>45463</v>
      </c>
      <c r="J2090" s="12">
        <v>50</v>
      </c>
      <c r="K2090" s="12">
        <v>10.63</v>
      </c>
      <c r="L2090" s="12">
        <v>0</v>
      </c>
      <c r="M2090" s="12">
        <v>0.85</v>
      </c>
      <c r="N2090" s="12">
        <v>42.5</v>
      </c>
      <c r="O2090" s="12">
        <v>31.87</v>
      </c>
      <c r="P2090" s="12" t="s">
        <v>291</v>
      </c>
    </row>
    <row r="2091" spans="1:16" x14ac:dyDescent="0.3">
      <c r="A2091" s="12" t="s">
        <v>93</v>
      </c>
      <c r="B2091" s="12" t="s">
        <v>159</v>
      </c>
      <c r="C2091" s="12" t="s">
        <v>123</v>
      </c>
      <c r="D2091" s="12" t="s">
        <v>110</v>
      </c>
      <c r="E2091" s="12" t="s">
        <v>114</v>
      </c>
      <c r="F2091" s="12" t="s">
        <v>35</v>
      </c>
      <c r="G2091" s="20">
        <v>45425</v>
      </c>
      <c r="H2091" s="20">
        <v>45426</v>
      </c>
      <c r="I2091" s="20">
        <v>45453</v>
      </c>
      <c r="J2091" s="12">
        <v>100</v>
      </c>
      <c r="K2091" s="12">
        <v>23.75</v>
      </c>
      <c r="L2091" s="12">
        <v>0</v>
      </c>
      <c r="M2091" s="12">
        <v>0.95</v>
      </c>
      <c r="N2091" s="12">
        <v>95</v>
      </c>
      <c r="O2091" s="12">
        <v>71.25</v>
      </c>
      <c r="P2091" s="12" t="s">
        <v>291</v>
      </c>
    </row>
    <row r="2092" spans="1:16" x14ac:dyDescent="0.3">
      <c r="A2092" s="12" t="s">
        <v>93</v>
      </c>
      <c r="B2092" s="12" t="s">
        <v>159</v>
      </c>
      <c r="C2092" s="12" t="s">
        <v>123</v>
      </c>
      <c r="D2092" s="12" t="s">
        <v>97</v>
      </c>
      <c r="K2092" s="12">
        <v>56.16</v>
      </c>
      <c r="L2092" s="12">
        <v>0</v>
      </c>
      <c r="N2092" s="12">
        <v>224.62</v>
      </c>
      <c r="O2092" s="12">
        <v>168.46</v>
      </c>
    </row>
    <row r="2093" spans="1:16" x14ac:dyDescent="0.3">
      <c r="A2093" s="12" t="s">
        <v>93</v>
      </c>
      <c r="B2093" s="12" t="s">
        <v>159</v>
      </c>
      <c r="C2093" s="12" t="s">
        <v>123</v>
      </c>
      <c r="D2093" s="12" t="s">
        <v>293</v>
      </c>
      <c r="O2093" s="12">
        <v>210.06</v>
      </c>
    </row>
    <row r="2094" spans="1:16" x14ac:dyDescent="0.3">
      <c r="A2094" s="12" t="s">
        <v>93</v>
      </c>
      <c r="B2094" s="12" t="s">
        <v>294</v>
      </c>
      <c r="C2094" s="12" t="s">
        <v>120</v>
      </c>
      <c r="D2094" s="12" t="s">
        <v>100</v>
      </c>
      <c r="E2094" s="12" t="s">
        <v>0</v>
      </c>
      <c r="F2094" s="12" t="s">
        <v>269</v>
      </c>
      <c r="G2094" s="12" t="s">
        <v>295</v>
      </c>
      <c r="H2094" s="12" t="s">
        <v>296</v>
      </c>
      <c r="I2094" s="12" t="s">
        <v>297</v>
      </c>
      <c r="J2094" s="12" t="s">
        <v>298</v>
      </c>
      <c r="K2094" s="12" t="s">
        <v>299</v>
      </c>
      <c r="L2094" s="12" t="s">
        <v>165</v>
      </c>
    </row>
    <row r="2095" spans="1:16" x14ac:dyDescent="0.3">
      <c r="A2095" s="12" t="s">
        <v>93</v>
      </c>
      <c r="B2095" s="12" t="s">
        <v>294</v>
      </c>
      <c r="C2095" s="12" t="s">
        <v>123</v>
      </c>
      <c r="D2095" s="12" t="s">
        <v>110</v>
      </c>
      <c r="E2095" s="12" t="s">
        <v>2</v>
      </c>
      <c r="F2095" s="12" t="s">
        <v>300</v>
      </c>
      <c r="G2095" s="12">
        <v>265598</v>
      </c>
      <c r="H2095" s="12" t="s">
        <v>301</v>
      </c>
      <c r="I2095" s="12" t="s">
        <v>302</v>
      </c>
      <c r="J2095" s="12">
        <v>1</v>
      </c>
      <c r="K2095" s="12" t="s">
        <v>303</v>
      </c>
    </row>
    <row r="2096" spans="1:16" x14ac:dyDescent="0.3">
      <c r="A2096" s="12" t="s">
        <v>93</v>
      </c>
      <c r="B2096" s="12" t="s">
        <v>294</v>
      </c>
      <c r="C2096" s="12" t="s">
        <v>123</v>
      </c>
      <c r="D2096" s="12" t="s">
        <v>110</v>
      </c>
      <c r="E2096" s="12" t="s">
        <v>45</v>
      </c>
      <c r="F2096" s="12" t="s">
        <v>692</v>
      </c>
      <c r="G2096" s="12">
        <v>4391</v>
      </c>
      <c r="H2096" s="12" t="s">
        <v>693</v>
      </c>
      <c r="I2096" s="12" t="s">
        <v>302</v>
      </c>
      <c r="J2096" s="12">
        <v>1</v>
      </c>
      <c r="K2096" s="12" t="s">
        <v>303</v>
      </c>
    </row>
    <row r="2097" spans="1:11" x14ac:dyDescent="0.3">
      <c r="A2097" s="12" t="s">
        <v>93</v>
      </c>
      <c r="B2097" s="12" t="s">
        <v>294</v>
      </c>
      <c r="C2097" s="12" t="s">
        <v>123</v>
      </c>
      <c r="D2097" s="12" t="s">
        <v>110</v>
      </c>
      <c r="E2097" s="12" t="s">
        <v>5</v>
      </c>
      <c r="F2097" s="12" t="s">
        <v>308</v>
      </c>
      <c r="G2097" s="12">
        <v>3691937</v>
      </c>
      <c r="H2097" s="12" t="s">
        <v>309</v>
      </c>
      <c r="I2097" s="12" t="s">
        <v>302</v>
      </c>
      <c r="J2097" s="12">
        <v>1</v>
      </c>
      <c r="K2097" s="12" t="s">
        <v>303</v>
      </c>
    </row>
    <row r="2098" spans="1:11" x14ac:dyDescent="0.3">
      <c r="A2098" s="12" t="s">
        <v>93</v>
      </c>
      <c r="B2098" s="12" t="s">
        <v>294</v>
      </c>
      <c r="C2098" s="12" t="s">
        <v>123</v>
      </c>
      <c r="D2098" s="12" t="s">
        <v>110</v>
      </c>
      <c r="E2098" s="12" t="s">
        <v>58</v>
      </c>
      <c r="F2098" s="12" t="s">
        <v>834</v>
      </c>
      <c r="G2098" s="12">
        <v>653400472</v>
      </c>
      <c r="H2098" s="12" t="s">
        <v>835</v>
      </c>
      <c r="I2098" s="12" t="s">
        <v>302</v>
      </c>
      <c r="J2098" s="12">
        <v>1</v>
      </c>
      <c r="K2098" s="12" t="s">
        <v>382</v>
      </c>
    </row>
    <row r="2099" spans="1:11" x14ac:dyDescent="0.3">
      <c r="A2099" s="12" t="s">
        <v>93</v>
      </c>
      <c r="B2099" s="12" t="s">
        <v>294</v>
      </c>
      <c r="C2099" s="12" t="s">
        <v>123</v>
      </c>
      <c r="D2099" s="12" t="s">
        <v>110</v>
      </c>
      <c r="E2099" s="12" t="s">
        <v>7</v>
      </c>
      <c r="F2099" s="12" t="s">
        <v>312</v>
      </c>
      <c r="G2099" s="12">
        <v>313130367</v>
      </c>
      <c r="H2099" s="12" t="s">
        <v>313</v>
      </c>
      <c r="I2099" s="12" t="s">
        <v>302</v>
      </c>
      <c r="J2099" s="12">
        <v>1</v>
      </c>
      <c r="K2099" s="12" t="s">
        <v>303</v>
      </c>
    </row>
    <row r="2100" spans="1:11" x14ac:dyDescent="0.3">
      <c r="A2100" s="12" t="s">
        <v>93</v>
      </c>
      <c r="B2100" s="12" t="s">
        <v>294</v>
      </c>
      <c r="C2100" s="12" t="s">
        <v>123</v>
      </c>
      <c r="D2100" s="12" t="s">
        <v>110</v>
      </c>
      <c r="E2100" s="12" t="s">
        <v>8</v>
      </c>
      <c r="F2100" s="12" t="s">
        <v>314</v>
      </c>
      <c r="G2100" s="12">
        <v>10098</v>
      </c>
      <c r="H2100" s="12" t="s">
        <v>315</v>
      </c>
      <c r="I2100" s="12" t="s">
        <v>306</v>
      </c>
      <c r="J2100" s="12">
        <v>1</v>
      </c>
      <c r="K2100" s="12" t="s">
        <v>303</v>
      </c>
    </row>
    <row r="2101" spans="1:11" x14ac:dyDescent="0.3">
      <c r="A2101" s="12" t="s">
        <v>93</v>
      </c>
      <c r="B2101" s="12" t="s">
        <v>294</v>
      </c>
      <c r="C2101" s="12" t="s">
        <v>123</v>
      </c>
      <c r="D2101" s="12" t="s">
        <v>110</v>
      </c>
      <c r="E2101" s="12" t="s">
        <v>3</v>
      </c>
      <c r="F2101" s="12" t="s">
        <v>318</v>
      </c>
      <c r="G2101" s="12">
        <v>87335484</v>
      </c>
      <c r="H2101" s="12" t="s">
        <v>319</v>
      </c>
      <c r="I2101" s="12" t="s">
        <v>306</v>
      </c>
      <c r="J2101" s="12">
        <v>1</v>
      </c>
      <c r="K2101" s="12" t="s">
        <v>303</v>
      </c>
    </row>
    <row r="2102" spans="1:11" x14ac:dyDescent="0.3">
      <c r="A2102" s="12" t="s">
        <v>93</v>
      </c>
      <c r="B2102" s="12" t="s">
        <v>294</v>
      </c>
      <c r="C2102" s="12" t="s">
        <v>123</v>
      </c>
      <c r="D2102" s="12" t="s">
        <v>110</v>
      </c>
      <c r="E2102" s="12" t="s">
        <v>46</v>
      </c>
      <c r="F2102" s="12" t="s">
        <v>694</v>
      </c>
      <c r="G2102" s="12">
        <v>5437</v>
      </c>
      <c r="H2102" s="12" t="s">
        <v>695</v>
      </c>
      <c r="I2102" s="12" t="s">
        <v>306</v>
      </c>
      <c r="J2102" s="12">
        <v>1</v>
      </c>
      <c r="K2102" s="12" t="s">
        <v>303</v>
      </c>
    </row>
    <row r="2103" spans="1:11" x14ac:dyDescent="0.3">
      <c r="A2103" s="12" t="s">
        <v>93</v>
      </c>
      <c r="B2103" s="12" t="s">
        <v>294</v>
      </c>
      <c r="C2103" s="12" t="s">
        <v>123</v>
      </c>
      <c r="D2103" s="12" t="s">
        <v>110</v>
      </c>
      <c r="E2103" s="12" t="s">
        <v>11</v>
      </c>
      <c r="F2103" s="12" t="s">
        <v>322</v>
      </c>
      <c r="G2103" s="12">
        <v>272997</v>
      </c>
      <c r="H2103" s="12" t="s">
        <v>323</v>
      </c>
      <c r="I2103" s="12" t="s">
        <v>302</v>
      </c>
      <c r="J2103" s="12">
        <v>1</v>
      </c>
      <c r="K2103" s="12" t="s">
        <v>303</v>
      </c>
    </row>
    <row r="2104" spans="1:11" x14ac:dyDescent="0.3">
      <c r="A2104" s="12" t="s">
        <v>93</v>
      </c>
      <c r="B2104" s="12" t="s">
        <v>294</v>
      </c>
      <c r="C2104" s="12" t="s">
        <v>123</v>
      </c>
      <c r="D2104" s="12" t="s">
        <v>110</v>
      </c>
      <c r="E2104" s="12" t="s">
        <v>47</v>
      </c>
      <c r="F2104" s="12" t="s">
        <v>696</v>
      </c>
      <c r="G2104" s="12">
        <v>2730877</v>
      </c>
      <c r="H2104" s="12" t="s">
        <v>697</v>
      </c>
      <c r="I2104" s="12" t="s">
        <v>306</v>
      </c>
      <c r="J2104" s="12">
        <v>1</v>
      </c>
      <c r="K2104" s="12" t="s">
        <v>303</v>
      </c>
    </row>
    <row r="2105" spans="1:11" x14ac:dyDescent="0.3">
      <c r="A2105" s="12" t="s">
        <v>93</v>
      </c>
      <c r="B2105" s="12" t="s">
        <v>294</v>
      </c>
      <c r="C2105" s="12" t="s">
        <v>123</v>
      </c>
      <c r="D2105" s="12" t="s">
        <v>110</v>
      </c>
      <c r="E2105" s="12" t="s">
        <v>14</v>
      </c>
      <c r="F2105" s="12" t="s">
        <v>328</v>
      </c>
      <c r="G2105" s="12">
        <v>6442</v>
      </c>
      <c r="H2105" s="12" t="s">
        <v>329</v>
      </c>
      <c r="I2105" s="12" t="s">
        <v>306</v>
      </c>
      <c r="J2105" s="12">
        <v>1</v>
      </c>
      <c r="K2105" s="12" t="s">
        <v>303</v>
      </c>
    </row>
    <row r="2106" spans="1:11" x14ac:dyDescent="0.3">
      <c r="A2106" s="12" t="s">
        <v>93</v>
      </c>
      <c r="B2106" s="12" t="s">
        <v>294</v>
      </c>
      <c r="C2106" s="12" t="s">
        <v>123</v>
      </c>
      <c r="D2106" s="12" t="s">
        <v>110</v>
      </c>
      <c r="E2106" s="12" t="s">
        <v>18</v>
      </c>
      <c r="F2106" s="12" t="s">
        <v>336</v>
      </c>
      <c r="G2106" s="12">
        <v>7496</v>
      </c>
      <c r="H2106" s="12" t="s">
        <v>337</v>
      </c>
      <c r="I2106" s="12" t="s">
        <v>306</v>
      </c>
      <c r="J2106" s="12">
        <v>1</v>
      </c>
      <c r="K2106" s="12" t="s">
        <v>303</v>
      </c>
    </row>
    <row r="2107" spans="1:11" x14ac:dyDescent="0.3">
      <c r="A2107" s="12" t="s">
        <v>93</v>
      </c>
      <c r="B2107" s="12" t="s">
        <v>294</v>
      </c>
      <c r="C2107" s="12" t="s">
        <v>123</v>
      </c>
      <c r="D2107" s="12" t="s">
        <v>110</v>
      </c>
      <c r="E2107" s="12" t="s">
        <v>48</v>
      </c>
      <c r="F2107" s="12" t="s">
        <v>698</v>
      </c>
      <c r="G2107" s="12">
        <v>498843743</v>
      </c>
      <c r="H2107" s="12" t="s">
        <v>699</v>
      </c>
      <c r="I2107" s="12" t="s">
        <v>306</v>
      </c>
      <c r="J2107" s="12">
        <v>1</v>
      </c>
      <c r="K2107" s="12" t="s">
        <v>303</v>
      </c>
    </row>
    <row r="2108" spans="1:11" x14ac:dyDescent="0.3">
      <c r="A2108" s="12" t="s">
        <v>93</v>
      </c>
      <c r="B2108" s="12" t="s">
        <v>294</v>
      </c>
      <c r="C2108" s="12" t="s">
        <v>123</v>
      </c>
      <c r="D2108" s="12" t="s">
        <v>110</v>
      </c>
      <c r="E2108" s="12" t="s">
        <v>54</v>
      </c>
      <c r="F2108" s="12" t="s">
        <v>761</v>
      </c>
      <c r="G2108" s="12">
        <v>691984365</v>
      </c>
      <c r="H2108" s="12" t="s">
        <v>762</v>
      </c>
      <c r="I2108" s="12" t="s">
        <v>306</v>
      </c>
      <c r="J2108" s="12">
        <v>1</v>
      </c>
      <c r="K2108" s="12" t="s">
        <v>303</v>
      </c>
    </row>
    <row r="2109" spans="1:11" x14ac:dyDescent="0.3">
      <c r="A2109" s="12" t="s">
        <v>93</v>
      </c>
      <c r="B2109" s="12" t="s">
        <v>294</v>
      </c>
      <c r="C2109" s="12" t="s">
        <v>123</v>
      </c>
      <c r="D2109" s="12" t="s">
        <v>110</v>
      </c>
      <c r="E2109" s="12" t="s">
        <v>19</v>
      </c>
      <c r="F2109" s="12" t="s">
        <v>338</v>
      </c>
      <c r="G2109" s="12">
        <v>208813719</v>
      </c>
      <c r="H2109" s="12" t="s">
        <v>339</v>
      </c>
      <c r="I2109" s="12" t="s">
        <v>302</v>
      </c>
      <c r="J2109" s="12">
        <v>1</v>
      </c>
      <c r="K2109" s="12" t="s">
        <v>303</v>
      </c>
    </row>
    <row r="2110" spans="1:11" x14ac:dyDescent="0.3">
      <c r="A2110" s="12" t="s">
        <v>93</v>
      </c>
      <c r="B2110" s="12" t="s">
        <v>294</v>
      </c>
      <c r="C2110" s="12" t="s">
        <v>123</v>
      </c>
      <c r="D2110" s="12" t="s">
        <v>110</v>
      </c>
      <c r="E2110" s="12" t="s">
        <v>20</v>
      </c>
      <c r="F2110" s="12" t="s">
        <v>340</v>
      </c>
      <c r="G2110" s="12">
        <v>7930</v>
      </c>
      <c r="H2110" s="12" t="s">
        <v>341</v>
      </c>
      <c r="I2110" s="12" t="s">
        <v>306</v>
      </c>
      <c r="J2110" s="12">
        <v>1</v>
      </c>
      <c r="K2110" s="12" t="s">
        <v>303</v>
      </c>
    </row>
    <row r="2111" spans="1:11" x14ac:dyDescent="0.3">
      <c r="A2111" s="12" t="s">
        <v>93</v>
      </c>
      <c r="B2111" s="12" t="s">
        <v>294</v>
      </c>
      <c r="C2111" s="12" t="s">
        <v>123</v>
      </c>
      <c r="D2111" s="12" t="s">
        <v>110</v>
      </c>
      <c r="E2111" s="12" t="s">
        <v>22</v>
      </c>
      <c r="F2111" s="12" t="s">
        <v>344</v>
      </c>
      <c r="G2111" s="12">
        <v>403121976</v>
      </c>
      <c r="H2111" s="12" t="s">
        <v>345</v>
      </c>
      <c r="I2111" s="12" t="s">
        <v>306</v>
      </c>
      <c r="J2111" s="12">
        <v>1</v>
      </c>
      <c r="K2111" s="12" t="s">
        <v>303</v>
      </c>
    </row>
    <row r="2112" spans="1:11" x14ac:dyDescent="0.3">
      <c r="A2112" s="12" t="s">
        <v>93</v>
      </c>
      <c r="B2112" s="12" t="s">
        <v>294</v>
      </c>
      <c r="C2112" s="12" t="s">
        <v>123</v>
      </c>
      <c r="D2112" s="12" t="s">
        <v>110</v>
      </c>
      <c r="E2112" s="12" t="s">
        <v>37</v>
      </c>
      <c r="F2112" s="12" t="s">
        <v>613</v>
      </c>
      <c r="G2112" s="12">
        <v>8314</v>
      </c>
      <c r="H2112" s="12" t="s">
        <v>614</v>
      </c>
      <c r="I2112" s="12" t="s">
        <v>306</v>
      </c>
      <c r="J2112" s="12">
        <v>1</v>
      </c>
      <c r="K2112" s="12" t="s">
        <v>303</v>
      </c>
    </row>
    <row r="2113" spans="1:11" x14ac:dyDescent="0.3">
      <c r="A2113" s="12" t="s">
        <v>93</v>
      </c>
      <c r="B2113" s="12" t="s">
        <v>294</v>
      </c>
      <c r="C2113" s="12" t="s">
        <v>123</v>
      </c>
      <c r="D2113" s="12" t="s">
        <v>110</v>
      </c>
      <c r="E2113" s="12" t="s">
        <v>24</v>
      </c>
      <c r="F2113" s="12" t="s">
        <v>348</v>
      </c>
      <c r="G2113" s="12">
        <v>404509190</v>
      </c>
      <c r="H2113" s="12" t="s">
        <v>349</v>
      </c>
      <c r="I2113" s="12" t="s">
        <v>306</v>
      </c>
      <c r="J2113" s="12">
        <v>1</v>
      </c>
      <c r="K2113" s="12" t="s">
        <v>303</v>
      </c>
    </row>
    <row r="2114" spans="1:11" x14ac:dyDescent="0.3">
      <c r="A2114" s="12" t="s">
        <v>93</v>
      </c>
      <c r="B2114" s="12" t="s">
        <v>294</v>
      </c>
      <c r="C2114" s="12" t="s">
        <v>123</v>
      </c>
      <c r="D2114" s="12" t="s">
        <v>110</v>
      </c>
      <c r="E2114" s="12" t="s">
        <v>59</v>
      </c>
      <c r="F2114" s="12" t="s">
        <v>836</v>
      </c>
      <c r="G2114" s="12">
        <v>8894</v>
      </c>
      <c r="H2114" s="12" t="s">
        <v>837</v>
      </c>
      <c r="I2114" s="12" t="s">
        <v>306</v>
      </c>
      <c r="J2114" s="12">
        <v>1</v>
      </c>
      <c r="K2114" s="12" t="s">
        <v>303</v>
      </c>
    </row>
    <row r="2115" spans="1:11" x14ac:dyDescent="0.3">
      <c r="A2115" s="12" t="s">
        <v>93</v>
      </c>
      <c r="B2115" s="12" t="s">
        <v>294</v>
      </c>
      <c r="C2115" s="12" t="s">
        <v>123</v>
      </c>
      <c r="D2115" s="12" t="s">
        <v>110</v>
      </c>
      <c r="E2115" s="12" t="s">
        <v>49</v>
      </c>
      <c r="F2115" s="12" t="s">
        <v>700</v>
      </c>
      <c r="G2115" s="12">
        <v>9160</v>
      </c>
      <c r="H2115" s="12" t="s">
        <v>701</v>
      </c>
      <c r="I2115" s="12" t="s">
        <v>306</v>
      </c>
      <c r="J2115" s="12">
        <v>1</v>
      </c>
      <c r="K2115" s="12" t="s">
        <v>303</v>
      </c>
    </row>
    <row r="2116" spans="1:11" x14ac:dyDescent="0.3">
      <c r="A2116" s="12" t="s">
        <v>93</v>
      </c>
      <c r="B2116" s="12" t="s">
        <v>294</v>
      </c>
      <c r="C2116" s="12" t="s">
        <v>123</v>
      </c>
      <c r="D2116" s="12" t="s">
        <v>110</v>
      </c>
      <c r="E2116" s="12" t="s">
        <v>26</v>
      </c>
      <c r="F2116" s="12" t="s">
        <v>352</v>
      </c>
      <c r="G2116" s="12">
        <v>6497</v>
      </c>
      <c r="H2116" s="12" t="s">
        <v>353</v>
      </c>
      <c r="I2116" s="12" t="s">
        <v>306</v>
      </c>
      <c r="J2116" s="12">
        <v>1</v>
      </c>
      <c r="K2116" s="12" t="s">
        <v>303</v>
      </c>
    </row>
    <row r="2117" spans="1:11" x14ac:dyDescent="0.3">
      <c r="A2117" s="12" t="s">
        <v>93</v>
      </c>
      <c r="B2117" s="12" t="s">
        <v>294</v>
      </c>
      <c r="C2117" s="12" t="s">
        <v>123</v>
      </c>
      <c r="D2117" s="12" t="s">
        <v>110</v>
      </c>
      <c r="E2117" s="12" t="s">
        <v>27</v>
      </c>
      <c r="F2117" s="12" t="s">
        <v>354</v>
      </c>
      <c r="G2117" s="12">
        <v>107113386</v>
      </c>
      <c r="H2117" s="12" t="s">
        <v>355</v>
      </c>
      <c r="I2117" s="12" t="s">
        <v>302</v>
      </c>
      <c r="J2117" s="12">
        <v>1</v>
      </c>
      <c r="K2117" s="12" t="s">
        <v>303</v>
      </c>
    </row>
    <row r="2118" spans="1:11" x14ac:dyDescent="0.3">
      <c r="A2118" s="12" t="s">
        <v>93</v>
      </c>
      <c r="B2118" s="12" t="s">
        <v>294</v>
      </c>
      <c r="C2118" s="12" t="s">
        <v>123</v>
      </c>
      <c r="D2118" s="12" t="s">
        <v>110</v>
      </c>
      <c r="E2118" s="12" t="s">
        <v>28</v>
      </c>
      <c r="F2118" s="12" t="s">
        <v>356</v>
      </c>
      <c r="G2118" s="12">
        <v>272093</v>
      </c>
      <c r="H2118" s="12" t="s">
        <v>357</v>
      </c>
      <c r="I2118" s="12" t="s">
        <v>302</v>
      </c>
      <c r="J2118" s="12">
        <v>1</v>
      </c>
      <c r="K2118" s="12" t="s">
        <v>303</v>
      </c>
    </row>
    <row r="2119" spans="1:11" x14ac:dyDescent="0.3">
      <c r="A2119" s="12" t="s">
        <v>93</v>
      </c>
      <c r="B2119" s="12" t="s">
        <v>294</v>
      </c>
      <c r="C2119" s="12" t="s">
        <v>123</v>
      </c>
      <c r="D2119" s="12" t="s">
        <v>110</v>
      </c>
      <c r="E2119" s="12" t="s">
        <v>55</v>
      </c>
      <c r="F2119" s="12" t="s">
        <v>763</v>
      </c>
      <c r="G2119" s="12">
        <v>9939</v>
      </c>
      <c r="H2119" s="12" t="s">
        <v>764</v>
      </c>
      <c r="I2119" s="12" t="s">
        <v>302</v>
      </c>
      <c r="J2119" s="12">
        <v>1</v>
      </c>
      <c r="K2119" s="12" t="s">
        <v>303</v>
      </c>
    </row>
    <row r="2120" spans="1:11" x14ac:dyDescent="0.3">
      <c r="A2120" s="12" t="s">
        <v>93</v>
      </c>
      <c r="B2120" s="12" t="s">
        <v>294</v>
      </c>
      <c r="C2120" s="12" t="s">
        <v>123</v>
      </c>
      <c r="D2120" s="12" t="s">
        <v>110</v>
      </c>
      <c r="E2120" s="12" t="s">
        <v>50</v>
      </c>
      <c r="F2120" s="12" t="s">
        <v>702</v>
      </c>
      <c r="G2120" s="12">
        <v>109911821</v>
      </c>
      <c r="H2120" s="12" t="s">
        <v>703</v>
      </c>
      <c r="I2120" s="12" t="s">
        <v>306</v>
      </c>
      <c r="J2120" s="12">
        <v>1</v>
      </c>
      <c r="K2120" s="12" t="s">
        <v>303</v>
      </c>
    </row>
    <row r="2121" spans="1:11" x14ac:dyDescent="0.3">
      <c r="A2121" s="12" t="s">
        <v>93</v>
      </c>
      <c r="B2121" s="12" t="s">
        <v>294</v>
      </c>
      <c r="C2121" s="12" t="s">
        <v>123</v>
      </c>
      <c r="D2121" s="12" t="s">
        <v>110</v>
      </c>
      <c r="E2121" s="12" t="s">
        <v>56</v>
      </c>
      <c r="F2121" s="12" t="s">
        <v>765</v>
      </c>
      <c r="G2121" s="12">
        <v>10611</v>
      </c>
      <c r="H2121" s="12" t="s">
        <v>766</v>
      </c>
      <c r="I2121" s="12" t="s">
        <v>306</v>
      </c>
      <c r="J2121" s="12">
        <v>1</v>
      </c>
      <c r="K2121" s="12" t="s">
        <v>382</v>
      </c>
    </row>
    <row r="2122" spans="1:11" x14ac:dyDescent="0.3">
      <c r="A2122" s="12" t="s">
        <v>93</v>
      </c>
      <c r="B2122" s="12" t="s">
        <v>294</v>
      </c>
      <c r="C2122" s="12" t="s">
        <v>123</v>
      </c>
      <c r="D2122" s="12" t="s">
        <v>110</v>
      </c>
      <c r="E2122" s="12" t="s">
        <v>57</v>
      </c>
      <c r="F2122" s="12" t="s">
        <v>767</v>
      </c>
      <c r="G2122" s="12">
        <v>272800</v>
      </c>
      <c r="H2122" s="12" t="s">
        <v>768</v>
      </c>
      <c r="I2122" s="12" t="s">
        <v>306</v>
      </c>
      <c r="J2122" s="12">
        <v>1</v>
      </c>
      <c r="K2122" s="12" t="s">
        <v>303</v>
      </c>
    </row>
    <row r="2123" spans="1:11" x14ac:dyDescent="0.3">
      <c r="A2123" s="12" t="s">
        <v>93</v>
      </c>
      <c r="B2123" s="12" t="s">
        <v>294</v>
      </c>
      <c r="C2123" s="12" t="s">
        <v>123</v>
      </c>
      <c r="D2123" s="12" t="s">
        <v>110</v>
      </c>
      <c r="E2123" s="12" t="s">
        <v>29</v>
      </c>
      <c r="F2123" s="12" t="s">
        <v>358</v>
      </c>
      <c r="G2123" s="12">
        <v>110619459</v>
      </c>
      <c r="H2123" s="12" t="s">
        <v>359</v>
      </c>
      <c r="I2123" s="12" t="s">
        <v>302</v>
      </c>
      <c r="J2123" s="12">
        <v>1</v>
      </c>
      <c r="K2123" s="12" t="s">
        <v>303</v>
      </c>
    </row>
    <row r="2124" spans="1:11" x14ac:dyDescent="0.3">
      <c r="A2124" s="12" t="s">
        <v>93</v>
      </c>
      <c r="B2124" s="12" t="s">
        <v>294</v>
      </c>
      <c r="C2124" s="12" t="s">
        <v>123</v>
      </c>
      <c r="D2124" s="12" t="s">
        <v>110</v>
      </c>
      <c r="E2124" s="12" t="s">
        <v>39</v>
      </c>
      <c r="F2124" s="12" t="s">
        <v>617</v>
      </c>
      <c r="G2124" s="12">
        <v>273544</v>
      </c>
      <c r="H2124" s="12" t="s">
        <v>618</v>
      </c>
      <c r="I2124" s="12" t="s">
        <v>302</v>
      </c>
      <c r="J2124" s="12">
        <v>1</v>
      </c>
      <c r="K2124" s="12" t="s">
        <v>303</v>
      </c>
    </row>
    <row r="2125" spans="1:11" x14ac:dyDescent="0.3">
      <c r="A2125" s="12" t="s">
        <v>93</v>
      </c>
      <c r="B2125" s="12" t="s">
        <v>294</v>
      </c>
      <c r="C2125" s="12" t="s">
        <v>123</v>
      </c>
      <c r="D2125" s="12" t="s">
        <v>110</v>
      </c>
      <c r="E2125" s="12" t="s">
        <v>30</v>
      </c>
      <c r="F2125" s="12" t="s">
        <v>360</v>
      </c>
      <c r="G2125" s="12">
        <v>273939</v>
      </c>
      <c r="H2125" s="12" t="s">
        <v>361</v>
      </c>
      <c r="I2125" s="12" t="s">
        <v>302</v>
      </c>
      <c r="J2125" s="12">
        <v>1</v>
      </c>
      <c r="K2125" s="12" t="s">
        <v>303</v>
      </c>
    </row>
    <row r="2126" spans="1:11" x14ac:dyDescent="0.3">
      <c r="A2126" s="12" t="s">
        <v>93</v>
      </c>
      <c r="B2126" s="12" t="s">
        <v>294</v>
      </c>
      <c r="C2126" s="12" t="s">
        <v>123</v>
      </c>
      <c r="D2126" s="12" t="s">
        <v>110</v>
      </c>
      <c r="E2126" s="12" t="s">
        <v>51</v>
      </c>
      <c r="F2126" s="12" t="s">
        <v>704</v>
      </c>
      <c r="G2126" s="12">
        <v>43261373</v>
      </c>
      <c r="H2126" s="12" t="s">
        <v>705</v>
      </c>
      <c r="I2126" s="12" t="s">
        <v>302</v>
      </c>
      <c r="J2126" s="12">
        <v>1</v>
      </c>
      <c r="K2126" s="12" t="s">
        <v>303</v>
      </c>
    </row>
    <row r="2127" spans="1:11" x14ac:dyDescent="0.3">
      <c r="A2127" s="12" t="s">
        <v>93</v>
      </c>
      <c r="B2127" s="12" t="s">
        <v>294</v>
      </c>
      <c r="C2127" s="12" t="s">
        <v>123</v>
      </c>
      <c r="D2127" s="12" t="s">
        <v>110</v>
      </c>
      <c r="E2127" s="12" t="s">
        <v>32</v>
      </c>
      <c r="F2127" s="12" t="s">
        <v>364</v>
      </c>
      <c r="G2127" s="12">
        <v>365207014</v>
      </c>
      <c r="H2127" s="12" t="s">
        <v>365</v>
      </c>
      <c r="I2127" s="12" t="s">
        <v>306</v>
      </c>
      <c r="J2127" s="12">
        <v>1</v>
      </c>
      <c r="K2127" s="12" t="s">
        <v>303</v>
      </c>
    </row>
    <row r="2128" spans="1:11" x14ac:dyDescent="0.3">
      <c r="A2128" s="12" t="s">
        <v>93</v>
      </c>
      <c r="B2128" s="12" t="s">
        <v>294</v>
      </c>
      <c r="C2128" s="12" t="s">
        <v>123</v>
      </c>
      <c r="D2128" s="12" t="s">
        <v>110</v>
      </c>
      <c r="E2128" s="12" t="s">
        <v>60</v>
      </c>
      <c r="F2128" s="12" t="s">
        <v>838</v>
      </c>
      <c r="G2128" s="12">
        <v>13272</v>
      </c>
      <c r="H2128" s="12" t="s">
        <v>839</v>
      </c>
      <c r="I2128" s="12" t="s">
        <v>306</v>
      </c>
      <c r="J2128" s="12">
        <v>1</v>
      </c>
      <c r="K2128" s="12" t="s">
        <v>303</v>
      </c>
    </row>
    <row r="2129" spans="1:12" x14ac:dyDescent="0.3">
      <c r="A2129" s="12" t="s">
        <v>93</v>
      </c>
      <c r="B2129" s="12" t="s">
        <v>294</v>
      </c>
      <c r="C2129" s="12" t="s">
        <v>123</v>
      </c>
      <c r="D2129" s="12" t="s">
        <v>110</v>
      </c>
      <c r="E2129" s="12" t="s">
        <v>61</v>
      </c>
      <c r="F2129" s="12" t="s">
        <v>840</v>
      </c>
      <c r="G2129" s="12">
        <v>4215217</v>
      </c>
      <c r="H2129" s="12" t="s">
        <v>841</v>
      </c>
      <c r="I2129" s="12" t="s">
        <v>623</v>
      </c>
      <c r="J2129" s="12">
        <v>1</v>
      </c>
      <c r="K2129" s="12" t="s">
        <v>413</v>
      </c>
    </row>
    <row r="2130" spans="1:12" x14ac:dyDescent="0.3">
      <c r="A2130" s="12" t="s">
        <v>93</v>
      </c>
      <c r="B2130" s="12" t="s">
        <v>294</v>
      </c>
      <c r="C2130" s="12" t="s">
        <v>123</v>
      </c>
      <c r="D2130" s="12" t="s">
        <v>110</v>
      </c>
      <c r="E2130" s="12" t="s">
        <v>62</v>
      </c>
      <c r="F2130" s="12" t="s">
        <v>842</v>
      </c>
      <c r="G2130" s="12">
        <v>4215220</v>
      </c>
      <c r="H2130" s="12" t="s">
        <v>843</v>
      </c>
      <c r="I2130" s="12" t="s">
        <v>623</v>
      </c>
      <c r="J2130" s="12">
        <v>1</v>
      </c>
      <c r="K2130" s="12" t="s">
        <v>413</v>
      </c>
    </row>
    <row r="2131" spans="1:12" x14ac:dyDescent="0.3">
      <c r="A2131" s="12" t="s">
        <v>93</v>
      </c>
      <c r="B2131" s="12" t="s">
        <v>294</v>
      </c>
      <c r="C2131" s="12" t="s">
        <v>123</v>
      </c>
      <c r="D2131" s="12" t="s">
        <v>110</v>
      </c>
      <c r="E2131" s="12" t="s">
        <v>41</v>
      </c>
      <c r="F2131" s="12" t="s">
        <v>621</v>
      </c>
      <c r="G2131" s="12">
        <v>319359438</v>
      </c>
      <c r="H2131" s="12" t="s">
        <v>622</v>
      </c>
      <c r="I2131" s="12" t="s">
        <v>623</v>
      </c>
      <c r="J2131" s="12">
        <v>1</v>
      </c>
      <c r="K2131" s="12" t="s">
        <v>413</v>
      </c>
    </row>
    <row r="2132" spans="1:12" x14ac:dyDescent="0.3">
      <c r="A2132" s="12" t="s">
        <v>93</v>
      </c>
      <c r="B2132" s="12" t="s">
        <v>294</v>
      </c>
      <c r="C2132" s="12" t="s">
        <v>123</v>
      </c>
      <c r="D2132" s="12" t="s">
        <v>110</v>
      </c>
      <c r="E2132" s="12" t="s">
        <v>42</v>
      </c>
      <c r="F2132" s="12" t="s">
        <v>624</v>
      </c>
      <c r="G2132" s="12">
        <v>4215230</v>
      </c>
      <c r="H2132" s="12" t="s">
        <v>625</v>
      </c>
      <c r="I2132" s="12" t="s">
        <v>623</v>
      </c>
      <c r="J2132" s="12">
        <v>1</v>
      </c>
      <c r="K2132" s="12" t="s">
        <v>413</v>
      </c>
    </row>
    <row r="2133" spans="1:12" x14ac:dyDescent="0.3">
      <c r="A2133" s="12" t="s">
        <v>93</v>
      </c>
      <c r="B2133" s="12" t="s">
        <v>294</v>
      </c>
      <c r="C2133" s="12" t="s">
        <v>123</v>
      </c>
      <c r="D2133" s="12" t="s">
        <v>110</v>
      </c>
      <c r="E2133" s="12" t="s">
        <v>43</v>
      </c>
      <c r="F2133" s="12" t="s">
        <v>626</v>
      </c>
      <c r="G2133" s="12">
        <v>4215235</v>
      </c>
      <c r="H2133" s="12" t="s">
        <v>627</v>
      </c>
      <c r="I2133" s="12" t="s">
        <v>623</v>
      </c>
      <c r="J2133" s="12">
        <v>1</v>
      </c>
      <c r="K2133" s="12" t="s">
        <v>413</v>
      </c>
    </row>
    <row r="2134" spans="1:12" x14ac:dyDescent="0.3">
      <c r="A2134" s="12" t="s">
        <v>93</v>
      </c>
      <c r="B2134" s="12" t="s">
        <v>294</v>
      </c>
      <c r="C2134" s="12" t="s">
        <v>123</v>
      </c>
      <c r="D2134" s="12" t="s">
        <v>110</v>
      </c>
      <c r="E2134" s="12" t="s">
        <v>44</v>
      </c>
      <c r="F2134" s="12" t="s">
        <v>628</v>
      </c>
      <c r="G2134" s="12">
        <v>4215205</v>
      </c>
      <c r="H2134" s="12" t="s">
        <v>629</v>
      </c>
      <c r="I2134" s="12" t="s">
        <v>623</v>
      </c>
      <c r="J2134" s="12">
        <v>1</v>
      </c>
      <c r="K2134" s="12" t="s">
        <v>413</v>
      </c>
    </row>
    <row r="2135" spans="1:12" x14ac:dyDescent="0.3">
      <c r="A2135" s="12" t="s">
        <v>93</v>
      </c>
      <c r="B2135" s="12" t="s">
        <v>294</v>
      </c>
      <c r="C2135" s="12" t="s">
        <v>123</v>
      </c>
      <c r="D2135" s="12" t="s">
        <v>110</v>
      </c>
      <c r="E2135" s="12" t="s">
        <v>35</v>
      </c>
      <c r="F2135" s="12" t="s">
        <v>370</v>
      </c>
      <c r="G2135" s="12">
        <v>13977</v>
      </c>
      <c r="H2135" s="12" t="s">
        <v>371</v>
      </c>
      <c r="I2135" s="12" t="s">
        <v>306</v>
      </c>
      <c r="J2135" s="12">
        <v>1</v>
      </c>
      <c r="K2135" s="12" t="s">
        <v>303</v>
      </c>
    </row>
    <row r="2136" spans="1:12" x14ac:dyDescent="0.3">
      <c r="A2136" s="12" t="s">
        <v>93</v>
      </c>
      <c r="B2136" s="12" t="s">
        <v>294</v>
      </c>
      <c r="C2136" s="12" t="s">
        <v>120</v>
      </c>
      <c r="D2136" s="12" t="s">
        <v>100</v>
      </c>
      <c r="E2136" s="12" t="s">
        <v>0</v>
      </c>
      <c r="F2136" s="12" t="s">
        <v>269</v>
      </c>
      <c r="G2136" s="12" t="s">
        <v>295</v>
      </c>
      <c r="H2136" s="12" t="s">
        <v>297</v>
      </c>
      <c r="I2136" s="12" t="s">
        <v>298</v>
      </c>
      <c r="J2136" s="12" t="s">
        <v>372</v>
      </c>
      <c r="K2136" s="12" t="s">
        <v>373</v>
      </c>
      <c r="L2136" s="12" t="s">
        <v>165</v>
      </c>
    </row>
    <row r="2137" spans="1:12" x14ac:dyDescent="0.3">
      <c r="A2137" s="12" t="s">
        <v>93</v>
      </c>
      <c r="B2137" s="12" t="s">
        <v>294</v>
      </c>
      <c r="C2137" s="12" t="s">
        <v>123</v>
      </c>
      <c r="D2137" s="12" t="s">
        <v>112</v>
      </c>
      <c r="E2137" s="12" t="s">
        <v>52</v>
      </c>
      <c r="F2137" s="12" t="s">
        <v>706</v>
      </c>
      <c r="G2137" s="12">
        <v>620731036</v>
      </c>
      <c r="H2137" s="12" t="s">
        <v>375</v>
      </c>
      <c r="I2137" s="12">
        <v>5</v>
      </c>
      <c r="J2137" s="20">
        <v>45464</v>
      </c>
      <c r="K2137" s="12" t="s">
        <v>94</v>
      </c>
    </row>
    <row r="2138" spans="1:12" x14ac:dyDescent="0.3">
      <c r="A2138" s="12" t="s">
        <v>93</v>
      </c>
      <c r="B2138" s="12" t="s">
        <v>294</v>
      </c>
      <c r="C2138" s="12" t="s">
        <v>123</v>
      </c>
      <c r="D2138" s="12" t="s">
        <v>112</v>
      </c>
      <c r="E2138" s="12" t="s">
        <v>53</v>
      </c>
      <c r="F2138" s="12" t="s">
        <v>707</v>
      </c>
      <c r="G2138" s="12">
        <v>620730945</v>
      </c>
      <c r="H2138" s="12" t="s">
        <v>375</v>
      </c>
      <c r="I2138" s="12">
        <v>2</v>
      </c>
      <c r="J2138" s="20">
        <v>45464</v>
      </c>
      <c r="K2138" s="12" t="s">
        <v>94</v>
      </c>
    </row>
    <row r="2139" spans="1:12" x14ac:dyDescent="0.3">
      <c r="A2139" s="12" t="s">
        <v>93</v>
      </c>
      <c r="B2139" s="12" t="s">
        <v>376</v>
      </c>
      <c r="C2139" s="12" t="s">
        <v>120</v>
      </c>
      <c r="D2139" s="12" t="s">
        <v>165</v>
      </c>
      <c r="E2139" s="12" t="s">
        <v>377</v>
      </c>
      <c r="F2139" s="12" t="s">
        <v>378</v>
      </c>
      <c r="G2139" s="12" t="s">
        <v>379</v>
      </c>
    </row>
    <row r="2140" spans="1:12" x14ac:dyDescent="0.3">
      <c r="A2140" s="12" t="s">
        <v>93</v>
      </c>
      <c r="B2140" s="12" t="s">
        <v>376</v>
      </c>
      <c r="C2140" s="12" t="s">
        <v>123</v>
      </c>
      <c r="D2140" s="12" t="s">
        <v>380</v>
      </c>
      <c r="E2140" s="12" t="s">
        <v>381</v>
      </c>
    </row>
    <row r="2141" spans="1:12" x14ac:dyDescent="0.3">
      <c r="A2141" s="12" t="s">
        <v>93</v>
      </c>
      <c r="B2141" s="12" t="s">
        <v>376</v>
      </c>
      <c r="C2141" s="12" t="s">
        <v>123</v>
      </c>
      <c r="D2141" s="12" t="s">
        <v>382</v>
      </c>
      <c r="E2141" s="12" t="s">
        <v>383</v>
      </c>
    </row>
    <row r="2142" spans="1:12" x14ac:dyDescent="0.3">
      <c r="A2142" s="12" t="s">
        <v>93</v>
      </c>
      <c r="B2142" s="12" t="s">
        <v>376</v>
      </c>
      <c r="C2142" s="12" t="s">
        <v>123</v>
      </c>
      <c r="D2142" s="12" t="s">
        <v>384</v>
      </c>
      <c r="E2142" s="12" t="s">
        <v>385</v>
      </c>
    </row>
    <row r="2143" spans="1:12" x14ac:dyDescent="0.3">
      <c r="A2143" s="12" t="s">
        <v>93</v>
      </c>
      <c r="B2143" s="12" t="s">
        <v>376</v>
      </c>
      <c r="C2143" s="12" t="s">
        <v>123</v>
      </c>
      <c r="D2143" s="12" t="s">
        <v>386</v>
      </c>
      <c r="E2143" s="12" t="s">
        <v>387</v>
      </c>
    </row>
    <row r="2144" spans="1:12" x14ac:dyDescent="0.3">
      <c r="A2144" s="12" t="s">
        <v>93</v>
      </c>
      <c r="B2144" s="12" t="s">
        <v>376</v>
      </c>
      <c r="C2144" s="12" t="s">
        <v>123</v>
      </c>
      <c r="D2144" s="12" t="s">
        <v>388</v>
      </c>
      <c r="E2144" s="12" t="s">
        <v>389</v>
      </c>
    </row>
    <row r="2145" spans="1:5" x14ac:dyDescent="0.3">
      <c r="A2145" s="12" t="s">
        <v>93</v>
      </c>
      <c r="B2145" s="12" t="s">
        <v>376</v>
      </c>
      <c r="C2145" s="12" t="s">
        <v>123</v>
      </c>
      <c r="D2145" s="12" t="s">
        <v>390</v>
      </c>
      <c r="E2145" s="12" t="s">
        <v>391</v>
      </c>
    </row>
    <row r="2146" spans="1:5" x14ac:dyDescent="0.3">
      <c r="A2146" s="12" t="s">
        <v>93</v>
      </c>
      <c r="B2146" s="12" t="s">
        <v>376</v>
      </c>
      <c r="C2146" s="12" t="s">
        <v>123</v>
      </c>
      <c r="D2146" s="12" t="s">
        <v>392</v>
      </c>
      <c r="E2146" s="12" t="s">
        <v>393</v>
      </c>
    </row>
    <row r="2147" spans="1:5" x14ac:dyDescent="0.3">
      <c r="A2147" s="12" t="s">
        <v>93</v>
      </c>
      <c r="B2147" s="12" t="s">
        <v>376</v>
      </c>
      <c r="C2147" s="12" t="s">
        <v>123</v>
      </c>
      <c r="D2147" s="12" t="s">
        <v>394</v>
      </c>
      <c r="E2147" s="12" t="s">
        <v>395</v>
      </c>
    </row>
    <row r="2148" spans="1:5" x14ac:dyDescent="0.3">
      <c r="A2148" s="12" t="s">
        <v>93</v>
      </c>
      <c r="B2148" s="12" t="s">
        <v>376</v>
      </c>
      <c r="C2148" s="12" t="s">
        <v>123</v>
      </c>
      <c r="D2148" s="12" t="s">
        <v>396</v>
      </c>
      <c r="E2148" s="12" t="s">
        <v>397</v>
      </c>
    </row>
    <row r="2149" spans="1:5" x14ac:dyDescent="0.3">
      <c r="A2149" s="12" t="s">
        <v>93</v>
      </c>
      <c r="B2149" s="12" t="s">
        <v>376</v>
      </c>
      <c r="C2149" s="12" t="s">
        <v>123</v>
      </c>
      <c r="D2149" s="12" t="s">
        <v>3</v>
      </c>
      <c r="E2149" s="12" t="s">
        <v>398</v>
      </c>
    </row>
    <row r="2150" spans="1:5" x14ac:dyDescent="0.3">
      <c r="A2150" s="12" t="s">
        <v>93</v>
      </c>
      <c r="B2150" s="12" t="s">
        <v>376</v>
      </c>
      <c r="C2150" s="12" t="s">
        <v>123</v>
      </c>
      <c r="D2150" s="12" t="s">
        <v>399</v>
      </c>
      <c r="E2150" s="12" t="s">
        <v>400</v>
      </c>
    </row>
    <row r="2151" spans="1:5" x14ac:dyDescent="0.3">
      <c r="A2151" s="12" t="s">
        <v>93</v>
      </c>
      <c r="B2151" s="12" t="s">
        <v>376</v>
      </c>
      <c r="C2151" s="12" t="s">
        <v>123</v>
      </c>
      <c r="D2151" s="12" t="s">
        <v>401</v>
      </c>
      <c r="E2151" s="12" t="s">
        <v>402</v>
      </c>
    </row>
    <row r="2152" spans="1:5" x14ac:dyDescent="0.3">
      <c r="A2152" s="12" t="s">
        <v>93</v>
      </c>
      <c r="B2152" s="12" t="s">
        <v>376</v>
      </c>
      <c r="C2152" s="12" t="s">
        <v>123</v>
      </c>
      <c r="D2152" s="12" t="s">
        <v>403</v>
      </c>
      <c r="E2152" s="12" t="s">
        <v>404</v>
      </c>
    </row>
    <row r="2153" spans="1:5" x14ac:dyDescent="0.3">
      <c r="A2153" s="12" t="s">
        <v>93</v>
      </c>
      <c r="B2153" s="12" t="s">
        <v>376</v>
      </c>
      <c r="C2153" s="12" t="s">
        <v>123</v>
      </c>
      <c r="D2153" s="12" t="s">
        <v>405</v>
      </c>
      <c r="E2153" s="12" t="s">
        <v>406</v>
      </c>
    </row>
    <row r="2154" spans="1:5" x14ac:dyDescent="0.3">
      <c r="A2154" s="12" t="s">
        <v>93</v>
      </c>
      <c r="B2154" s="12" t="s">
        <v>376</v>
      </c>
      <c r="C2154" s="12" t="s">
        <v>123</v>
      </c>
      <c r="D2154" s="12" t="s">
        <v>407</v>
      </c>
      <c r="E2154" s="12" t="s">
        <v>408</v>
      </c>
    </row>
    <row r="2155" spans="1:5" x14ac:dyDescent="0.3">
      <c r="A2155" s="12" t="s">
        <v>93</v>
      </c>
      <c r="B2155" s="12" t="s">
        <v>376</v>
      </c>
      <c r="C2155" s="12" t="s">
        <v>123</v>
      </c>
      <c r="D2155" s="12" t="s">
        <v>409</v>
      </c>
      <c r="E2155" s="12" t="s">
        <v>410</v>
      </c>
    </row>
    <row r="2156" spans="1:5" x14ac:dyDescent="0.3">
      <c r="A2156" s="12" t="s">
        <v>93</v>
      </c>
      <c r="B2156" s="12" t="s">
        <v>376</v>
      </c>
      <c r="C2156" s="12" t="s">
        <v>123</v>
      </c>
      <c r="D2156" s="12" t="s">
        <v>411</v>
      </c>
      <c r="E2156" s="12" t="s">
        <v>412</v>
      </c>
    </row>
    <row r="2157" spans="1:5" x14ac:dyDescent="0.3">
      <c r="A2157" s="12" t="s">
        <v>93</v>
      </c>
      <c r="B2157" s="12" t="s">
        <v>376</v>
      </c>
      <c r="C2157" s="12" t="s">
        <v>123</v>
      </c>
      <c r="D2157" s="12" t="s">
        <v>413</v>
      </c>
      <c r="E2157" s="12" t="s">
        <v>414</v>
      </c>
    </row>
    <row r="2158" spans="1:5" x14ac:dyDescent="0.3">
      <c r="A2158" s="12" t="s">
        <v>93</v>
      </c>
      <c r="B2158" s="12" t="s">
        <v>376</v>
      </c>
      <c r="C2158" s="12" t="s">
        <v>123</v>
      </c>
      <c r="D2158" s="12" t="s">
        <v>415</v>
      </c>
      <c r="E2158" s="12" t="s">
        <v>416</v>
      </c>
    </row>
    <row r="2159" spans="1:5" x14ac:dyDescent="0.3">
      <c r="A2159" s="12" t="s">
        <v>93</v>
      </c>
      <c r="B2159" s="12" t="s">
        <v>376</v>
      </c>
      <c r="C2159" s="12" t="s">
        <v>123</v>
      </c>
      <c r="D2159" s="12" t="s">
        <v>417</v>
      </c>
      <c r="E2159" s="12" t="s">
        <v>418</v>
      </c>
    </row>
    <row r="2160" spans="1:5" x14ac:dyDescent="0.3">
      <c r="A2160" s="12" t="s">
        <v>93</v>
      </c>
      <c r="B2160" s="12" t="s">
        <v>376</v>
      </c>
      <c r="C2160" s="12" t="s">
        <v>123</v>
      </c>
      <c r="D2160" s="12" t="s">
        <v>419</v>
      </c>
      <c r="E2160" s="12" t="s">
        <v>420</v>
      </c>
    </row>
    <row r="2161" spans="1:5" x14ac:dyDescent="0.3">
      <c r="A2161" s="12" t="s">
        <v>93</v>
      </c>
      <c r="B2161" s="12" t="s">
        <v>376</v>
      </c>
      <c r="C2161" s="12" t="s">
        <v>123</v>
      </c>
      <c r="D2161" s="12" t="s">
        <v>421</v>
      </c>
      <c r="E2161" s="12" t="s">
        <v>422</v>
      </c>
    </row>
    <row r="2162" spans="1:5" x14ac:dyDescent="0.3">
      <c r="A2162" s="12" t="s">
        <v>93</v>
      </c>
      <c r="B2162" s="12" t="s">
        <v>376</v>
      </c>
      <c r="C2162" s="12" t="s">
        <v>123</v>
      </c>
      <c r="D2162" s="12" t="s">
        <v>423</v>
      </c>
      <c r="E2162" s="12" t="s">
        <v>424</v>
      </c>
    </row>
    <row r="2163" spans="1:5" x14ac:dyDescent="0.3">
      <c r="A2163" s="12" t="s">
        <v>93</v>
      </c>
      <c r="B2163" s="12" t="s">
        <v>376</v>
      </c>
      <c r="C2163" s="12" t="s">
        <v>123</v>
      </c>
      <c r="D2163" s="12" t="s">
        <v>425</v>
      </c>
      <c r="E2163" s="12" t="s">
        <v>426</v>
      </c>
    </row>
    <row r="2164" spans="1:5" x14ac:dyDescent="0.3">
      <c r="A2164" s="12" t="s">
        <v>93</v>
      </c>
      <c r="B2164" s="12" t="s">
        <v>376</v>
      </c>
      <c r="C2164" s="12" t="s">
        <v>123</v>
      </c>
      <c r="D2164" s="12" t="s">
        <v>427</v>
      </c>
      <c r="E2164" s="12" t="s">
        <v>428</v>
      </c>
    </row>
    <row r="2165" spans="1:5" x14ac:dyDescent="0.3">
      <c r="A2165" s="12" t="s">
        <v>93</v>
      </c>
      <c r="B2165" s="12" t="s">
        <v>376</v>
      </c>
      <c r="C2165" s="12" t="s">
        <v>123</v>
      </c>
      <c r="D2165" s="12" t="s">
        <v>429</v>
      </c>
      <c r="E2165" s="12" t="s">
        <v>430</v>
      </c>
    </row>
    <row r="2166" spans="1:5" x14ac:dyDescent="0.3">
      <c r="A2166" s="12" t="s">
        <v>93</v>
      </c>
      <c r="B2166" s="12" t="s">
        <v>376</v>
      </c>
      <c r="C2166" s="12" t="s">
        <v>123</v>
      </c>
      <c r="D2166" s="12" t="s">
        <v>431</v>
      </c>
      <c r="E2166" s="12" t="s">
        <v>432</v>
      </c>
    </row>
    <row r="2167" spans="1:5" x14ac:dyDescent="0.3">
      <c r="A2167" s="12" t="s">
        <v>93</v>
      </c>
      <c r="B2167" s="12" t="s">
        <v>376</v>
      </c>
      <c r="C2167" s="12" t="s">
        <v>123</v>
      </c>
      <c r="D2167" s="12" t="s">
        <v>433</v>
      </c>
      <c r="E2167" s="12" t="s">
        <v>434</v>
      </c>
    </row>
    <row r="2168" spans="1:5" x14ac:dyDescent="0.3">
      <c r="A2168" s="12" t="s">
        <v>93</v>
      </c>
      <c r="B2168" s="12" t="s">
        <v>376</v>
      </c>
      <c r="C2168" s="12" t="s">
        <v>123</v>
      </c>
      <c r="D2168" s="12" t="s">
        <v>435</v>
      </c>
      <c r="E2168" s="12" t="s">
        <v>436</v>
      </c>
    </row>
    <row r="2169" spans="1:5" x14ac:dyDescent="0.3">
      <c r="A2169" s="12" t="s">
        <v>93</v>
      </c>
      <c r="B2169" s="12" t="s">
        <v>376</v>
      </c>
      <c r="C2169" s="12" t="s">
        <v>123</v>
      </c>
      <c r="D2169" s="12" t="s">
        <v>437</v>
      </c>
      <c r="E2169" s="12" t="s">
        <v>438</v>
      </c>
    </row>
    <row r="2170" spans="1:5" x14ac:dyDescent="0.3">
      <c r="A2170" s="12" t="s">
        <v>93</v>
      </c>
      <c r="B2170" s="12" t="s">
        <v>376</v>
      </c>
      <c r="C2170" s="12" t="s">
        <v>123</v>
      </c>
      <c r="D2170" s="12" t="s">
        <v>439</v>
      </c>
      <c r="E2170" s="12" t="s">
        <v>440</v>
      </c>
    </row>
    <row r="2171" spans="1:5" x14ac:dyDescent="0.3">
      <c r="A2171" s="12" t="s">
        <v>93</v>
      </c>
      <c r="B2171" s="12" t="s">
        <v>376</v>
      </c>
      <c r="C2171" s="12" t="s">
        <v>123</v>
      </c>
      <c r="D2171" s="12" t="s">
        <v>441</v>
      </c>
      <c r="E2171" s="12" t="s">
        <v>442</v>
      </c>
    </row>
    <row r="2172" spans="1:5" x14ac:dyDescent="0.3">
      <c r="A2172" s="12" t="s">
        <v>93</v>
      </c>
      <c r="B2172" s="12" t="s">
        <v>376</v>
      </c>
      <c r="C2172" s="12" t="s">
        <v>123</v>
      </c>
      <c r="D2172" s="12" t="s">
        <v>443</v>
      </c>
      <c r="E2172" s="12" t="s">
        <v>444</v>
      </c>
    </row>
    <row r="2173" spans="1:5" x14ac:dyDescent="0.3">
      <c r="A2173" s="12" t="s">
        <v>93</v>
      </c>
      <c r="B2173" s="12" t="s">
        <v>376</v>
      </c>
      <c r="C2173" s="12" t="s">
        <v>123</v>
      </c>
      <c r="D2173" s="12" t="s">
        <v>445</v>
      </c>
      <c r="E2173" s="12" t="s">
        <v>446</v>
      </c>
    </row>
    <row r="2174" spans="1:5" x14ac:dyDescent="0.3">
      <c r="A2174" s="12" t="s">
        <v>93</v>
      </c>
      <c r="B2174" s="12" t="s">
        <v>376</v>
      </c>
      <c r="C2174" s="12" t="s">
        <v>123</v>
      </c>
      <c r="D2174" s="12" t="s">
        <v>447</v>
      </c>
      <c r="E2174" s="12" t="s">
        <v>448</v>
      </c>
    </row>
    <row r="2175" spans="1:5" x14ac:dyDescent="0.3">
      <c r="A2175" s="12" t="s">
        <v>93</v>
      </c>
      <c r="B2175" s="12" t="s">
        <v>376</v>
      </c>
      <c r="C2175" s="12" t="s">
        <v>123</v>
      </c>
      <c r="D2175" s="12" t="s">
        <v>449</v>
      </c>
      <c r="E2175" s="12" t="s">
        <v>450</v>
      </c>
    </row>
    <row r="2176" spans="1:5" x14ac:dyDescent="0.3">
      <c r="A2176" s="12" t="s">
        <v>93</v>
      </c>
      <c r="B2176" s="12" t="s">
        <v>376</v>
      </c>
      <c r="C2176" s="12" t="s">
        <v>123</v>
      </c>
      <c r="D2176" s="12" t="s">
        <v>451</v>
      </c>
      <c r="E2176" s="12" t="s">
        <v>452</v>
      </c>
    </row>
    <row r="2177" spans="1:5" x14ac:dyDescent="0.3">
      <c r="A2177" s="12" t="s">
        <v>93</v>
      </c>
      <c r="B2177" s="12" t="s">
        <v>376</v>
      </c>
      <c r="C2177" s="12" t="s">
        <v>123</v>
      </c>
      <c r="D2177" s="12" t="s">
        <v>453</v>
      </c>
      <c r="E2177" s="12" t="s">
        <v>454</v>
      </c>
    </row>
    <row r="2178" spans="1:5" x14ac:dyDescent="0.3">
      <c r="A2178" s="12" t="s">
        <v>93</v>
      </c>
      <c r="B2178" s="12" t="s">
        <v>376</v>
      </c>
      <c r="C2178" s="12" t="s">
        <v>123</v>
      </c>
      <c r="D2178" s="12" t="s">
        <v>455</v>
      </c>
      <c r="E2178" s="12" t="s">
        <v>456</v>
      </c>
    </row>
    <row r="2179" spans="1:5" x14ac:dyDescent="0.3">
      <c r="A2179" s="12" t="s">
        <v>93</v>
      </c>
      <c r="B2179" s="12" t="s">
        <v>376</v>
      </c>
      <c r="C2179" s="12" t="s">
        <v>123</v>
      </c>
      <c r="D2179" s="12" t="s">
        <v>457</v>
      </c>
      <c r="E2179" s="12" t="s">
        <v>458</v>
      </c>
    </row>
    <row r="2180" spans="1:5" x14ac:dyDescent="0.3">
      <c r="A2180" s="12" t="s">
        <v>93</v>
      </c>
      <c r="B2180" s="12" t="s">
        <v>376</v>
      </c>
      <c r="C2180" s="12" t="s">
        <v>123</v>
      </c>
      <c r="D2180" s="12" t="s">
        <v>459</v>
      </c>
      <c r="E2180" s="12" t="s">
        <v>460</v>
      </c>
    </row>
    <row r="2181" spans="1:5" x14ac:dyDescent="0.3">
      <c r="A2181" s="12" t="s">
        <v>93</v>
      </c>
      <c r="B2181" s="12" t="s">
        <v>376</v>
      </c>
      <c r="C2181" s="12" t="s">
        <v>123</v>
      </c>
      <c r="D2181" s="12" t="s">
        <v>461</v>
      </c>
      <c r="E2181" s="12" t="s">
        <v>462</v>
      </c>
    </row>
    <row r="2182" spans="1:5" x14ac:dyDescent="0.3">
      <c r="A2182" s="12" t="s">
        <v>93</v>
      </c>
      <c r="B2182" s="12" t="s">
        <v>376</v>
      </c>
      <c r="C2182" s="12" t="s">
        <v>123</v>
      </c>
      <c r="D2182" s="12" t="s">
        <v>463</v>
      </c>
      <c r="E2182" s="12" t="s">
        <v>464</v>
      </c>
    </row>
    <row r="2183" spans="1:5" x14ac:dyDescent="0.3">
      <c r="A2183" s="12" t="s">
        <v>93</v>
      </c>
      <c r="B2183" s="12" t="s">
        <v>376</v>
      </c>
      <c r="C2183" s="12" t="s">
        <v>123</v>
      </c>
      <c r="D2183" s="12" t="s">
        <v>465</v>
      </c>
      <c r="E2183" s="12" t="s">
        <v>466</v>
      </c>
    </row>
    <row r="2184" spans="1:5" x14ac:dyDescent="0.3">
      <c r="A2184" s="12" t="s">
        <v>93</v>
      </c>
      <c r="B2184" s="12" t="s">
        <v>376</v>
      </c>
      <c r="C2184" s="12" t="s">
        <v>123</v>
      </c>
      <c r="D2184" s="12" t="s">
        <v>215</v>
      </c>
      <c r="E2184" s="12" t="s">
        <v>467</v>
      </c>
    </row>
    <row r="2185" spans="1:5" x14ac:dyDescent="0.3">
      <c r="A2185" s="12" t="s">
        <v>93</v>
      </c>
      <c r="B2185" s="12" t="s">
        <v>376</v>
      </c>
      <c r="C2185" s="12" t="s">
        <v>123</v>
      </c>
      <c r="D2185" s="12" t="s">
        <v>468</v>
      </c>
      <c r="E2185" s="12" t="s">
        <v>469</v>
      </c>
    </row>
    <row r="2186" spans="1:5" x14ac:dyDescent="0.3">
      <c r="A2186" s="12" t="s">
        <v>93</v>
      </c>
      <c r="B2186" s="12" t="s">
        <v>376</v>
      </c>
      <c r="C2186" s="12" t="s">
        <v>123</v>
      </c>
      <c r="D2186" s="12" t="s">
        <v>470</v>
      </c>
      <c r="E2186" s="12" t="s">
        <v>471</v>
      </c>
    </row>
    <row r="2187" spans="1:5" x14ac:dyDescent="0.3">
      <c r="A2187" s="12" t="s">
        <v>93</v>
      </c>
      <c r="B2187" s="12" t="s">
        <v>376</v>
      </c>
      <c r="C2187" s="12" t="s">
        <v>123</v>
      </c>
      <c r="D2187" s="12" t="s">
        <v>472</v>
      </c>
      <c r="E2187" s="12" t="s">
        <v>473</v>
      </c>
    </row>
    <row r="2188" spans="1:5" x14ac:dyDescent="0.3">
      <c r="A2188" s="12" t="s">
        <v>93</v>
      </c>
      <c r="B2188" s="12" t="s">
        <v>376</v>
      </c>
      <c r="C2188" s="12" t="s">
        <v>123</v>
      </c>
      <c r="D2188" s="12" t="s">
        <v>474</v>
      </c>
      <c r="E2188" s="12" t="s">
        <v>475</v>
      </c>
    </row>
    <row r="2189" spans="1:5" x14ac:dyDescent="0.3">
      <c r="A2189" s="12" t="s">
        <v>93</v>
      </c>
      <c r="B2189" s="12" t="s">
        <v>376</v>
      </c>
      <c r="C2189" s="12" t="s">
        <v>123</v>
      </c>
      <c r="D2189" s="12" t="s">
        <v>476</v>
      </c>
      <c r="E2189" s="12" t="s">
        <v>477</v>
      </c>
    </row>
    <row r="2190" spans="1:5" x14ac:dyDescent="0.3">
      <c r="A2190" s="12" t="s">
        <v>93</v>
      </c>
      <c r="B2190" s="12" t="s">
        <v>376</v>
      </c>
      <c r="C2190" s="12" t="s">
        <v>123</v>
      </c>
      <c r="D2190" s="12" t="s">
        <v>291</v>
      </c>
      <c r="E2190" s="12" t="s">
        <v>478</v>
      </c>
    </row>
    <row r="2191" spans="1:5" x14ac:dyDescent="0.3">
      <c r="A2191" s="12" t="s">
        <v>93</v>
      </c>
      <c r="B2191" s="12" t="s">
        <v>376</v>
      </c>
      <c r="C2191" s="12" t="s">
        <v>123</v>
      </c>
      <c r="D2191" s="12" t="s">
        <v>479</v>
      </c>
      <c r="E2191" s="12" t="s">
        <v>480</v>
      </c>
    </row>
    <row r="2192" spans="1:5" x14ac:dyDescent="0.3">
      <c r="A2192" s="12" t="s">
        <v>93</v>
      </c>
      <c r="B2192" s="12" t="s">
        <v>376</v>
      </c>
      <c r="C2192" s="12" t="s">
        <v>123</v>
      </c>
      <c r="D2192" s="12" t="s">
        <v>481</v>
      </c>
      <c r="E2192" s="12" t="s">
        <v>482</v>
      </c>
    </row>
    <row r="2193" spans="1:5" x14ac:dyDescent="0.3">
      <c r="A2193" s="12" t="s">
        <v>93</v>
      </c>
      <c r="B2193" s="12" t="s">
        <v>376</v>
      </c>
      <c r="C2193" s="12" t="s">
        <v>123</v>
      </c>
      <c r="D2193" s="12" t="s">
        <v>483</v>
      </c>
      <c r="E2193" s="12" t="s">
        <v>484</v>
      </c>
    </row>
    <row r="2194" spans="1:5" x14ac:dyDescent="0.3">
      <c r="A2194" s="12" t="s">
        <v>93</v>
      </c>
      <c r="B2194" s="12" t="s">
        <v>376</v>
      </c>
      <c r="C2194" s="12" t="s">
        <v>123</v>
      </c>
      <c r="D2194" s="12" t="s">
        <v>485</v>
      </c>
      <c r="E2194" s="12" t="s">
        <v>486</v>
      </c>
    </row>
    <row r="2195" spans="1:5" x14ac:dyDescent="0.3">
      <c r="A2195" s="12" t="s">
        <v>93</v>
      </c>
      <c r="B2195" s="12" t="s">
        <v>376</v>
      </c>
      <c r="C2195" s="12" t="s">
        <v>123</v>
      </c>
      <c r="D2195" s="12" t="s">
        <v>487</v>
      </c>
      <c r="E2195" s="12" t="s">
        <v>488</v>
      </c>
    </row>
    <row r="2196" spans="1:5" x14ac:dyDescent="0.3">
      <c r="A2196" s="12" t="s">
        <v>93</v>
      </c>
      <c r="B2196" s="12" t="s">
        <v>376</v>
      </c>
      <c r="C2196" s="12" t="s">
        <v>123</v>
      </c>
      <c r="D2196" s="12" t="s">
        <v>489</v>
      </c>
      <c r="E2196" s="12" t="s">
        <v>490</v>
      </c>
    </row>
    <row r="2197" spans="1:5" x14ac:dyDescent="0.3">
      <c r="A2197" s="12" t="s">
        <v>93</v>
      </c>
      <c r="B2197" s="12" t="s">
        <v>376</v>
      </c>
      <c r="C2197" s="12" t="s">
        <v>123</v>
      </c>
      <c r="D2197" s="12" t="s">
        <v>491</v>
      </c>
      <c r="E2197" s="12" t="s">
        <v>492</v>
      </c>
    </row>
    <row r="2198" spans="1:5" x14ac:dyDescent="0.3">
      <c r="A2198" s="12" t="s">
        <v>93</v>
      </c>
      <c r="B2198" s="12" t="s">
        <v>376</v>
      </c>
      <c r="C2198" s="12" t="s">
        <v>123</v>
      </c>
      <c r="D2198" s="12" t="s">
        <v>292</v>
      </c>
      <c r="E2198" s="12" t="s">
        <v>493</v>
      </c>
    </row>
    <row r="2199" spans="1:5" x14ac:dyDescent="0.3">
      <c r="A2199" s="12" t="s">
        <v>93</v>
      </c>
      <c r="B2199" s="12" t="s">
        <v>376</v>
      </c>
      <c r="C2199" s="12" t="s">
        <v>123</v>
      </c>
      <c r="D2199" s="12" t="s">
        <v>494</v>
      </c>
      <c r="E2199" s="12" t="s">
        <v>495</v>
      </c>
    </row>
    <row r="2200" spans="1:5" x14ac:dyDescent="0.3">
      <c r="A2200" s="12" t="s">
        <v>93</v>
      </c>
      <c r="B2200" s="12" t="s">
        <v>376</v>
      </c>
      <c r="C2200" s="12" t="s">
        <v>123</v>
      </c>
      <c r="D2200" s="12" t="s">
        <v>496</v>
      </c>
      <c r="E2200" s="12" t="s">
        <v>497</v>
      </c>
    </row>
    <row r="2201" spans="1:5" x14ac:dyDescent="0.3">
      <c r="A2201" s="12" t="s">
        <v>93</v>
      </c>
      <c r="B2201" s="12" t="s">
        <v>376</v>
      </c>
      <c r="C2201" s="12" t="s">
        <v>123</v>
      </c>
      <c r="D2201" s="12" t="s">
        <v>498</v>
      </c>
      <c r="E2201" s="12" t="s">
        <v>499</v>
      </c>
    </row>
    <row r="2202" spans="1:5" x14ac:dyDescent="0.3">
      <c r="A2202" s="12" t="s">
        <v>93</v>
      </c>
      <c r="B2202" s="12" t="s">
        <v>376</v>
      </c>
      <c r="C2202" s="12" t="s">
        <v>123</v>
      </c>
      <c r="D2202" s="12" t="s">
        <v>500</v>
      </c>
      <c r="E2202" s="12" t="s">
        <v>501</v>
      </c>
    </row>
    <row r="2203" spans="1:5" x14ac:dyDescent="0.3">
      <c r="A2203" s="12" t="s">
        <v>93</v>
      </c>
      <c r="B2203" s="12" t="s">
        <v>376</v>
      </c>
      <c r="C2203" s="12" t="s">
        <v>123</v>
      </c>
      <c r="D2203" s="12" t="s">
        <v>502</v>
      </c>
      <c r="E2203" s="12" t="s">
        <v>503</v>
      </c>
    </row>
    <row r="2204" spans="1:5" x14ac:dyDescent="0.3">
      <c r="A2204" s="12" t="s">
        <v>93</v>
      </c>
      <c r="B2204" s="12" t="s">
        <v>376</v>
      </c>
      <c r="C2204" s="12" t="s">
        <v>123</v>
      </c>
      <c r="D2204" s="12" t="s">
        <v>504</v>
      </c>
      <c r="E2204" s="12" t="s">
        <v>505</v>
      </c>
    </row>
    <row r="2205" spans="1:5" x14ac:dyDescent="0.3">
      <c r="A2205" s="12" t="s">
        <v>93</v>
      </c>
      <c r="B2205" s="12" t="s">
        <v>376</v>
      </c>
      <c r="C2205" s="12" t="s">
        <v>123</v>
      </c>
      <c r="D2205" s="12" t="s">
        <v>506</v>
      </c>
      <c r="E2205" s="12" t="s">
        <v>507</v>
      </c>
    </row>
    <row r="2206" spans="1:5" x14ac:dyDescent="0.3">
      <c r="A2206" s="12" t="s">
        <v>93</v>
      </c>
      <c r="B2206" s="12" t="s">
        <v>376</v>
      </c>
      <c r="C2206" s="12" t="s">
        <v>123</v>
      </c>
      <c r="D2206" s="12" t="s">
        <v>508</v>
      </c>
      <c r="E2206" s="12" t="s">
        <v>509</v>
      </c>
    </row>
    <row r="2207" spans="1:5" x14ac:dyDescent="0.3">
      <c r="A2207" s="12" t="s">
        <v>93</v>
      </c>
      <c r="B2207" s="12" t="s">
        <v>376</v>
      </c>
      <c r="C2207" s="12" t="s">
        <v>123</v>
      </c>
      <c r="D2207" s="12" t="s">
        <v>510</v>
      </c>
      <c r="E2207" s="12" t="s">
        <v>511</v>
      </c>
    </row>
    <row r="2208" spans="1:5" x14ac:dyDescent="0.3">
      <c r="A2208" s="12" t="s">
        <v>93</v>
      </c>
      <c r="B2208" s="12" t="s">
        <v>376</v>
      </c>
      <c r="C2208" s="12" t="s">
        <v>123</v>
      </c>
      <c r="D2208" s="12" t="s">
        <v>555</v>
      </c>
      <c r="E2208" s="12" t="s">
        <v>844</v>
      </c>
    </row>
    <row r="2209" spans="1:5" x14ac:dyDescent="0.3">
      <c r="A2209" s="12" t="s">
        <v>93</v>
      </c>
      <c r="B2209" s="12" t="s">
        <v>376</v>
      </c>
      <c r="C2209" s="12" t="s">
        <v>123</v>
      </c>
      <c r="D2209" s="12" t="s">
        <v>512</v>
      </c>
      <c r="E2209" s="12" t="s">
        <v>513</v>
      </c>
    </row>
    <row r="2210" spans="1:5" x14ac:dyDescent="0.3">
      <c r="A2210" s="12" t="s">
        <v>93</v>
      </c>
      <c r="B2210" s="12" t="s">
        <v>376</v>
      </c>
      <c r="C2210" s="12" t="s">
        <v>123</v>
      </c>
      <c r="D2210" s="12" t="s">
        <v>514</v>
      </c>
      <c r="E2210" s="12" t="s">
        <v>515</v>
      </c>
    </row>
    <row r="2211" spans="1:5" x14ac:dyDescent="0.3">
      <c r="A2211" s="12" t="s">
        <v>93</v>
      </c>
      <c r="B2211" s="12" t="s">
        <v>376</v>
      </c>
      <c r="C2211" s="12" t="s">
        <v>123</v>
      </c>
      <c r="D2211" s="12" t="s">
        <v>516</v>
      </c>
      <c r="E2211" s="12" t="s">
        <v>517</v>
      </c>
    </row>
    <row r="2212" spans="1:5" x14ac:dyDescent="0.3">
      <c r="A2212" s="12" t="s">
        <v>93</v>
      </c>
      <c r="B2212" s="12" t="s">
        <v>518</v>
      </c>
      <c r="C2212" s="12" t="s">
        <v>120</v>
      </c>
      <c r="D2212" s="12" t="s">
        <v>299</v>
      </c>
      <c r="E2212" s="12" t="s">
        <v>519</v>
      </c>
    </row>
    <row r="2213" spans="1:5" x14ac:dyDescent="0.3">
      <c r="A2213" s="12" t="s">
        <v>93</v>
      </c>
      <c r="B2213" s="12" t="s">
        <v>518</v>
      </c>
      <c r="C2213" s="12" t="s">
        <v>123</v>
      </c>
      <c r="D2213" s="12" t="s">
        <v>520</v>
      </c>
      <c r="E2213" s="12" t="s">
        <v>521</v>
      </c>
    </row>
    <row r="2214" spans="1:5" x14ac:dyDescent="0.3">
      <c r="A2214" s="12" t="s">
        <v>93</v>
      </c>
      <c r="B2214" s="12" t="s">
        <v>518</v>
      </c>
      <c r="C2214" s="12" t="s">
        <v>123</v>
      </c>
      <c r="D2214" s="12" t="s">
        <v>520</v>
      </c>
      <c r="E2214" s="12" t="s">
        <v>522</v>
      </c>
    </row>
    <row r="2215" spans="1:5" x14ac:dyDescent="0.3">
      <c r="A2215" s="12" t="s">
        <v>93</v>
      </c>
      <c r="B2215" s="12" t="s">
        <v>518</v>
      </c>
      <c r="C2215" s="12" t="s">
        <v>123</v>
      </c>
      <c r="D2215" s="12" t="s">
        <v>520</v>
      </c>
      <c r="E2215" s="12" t="s">
        <v>523</v>
      </c>
    </row>
    <row r="2216" spans="1:5" x14ac:dyDescent="0.3">
      <c r="A2216" s="12" t="s">
        <v>93</v>
      </c>
      <c r="B2216" s="12" t="s">
        <v>518</v>
      </c>
      <c r="C2216" s="12" t="s">
        <v>123</v>
      </c>
      <c r="D2216" s="12" t="s">
        <v>520</v>
      </c>
      <c r="E2216" s="12" t="s">
        <v>524</v>
      </c>
    </row>
    <row r="2217" spans="1:5" x14ac:dyDescent="0.3">
      <c r="A2217" s="12" t="s">
        <v>93</v>
      </c>
      <c r="B2217" s="12" t="s">
        <v>518</v>
      </c>
      <c r="C2217" s="12" t="s">
        <v>123</v>
      </c>
      <c r="D2217" s="12" t="s">
        <v>520</v>
      </c>
      <c r="E2217" s="12" t="s">
        <v>525</v>
      </c>
    </row>
    <row r="2218" spans="1:5" x14ac:dyDescent="0.3">
      <c r="A2218" s="12" t="s">
        <v>93</v>
      </c>
      <c r="B2218" s="12" t="s">
        <v>518</v>
      </c>
      <c r="C2218" s="12" t="s">
        <v>123</v>
      </c>
      <c r="D2218" s="12" t="s">
        <v>520</v>
      </c>
      <c r="E2218" s="12" t="s">
        <v>526</v>
      </c>
    </row>
    <row r="2219" spans="1:5" x14ac:dyDescent="0.3">
      <c r="A2219" s="12" t="s">
        <v>93</v>
      </c>
      <c r="B2219" s="12" t="s">
        <v>518</v>
      </c>
      <c r="C2219" s="12" t="s">
        <v>123</v>
      </c>
      <c r="D2219" s="12" t="s">
        <v>520</v>
      </c>
      <c r="E2219" s="12" t="s">
        <v>527</v>
      </c>
    </row>
    <row r="2220" spans="1:5" x14ac:dyDescent="0.3">
      <c r="A2220" s="12" t="s">
        <v>93</v>
      </c>
      <c r="B2220" s="12" t="s">
        <v>518</v>
      </c>
      <c r="C2220" s="12" t="s">
        <v>123</v>
      </c>
      <c r="D2220" s="12" t="s">
        <v>520</v>
      </c>
      <c r="E2220" s="12" t="s">
        <v>528</v>
      </c>
    </row>
    <row r="2221" spans="1:5" x14ac:dyDescent="0.3">
      <c r="A2221" s="12" t="s">
        <v>93</v>
      </c>
      <c r="B2221" s="12" t="s">
        <v>518</v>
      </c>
      <c r="C2221" s="12" t="s">
        <v>123</v>
      </c>
      <c r="D2221" s="12" t="s">
        <v>520</v>
      </c>
      <c r="E2221" s="12" t="s">
        <v>529</v>
      </c>
    </row>
    <row r="2222" spans="1:5" x14ac:dyDescent="0.3">
      <c r="A2222" s="12" t="s">
        <v>93</v>
      </c>
      <c r="B2222" s="12" t="s">
        <v>518</v>
      </c>
      <c r="C2222" s="12" t="s">
        <v>123</v>
      </c>
      <c r="D2222" s="12" t="s">
        <v>520</v>
      </c>
      <c r="E2222" s="12" t="s">
        <v>530</v>
      </c>
    </row>
    <row r="2223" spans="1:5" x14ac:dyDescent="0.3">
      <c r="A2223" s="12" t="s">
        <v>93</v>
      </c>
      <c r="B2223" s="12" t="s">
        <v>518</v>
      </c>
      <c r="C2223" s="12" t="s">
        <v>123</v>
      </c>
      <c r="D2223" s="12" t="s">
        <v>520</v>
      </c>
      <c r="E2223" s="12" t="s">
        <v>531</v>
      </c>
    </row>
    <row r="2224" spans="1:5" x14ac:dyDescent="0.3">
      <c r="A2224" s="12" t="s">
        <v>93</v>
      </c>
      <c r="B2224" s="12" t="s">
        <v>518</v>
      </c>
      <c r="C2224" s="12" t="s">
        <v>123</v>
      </c>
      <c r="D2224" s="12" t="s">
        <v>520</v>
      </c>
      <c r="E2224" s="12" t="s">
        <v>532</v>
      </c>
    </row>
    <row r="2225" spans="1:5" x14ac:dyDescent="0.3">
      <c r="A2225" s="12" t="s">
        <v>93</v>
      </c>
      <c r="B2225" s="12" t="s">
        <v>518</v>
      </c>
      <c r="C2225" s="12" t="s">
        <v>123</v>
      </c>
      <c r="D2225" s="12" t="s">
        <v>520</v>
      </c>
      <c r="E2225" s="12" t="s">
        <v>533</v>
      </c>
    </row>
    <row r="2226" spans="1:5" x14ac:dyDescent="0.3">
      <c r="A2226" s="12" t="s">
        <v>93</v>
      </c>
      <c r="B2226" s="12" t="s">
        <v>518</v>
      </c>
      <c r="C2226" s="12" t="s">
        <v>123</v>
      </c>
      <c r="D2226" s="12" t="s">
        <v>520</v>
      </c>
      <c r="E2226" s="12" t="s">
        <v>534</v>
      </c>
    </row>
    <row r="2227" spans="1:5" x14ac:dyDescent="0.3">
      <c r="A2227" s="12" t="s">
        <v>93</v>
      </c>
      <c r="B2227" s="12" t="s">
        <v>518</v>
      </c>
      <c r="C2227" s="12" t="s">
        <v>123</v>
      </c>
      <c r="D2227" s="12" t="s">
        <v>520</v>
      </c>
      <c r="E2227" s="12" t="s">
        <v>535</v>
      </c>
    </row>
    <row r="2228" spans="1:5" x14ac:dyDescent="0.3">
      <c r="A2228" s="12" t="s">
        <v>93</v>
      </c>
      <c r="B2228" s="12" t="s">
        <v>518</v>
      </c>
      <c r="C2228" s="12" t="s">
        <v>123</v>
      </c>
      <c r="D2228" s="12" t="s">
        <v>520</v>
      </c>
      <c r="E2228" s="12" t="s">
        <v>536</v>
      </c>
    </row>
    <row r="2229" spans="1:5" x14ac:dyDescent="0.3">
      <c r="A2229" s="12" t="s">
        <v>93</v>
      </c>
      <c r="B2229" s="12" t="s">
        <v>518</v>
      </c>
      <c r="C2229" s="12" t="s">
        <v>123</v>
      </c>
      <c r="D2229" s="12" t="s">
        <v>520</v>
      </c>
      <c r="E2229" s="12" t="s">
        <v>537</v>
      </c>
    </row>
    <row r="2230" spans="1:5" x14ac:dyDescent="0.3">
      <c r="A2230" s="12" t="s">
        <v>93</v>
      </c>
      <c r="B2230" s="12" t="s">
        <v>518</v>
      </c>
      <c r="C2230" s="12" t="s">
        <v>123</v>
      </c>
      <c r="D2230" s="12" t="s">
        <v>538</v>
      </c>
      <c r="E2230" s="12" t="s">
        <v>539</v>
      </c>
    </row>
    <row r="2231" spans="1:5" x14ac:dyDescent="0.3">
      <c r="A2231" s="12" t="s">
        <v>93</v>
      </c>
      <c r="B2231" s="12" t="s">
        <v>518</v>
      </c>
      <c r="C2231" s="12" t="s">
        <v>123</v>
      </c>
      <c r="D2231" s="12" t="s">
        <v>540</v>
      </c>
      <c r="E2231" s="12" t="s">
        <v>541</v>
      </c>
    </row>
    <row r="2232" spans="1:5" x14ac:dyDescent="0.3">
      <c r="A2232" s="12" t="s">
        <v>93</v>
      </c>
      <c r="B2232" s="12" t="s">
        <v>518</v>
      </c>
      <c r="C2232" s="12" t="s">
        <v>123</v>
      </c>
      <c r="D2232" s="12" t="s">
        <v>542</v>
      </c>
      <c r="E2232" s="12" t="s">
        <v>1506</v>
      </c>
    </row>
    <row r="2233" spans="1:5" x14ac:dyDescent="0.3">
      <c r="A2233" s="12" t="s">
        <v>93</v>
      </c>
      <c r="B2233" s="12" t="s">
        <v>518</v>
      </c>
      <c r="C2233" s="12" t="s">
        <v>123</v>
      </c>
      <c r="D2233" s="12" t="s">
        <v>542</v>
      </c>
      <c r="E2233" s="12" t="s">
        <v>543</v>
      </c>
    </row>
    <row r="2234" spans="1:5" x14ac:dyDescent="0.3">
      <c r="A2234" s="12" t="s">
        <v>93</v>
      </c>
      <c r="B2234" s="12" t="s">
        <v>518</v>
      </c>
      <c r="C2234" s="12" t="s">
        <v>123</v>
      </c>
      <c r="D2234" s="12" t="s">
        <v>542</v>
      </c>
      <c r="E2234" s="12" t="s">
        <v>544</v>
      </c>
    </row>
    <row r="2235" spans="1:5" x14ac:dyDescent="0.3">
      <c r="A2235" s="12" t="s">
        <v>93</v>
      </c>
      <c r="B2235" s="12" t="s">
        <v>518</v>
      </c>
      <c r="C2235" s="12" t="s">
        <v>123</v>
      </c>
      <c r="D2235" s="12" t="s">
        <v>542</v>
      </c>
      <c r="E2235" s="12" t="s">
        <v>545</v>
      </c>
    </row>
    <row r="2236" spans="1:5" x14ac:dyDescent="0.3">
      <c r="A2236" s="12" t="s">
        <v>93</v>
      </c>
      <c r="B2236" s="12" t="s">
        <v>518</v>
      </c>
      <c r="C2236" s="12" t="s">
        <v>123</v>
      </c>
      <c r="D2236" s="12" t="s">
        <v>542</v>
      </c>
      <c r="E2236" s="12" t="s">
        <v>546</v>
      </c>
    </row>
    <row r="2237" spans="1:5" x14ac:dyDescent="0.3">
      <c r="A2237" s="12" t="s">
        <v>93</v>
      </c>
      <c r="B2237" s="12" t="s">
        <v>518</v>
      </c>
      <c r="C2237" s="12" t="s">
        <v>123</v>
      </c>
      <c r="D2237" s="12" t="s">
        <v>542</v>
      </c>
      <c r="E2237" s="12" t="s">
        <v>547</v>
      </c>
    </row>
    <row r="2238" spans="1:5" x14ac:dyDescent="0.3">
      <c r="A2238" s="12" t="s">
        <v>93</v>
      </c>
      <c r="B2238" s="12" t="s">
        <v>518</v>
      </c>
      <c r="C2238" s="12" t="s">
        <v>123</v>
      </c>
      <c r="D2238" s="12" t="s">
        <v>542</v>
      </c>
      <c r="E2238" s="12" t="s">
        <v>1507</v>
      </c>
    </row>
    <row r="2239" spans="1:5" x14ac:dyDescent="0.3">
      <c r="A2239" s="12" t="s">
        <v>93</v>
      </c>
      <c r="B2239" s="12" t="s">
        <v>518</v>
      </c>
      <c r="C2239" s="12" t="s">
        <v>123</v>
      </c>
      <c r="D2239" s="12" t="s">
        <v>542</v>
      </c>
      <c r="E2239" s="12" t="s">
        <v>1508</v>
      </c>
    </row>
    <row r="2240" spans="1:5" x14ac:dyDescent="0.3">
      <c r="A2240" s="12" t="s">
        <v>93</v>
      </c>
      <c r="B2240" s="12" t="s">
        <v>518</v>
      </c>
      <c r="C2240" s="12" t="s">
        <v>123</v>
      </c>
      <c r="D2240" s="12" t="s">
        <v>542</v>
      </c>
      <c r="E2240" s="12" t="s">
        <v>548</v>
      </c>
    </row>
    <row r="2241" spans="1:5" x14ac:dyDescent="0.3">
      <c r="A2241" s="12" t="s">
        <v>93</v>
      </c>
      <c r="B2241" s="12" t="s">
        <v>518</v>
      </c>
      <c r="C2241" s="12" t="s">
        <v>123</v>
      </c>
      <c r="D2241" s="12" t="s">
        <v>542</v>
      </c>
      <c r="E2241" s="12" t="s">
        <v>549</v>
      </c>
    </row>
    <row r="2242" spans="1:5" x14ac:dyDescent="0.3">
      <c r="A2242" s="12" t="s">
        <v>93</v>
      </c>
      <c r="B2242" s="12" t="s">
        <v>518</v>
      </c>
      <c r="C2242" s="12" t="s">
        <v>123</v>
      </c>
      <c r="D2242" s="12" t="s">
        <v>542</v>
      </c>
      <c r="E2242" s="12" t="s">
        <v>550</v>
      </c>
    </row>
    <row r="2243" spans="1:5" x14ac:dyDescent="0.3">
      <c r="A2243" s="12" t="s">
        <v>93</v>
      </c>
      <c r="B2243" s="12" t="s">
        <v>518</v>
      </c>
      <c r="C2243" s="12" t="s">
        <v>123</v>
      </c>
      <c r="D2243" s="12" t="s">
        <v>542</v>
      </c>
      <c r="E2243" s="12" t="s">
        <v>551</v>
      </c>
    </row>
    <row r="2244" spans="1:5" x14ac:dyDescent="0.3">
      <c r="A2244" s="12" t="s">
        <v>93</v>
      </c>
      <c r="B2244" s="12" t="s">
        <v>518</v>
      </c>
      <c r="C2244" s="12" t="s">
        <v>123</v>
      </c>
      <c r="E2244" s="12" t="s">
        <v>552</v>
      </c>
    </row>
    <row r="2245" spans="1:5" x14ac:dyDescent="0.3">
      <c r="A2245" s="12" t="s">
        <v>94</v>
      </c>
      <c r="B2245" s="12" t="s">
        <v>119</v>
      </c>
      <c r="C2245" s="12" t="s">
        <v>120</v>
      </c>
      <c r="D2245" s="12" t="s">
        <v>121</v>
      </c>
      <c r="E2245" s="12" t="s">
        <v>122</v>
      </c>
    </row>
    <row r="2246" spans="1:5" x14ac:dyDescent="0.3">
      <c r="A2246" s="12" t="s">
        <v>94</v>
      </c>
      <c r="B2246" s="12" t="s">
        <v>119</v>
      </c>
      <c r="C2246" s="12" t="s">
        <v>123</v>
      </c>
      <c r="D2246" s="12" t="s">
        <v>124</v>
      </c>
      <c r="E2246" s="12" t="s">
        <v>125</v>
      </c>
    </row>
    <row r="2247" spans="1:5" x14ac:dyDescent="0.3">
      <c r="A2247" s="12" t="s">
        <v>94</v>
      </c>
      <c r="B2247" s="12" t="s">
        <v>119</v>
      </c>
      <c r="C2247" s="12" t="s">
        <v>123</v>
      </c>
      <c r="D2247" s="12" t="s">
        <v>126</v>
      </c>
    </row>
    <row r="2248" spans="1:5" x14ac:dyDescent="0.3">
      <c r="A2248" s="12" t="s">
        <v>94</v>
      </c>
      <c r="B2248" s="12" t="s">
        <v>119</v>
      </c>
      <c r="C2248" s="12" t="s">
        <v>123</v>
      </c>
      <c r="D2248" s="12" t="s">
        <v>127</v>
      </c>
      <c r="E2248" s="12" t="s">
        <v>128</v>
      </c>
    </row>
    <row r="2249" spans="1:5" x14ac:dyDescent="0.3">
      <c r="A2249" s="12" t="s">
        <v>94</v>
      </c>
      <c r="B2249" s="12" t="s">
        <v>119</v>
      </c>
      <c r="C2249" s="12" t="s">
        <v>123</v>
      </c>
      <c r="D2249" s="12" t="s">
        <v>129</v>
      </c>
      <c r="E2249" s="12" t="s">
        <v>845</v>
      </c>
    </row>
    <row r="2250" spans="1:5" x14ac:dyDescent="0.3">
      <c r="A2250" s="12" t="s">
        <v>94</v>
      </c>
      <c r="B2250" s="12" t="s">
        <v>119</v>
      </c>
      <c r="C2250" s="12" t="s">
        <v>123</v>
      </c>
      <c r="D2250" s="12" t="s">
        <v>131</v>
      </c>
      <c r="E2250" s="12" t="s">
        <v>846</v>
      </c>
    </row>
    <row r="2251" spans="1:5" x14ac:dyDescent="0.3">
      <c r="A2251" s="12" t="s">
        <v>94</v>
      </c>
      <c r="B2251" s="12" t="s">
        <v>133</v>
      </c>
      <c r="C2251" s="12" t="s">
        <v>120</v>
      </c>
      <c r="D2251" s="12" t="s">
        <v>121</v>
      </c>
      <c r="E2251" s="12" t="s">
        <v>122</v>
      </c>
    </row>
    <row r="2252" spans="1:5" x14ac:dyDescent="0.3">
      <c r="A2252" s="12" t="s">
        <v>94</v>
      </c>
      <c r="B2252" s="12" t="s">
        <v>133</v>
      </c>
      <c r="C2252" s="12" t="s">
        <v>123</v>
      </c>
      <c r="D2252" s="12" t="s">
        <v>134</v>
      </c>
    </row>
    <row r="2253" spans="1:5" x14ac:dyDescent="0.3">
      <c r="A2253" s="12" t="s">
        <v>94</v>
      </c>
      <c r="B2253" s="12" t="s">
        <v>133</v>
      </c>
      <c r="C2253" s="12" t="s">
        <v>123</v>
      </c>
      <c r="D2253" s="12" t="s">
        <v>135</v>
      </c>
    </row>
    <row r="2254" spans="1:5" x14ac:dyDescent="0.3">
      <c r="A2254" s="12" t="s">
        <v>94</v>
      </c>
      <c r="B2254" s="12" t="s">
        <v>133</v>
      </c>
      <c r="C2254" s="12" t="s">
        <v>123</v>
      </c>
      <c r="D2254" s="12" t="s">
        <v>136</v>
      </c>
    </row>
    <row r="2255" spans="1:5" x14ac:dyDescent="0.3">
      <c r="A2255" s="12" t="s">
        <v>94</v>
      </c>
      <c r="B2255" s="12" t="s">
        <v>133</v>
      </c>
      <c r="C2255" s="12" t="s">
        <v>123</v>
      </c>
      <c r="D2255" s="12" t="s">
        <v>137</v>
      </c>
    </row>
    <row r="2256" spans="1:5" x14ac:dyDescent="0.3">
      <c r="A2256" s="12" t="s">
        <v>94</v>
      </c>
      <c r="B2256" s="12" t="s">
        <v>133</v>
      </c>
      <c r="C2256" s="12" t="s">
        <v>123</v>
      </c>
      <c r="D2256" s="12" t="s">
        <v>138</v>
      </c>
      <c r="E2256" s="12" t="s">
        <v>139</v>
      </c>
    </row>
    <row r="2257" spans="1:9" x14ac:dyDescent="0.3">
      <c r="A2257" s="12" t="s">
        <v>94</v>
      </c>
      <c r="B2257" s="12" t="s">
        <v>133</v>
      </c>
      <c r="C2257" s="12" t="s">
        <v>123</v>
      </c>
      <c r="D2257" s="12" t="s">
        <v>140</v>
      </c>
      <c r="E2257" s="12" t="s">
        <v>141</v>
      </c>
    </row>
    <row r="2258" spans="1:9" x14ac:dyDescent="0.3">
      <c r="A2258" s="12" t="s">
        <v>94</v>
      </c>
      <c r="B2258" s="12" t="s">
        <v>133</v>
      </c>
      <c r="C2258" s="12" t="s">
        <v>123</v>
      </c>
      <c r="D2258" s="12" t="s">
        <v>142</v>
      </c>
      <c r="E2258" s="12" t="s">
        <v>114</v>
      </c>
    </row>
    <row r="2259" spans="1:9" x14ac:dyDescent="0.3">
      <c r="A2259" s="12" t="s">
        <v>94</v>
      </c>
      <c r="B2259" s="12" t="s">
        <v>143</v>
      </c>
      <c r="C2259" s="12" t="s">
        <v>120</v>
      </c>
      <c r="D2259" s="12" t="s">
        <v>144</v>
      </c>
      <c r="E2259" s="12" t="s">
        <v>145</v>
      </c>
      <c r="F2259" s="12" t="s">
        <v>146</v>
      </c>
      <c r="G2259" s="12" t="s">
        <v>147</v>
      </c>
      <c r="H2259" s="12" t="s">
        <v>148</v>
      </c>
      <c r="I2259" s="12" t="s">
        <v>99</v>
      </c>
    </row>
    <row r="2260" spans="1:9" x14ac:dyDescent="0.3">
      <c r="A2260" s="12" t="s">
        <v>94</v>
      </c>
      <c r="B2260" s="12" t="s">
        <v>143</v>
      </c>
      <c r="C2260" s="12" t="s">
        <v>123</v>
      </c>
      <c r="D2260" s="12" t="s">
        <v>149</v>
      </c>
      <c r="E2260" s="12">
        <v>60328.581124999997</v>
      </c>
      <c r="F2260" s="12">
        <v>48577.981124999998</v>
      </c>
      <c r="G2260" s="12">
        <v>0</v>
      </c>
      <c r="H2260" s="12">
        <v>48577.981124999998</v>
      </c>
      <c r="I2260" s="12">
        <v>-11750.6</v>
      </c>
    </row>
    <row r="2261" spans="1:9" x14ac:dyDescent="0.3">
      <c r="A2261" s="12" t="s">
        <v>94</v>
      </c>
      <c r="B2261" s="12" t="s">
        <v>143</v>
      </c>
      <c r="C2261" s="12" t="s">
        <v>123</v>
      </c>
      <c r="D2261" s="12" t="s">
        <v>150</v>
      </c>
      <c r="E2261" s="12">
        <v>452742.7</v>
      </c>
      <c r="F2261" s="12">
        <v>465468.75</v>
      </c>
      <c r="G2261" s="12">
        <v>0</v>
      </c>
      <c r="H2261" s="12">
        <v>465468.75</v>
      </c>
      <c r="I2261" s="12">
        <v>12726.05</v>
      </c>
    </row>
    <row r="2262" spans="1:9" x14ac:dyDescent="0.3">
      <c r="A2262" s="12" t="s">
        <v>94</v>
      </c>
      <c r="B2262" s="12" t="s">
        <v>143</v>
      </c>
      <c r="C2262" s="12" t="s">
        <v>123</v>
      </c>
      <c r="D2262" s="12" t="s">
        <v>151</v>
      </c>
      <c r="E2262" s="12">
        <v>193.99</v>
      </c>
      <c r="F2262" s="12">
        <v>85.29</v>
      </c>
      <c r="G2262" s="12">
        <v>0</v>
      </c>
      <c r="H2262" s="12">
        <v>85.29</v>
      </c>
      <c r="I2262" s="12">
        <v>-108.7</v>
      </c>
    </row>
    <row r="2263" spans="1:9" x14ac:dyDescent="0.3">
      <c r="A2263" s="12" t="s">
        <v>94</v>
      </c>
      <c r="B2263" s="12" t="s">
        <v>143</v>
      </c>
      <c r="C2263" s="12" t="s">
        <v>123</v>
      </c>
      <c r="D2263" s="12" t="s">
        <v>152</v>
      </c>
      <c r="E2263" s="12">
        <v>210.06</v>
      </c>
      <c r="F2263" s="12">
        <v>71.45</v>
      </c>
      <c r="G2263" s="12">
        <v>0</v>
      </c>
      <c r="H2263" s="12">
        <v>71.45</v>
      </c>
      <c r="I2263" s="12">
        <v>-138.61000000000001</v>
      </c>
    </row>
    <row r="2264" spans="1:9" x14ac:dyDescent="0.3">
      <c r="A2264" s="12" t="s">
        <v>94</v>
      </c>
      <c r="B2264" s="12" t="s">
        <v>143</v>
      </c>
      <c r="C2264" s="12" t="s">
        <v>123</v>
      </c>
      <c r="D2264" s="12" t="s">
        <v>97</v>
      </c>
      <c r="E2264" s="12">
        <v>513475.33112500003</v>
      </c>
      <c r="F2264" s="12">
        <v>514203.47112499998</v>
      </c>
      <c r="G2264" s="12">
        <v>0</v>
      </c>
      <c r="H2264" s="12">
        <v>514203.47112499998</v>
      </c>
      <c r="I2264" s="12">
        <v>728.14</v>
      </c>
    </row>
    <row r="2265" spans="1:9" x14ac:dyDescent="0.3">
      <c r="A2265" s="12" t="s">
        <v>94</v>
      </c>
      <c r="B2265" s="12" t="s">
        <v>143</v>
      </c>
      <c r="C2265" s="12" t="s">
        <v>120</v>
      </c>
      <c r="D2265" s="12" t="s">
        <v>153</v>
      </c>
    </row>
    <row r="2266" spans="1:9" x14ac:dyDescent="0.3">
      <c r="A2266" s="12" t="s">
        <v>94</v>
      </c>
      <c r="B2266" s="12" t="s">
        <v>143</v>
      </c>
      <c r="C2266" s="12" t="s">
        <v>123</v>
      </c>
      <c r="D2266" s="13">
        <v>1.4180622800000001E-3</v>
      </c>
    </row>
    <row r="2267" spans="1:9" x14ac:dyDescent="0.3">
      <c r="A2267" s="12" t="s">
        <v>94</v>
      </c>
      <c r="B2267" s="12" t="s">
        <v>154</v>
      </c>
      <c r="C2267" s="12" t="s">
        <v>120</v>
      </c>
      <c r="D2267" s="12" t="s">
        <v>121</v>
      </c>
      <c r="E2267" s="12" t="s">
        <v>122</v>
      </c>
    </row>
    <row r="2268" spans="1:9" x14ac:dyDescent="0.3">
      <c r="A2268" s="12" t="s">
        <v>94</v>
      </c>
      <c r="B2268" s="12" t="s">
        <v>154</v>
      </c>
      <c r="C2268" s="12" t="s">
        <v>123</v>
      </c>
      <c r="D2268" s="12" t="s">
        <v>155</v>
      </c>
      <c r="E2268" s="12">
        <v>513475.33112500003</v>
      </c>
    </row>
    <row r="2269" spans="1:9" x14ac:dyDescent="0.3">
      <c r="A2269" s="12" t="s">
        <v>94</v>
      </c>
      <c r="B2269" s="12" t="s">
        <v>154</v>
      </c>
      <c r="C2269" s="12" t="s">
        <v>123</v>
      </c>
      <c r="D2269" s="12" t="s">
        <v>156</v>
      </c>
      <c r="E2269" s="12">
        <v>72.010000000000005</v>
      </c>
    </row>
    <row r="2270" spans="1:9" x14ac:dyDescent="0.3">
      <c r="A2270" s="12" t="s">
        <v>94</v>
      </c>
      <c r="B2270" s="12" t="s">
        <v>154</v>
      </c>
      <c r="C2270" s="12" t="s">
        <v>123</v>
      </c>
      <c r="D2270" s="12" t="s">
        <v>157</v>
      </c>
      <c r="E2270" s="12">
        <v>941.99</v>
      </c>
    </row>
    <row r="2271" spans="1:9" x14ac:dyDescent="0.3">
      <c r="A2271" s="12" t="s">
        <v>94</v>
      </c>
      <c r="B2271" s="12" t="s">
        <v>154</v>
      </c>
      <c r="C2271" s="12" t="s">
        <v>123</v>
      </c>
      <c r="D2271" s="12" t="s">
        <v>158</v>
      </c>
      <c r="E2271" s="12">
        <v>-235.53</v>
      </c>
    </row>
    <row r="2272" spans="1:9" x14ac:dyDescent="0.3">
      <c r="A2272" s="12" t="s">
        <v>94</v>
      </c>
      <c r="B2272" s="12" t="s">
        <v>154</v>
      </c>
      <c r="C2272" s="12" t="s">
        <v>123</v>
      </c>
      <c r="D2272" s="12" t="s">
        <v>159</v>
      </c>
      <c r="E2272" s="12">
        <v>-138.61000000000001</v>
      </c>
    </row>
    <row r="2273" spans="1:15" x14ac:dyDescent="0.3">
      <c r="A2273" s="12" t="s">
        <v>94</v>
      </c>
      <c r="B2273" s="12" t="s">
        <v>154</v>
      </c>
      <c r="C2273" s="12" t="s">
        <v>123</v>
      </c>
      <c r="D2273" s="12" t="s">
        <v>160</v>
      </c>
      <c r="E2273" s="12">
        <v>196.98</v>
      </c>
    </row>
    <row r="2274" spans="1:15" x14ac:dyDescent="0.3">
      <c r="A2274" s="12" t="s">
        <v>94</v>
      </c>
      <c r="B2274" s="12" t="s">
        <v>154</v>
      </c>
      <c r="C2274" s="12" t="s">
        <v>123</v>
      </c>
      <c r="D2274" s="12" t="s">
        <v>161</v>
      </c>
      <c r="E2274" s="12">
        <v>-108.7</v>
      </c>
    </row>
    <row r="2275" spans="1:15" x14ac:dyDescent="0.3">
      <c r="A2275" s="12" t="s">
        <v>94</v>
      </c>
      <c r="B2275" s="12" t="s">
        <v>154</v>
      </c>
      <c r="C2275" s="12" t="s">
        <v>123</v>
      </c>
      <c r="D2275" s="12" t="s">
        <v>163</v>
      </c>
      <c r="E2275" s="12">
        <v>514203.47112499998</v>
      </c>
    </row>
    <row r="2276" spans="1:15" x14ac:dyDescent="0.3">
      <c r="A2276" s="12" t="s">
        <v>94</v>
      </c>
      <c r="B2276" s="12" t="s">
        <v>164</v>
      </c>
      <c r="C2276" s="12" t="s">
        <v>120</v>
      </c>
      <c r="D2276" s="12" t="s">
        <v>100</v>
      </c>
      <c r="E2276" s="12" t="s">
        <v>0</v>
      </c>
      <c r="F2276" s="12" t="s">
        <v>101</v>
      </c>
      <c r="G2276" s="12" t="s">
        <v>102</v>
      </c>
      <c r="H2276" s="12" t="s">
        <v>103</v>
      </c>
      <c r="I2276" s="12" t="s">
        <v>104</v>
      </c>
      <c r="J2276" s="12" t="s">
        <v>105</v>
      </c>
      <c r="K2276" s="12" t="s">
        <v>106</v>
      </c>
      <c r="L2276" s="12" t="s">
        <v>107</v>
      </c>
      <c r="M2276" s="12" t="s">
        <v>108</v>
      </c>
      <c r="N2276" s="12" t="s">
        <v>109</v>
      </c>
      <c r="O2276" s="12" t="s">
        <v>165</v>
      </c>
    </row>
    <row r="2277" spans="1:15" x14ac:dyDescent="0.3">
      <c r="A2277" s="12" t="s">
        <v>94</v>
      </c>
      <c r="B2277" s="12" t="s">
        <v>164</v>
      </c>
      <c r="C2277" s="12" t="s">
        <v>123</v>
      </c>
      <c r="D2277" s="12" t="s">
        <v>110</v>
      </c>
      <c r="E2277" s="12" t="s">
        <v>2</v>
      </c>
      <c r="F2277" s="12">
        <v>72</v>
      </c>
      <c r="G2277" s="12">
        <v>72</v>
      </c>
      <c r="H2277" s="12">
        <v>192.25</v>
      </c>
      <c r="I2277" s="12">
        <v>210.62</v>
      </c>
      <c r="J2277" s="12">
        <v>1322.64</v>
      </c>
      <c r="K2277" s="12">
        <v>0</v>
      </c>
      <c r="L2277" s="12">
        <v>0</v>
      </c>
      <c r="M2277" s="12">
        <v>0</v>
      </c>
      <c r="N2277" s="12">
        <v>1322.64</v>
      </c>
    </row>
    <row r="2278" spans="1:15" x14ac:dyDescent="0.3">
      <c r="A2278" s="12" t="s">
        <v>94</v>
      </c>
      <c r="B2278" s="12" t="s">
        <v>164</v>
      </c>
      <c r="C2278" s="12" t="s">
        <v>123</v>
      </c>
      <c r="D2278" s="12" t="s">
        <v>110</v>
      </c>
      <c r="E2278" s="12" t="s">
        <v>63</v>
      </c>
      <c r="F2278" s="12">
        <v>0</v>
      </c>
      <c r="G2278" s="12">
        <v>55</v>
      </c>
      <c r="H2278" s="12" t="s">
        <v>111</v>
      </c>
      <c r="I2278" s="12">
        <v>100.89</v>
      </c>
      <c r="J2278" s="12">
        <v>95.15</v>
      </c>
      <c r="K2278" s="12">
        <v>12.1</v>
      </c>
      <c r="L2278" s="12">
        <v>0</v>
      </c>
      <c r="M2278" s="12">
        <v>0</v>
      </c>
      <c r="N2278" s="12">
        <v>107.25</v>
      </c>
    </row>
    <row r="2279" spans="1:15" x14ac:dyDescent="0.3">
      <c r="A2279" s="12" t="s">
        <v>94</v>
      </c>
      <c r="B2279" s="12" t="s">
        <v>164</v>
      </c>
      <c r="C2279" s="12" t="s">
        <v>123</v>
      </c>
      <c r="D2279" s="12" t="s">
        <v>110</v>
      </c>
      <c r="E2279" s="12" t="s">
        <v>64</v>
      </c>
      <c r="F2279" s="12">
        <v>0</v>
      </c>
      <c r="G2279" s="12">
        <v>23</v>
      </c>
      <c r="H2279" s="12" t="s">
        <v>111</v>
      </c>
      <c r="I2279" s="12">
        <v>228.26</v>
      </c>
      <c r="J2279" s="12">
        <v>-170.66</v>
      </c>
      <c r="K2279" s="12">
        <v>72.45</v>
      </c>
      <c r="L2279" s="12">
        <v>0</v>
      </c>
      <c r="M2279" s="12">
        <v>0</v>
      </c>
      <c r="N2279" s="12">
        <v>-98.21</v>
      </c>
    </row>
    <row r="2280" spans="1:15" x14ac:dyDescent="0.3">
      <c r="A2280" s="12" t="s">
        <v>94</v>
      </c>
      <c r="B2280" s="12" t="s">
        <v>164</v>
      </c>
      <c r="C2280" s="12" t="s">
        <v>123</v>
      </c>
      <c r="D2280" s="12" t="s">
        <v>110</v>
      </c>
      <c r="E2280" s="12" t="s">
        <v>45</v>
      </c>
      <c r="F2280" s="12">
        <v>55</v>
      </c>
      <c r="G2280" s="12">
        <v>30</v>
      </c>
      <c r="H2280" s="12">
        <v>166.9</v>
      </c>
      <c r="I2280" s="12">
        <v>162.21</v>
      </c>
      <c r="J2280" s="12">
        <v>-353.2</v>
      </c>
      <c r="K2280" s="12">
        <v>-5.75</v>
      </c>
      <c r="L2280" s="12">
        <v>0</v>
      </c>
      <c r="M2280" s="12">
        <v>0</v>
      </c>
      <c r="N2280" s="12">
        <v>-358.95</v>
      </c>
    </row>
    <row r="2281" spans="1:15" x14ac:dyDescent="0.3">
      <c r="A2281" s="12" t="s">
        <v>94</v>
      </c>
      <c r="B2281" s="12" t="s">
        <v>164</v>
      </c>
      <c r="C2281" s="12" t="s">
        <v>123</v>
      </c>
      <c r="D2281" s="12" t="s">
        <v>110</v>
      </c>
      <c r="E2281" s="12" t="s">
        <v>4</v>
      </c>
      <c r="F2281" s="12">
        <v>0</v>
      </c>
      <c r="G2281" s="12">
        <v>0</v>
      </c>
      <c r="H2281" s="12" t="s">
        <v>111</v>
      </c>
      <c r="I2281" s="12" t="s">
        <v>111</v>
      </c>
      <c r="J2281" s="12">
        <v>-32.56</v>
      </c>
      <c r="K2281" s="12">
        <v>9.24</v>
      </c>
      <c r="L2281" s="12">
        <v>0</v>
      </c>
      <c r="M2281" s="12">
        <v>0</v>
      </c>
      <c r="N2281" s="12">
        <v>-23.32</v>
      </c>
    </row>
    <row r="2282" spans="1:15" x14ac:dyDescent="0.3">
      <c r="A2282" s="12" t="s">
        <v>94</v>
      </c>
      <c r="B2282" s="12" t="s">
        <v>164</v>
      </c>
      <c r="C2282" s="12" t="s">
        <v>123</v>
      </c>
      <c r="D2282" s="12" t="s">
        <v>110</v>
      </c>
      <c r="E2282" s="12" t="s">
        <v>5</v>
      </c>
      <c r="F2282" s="12">
        <v>128</v>
      </c>
      <c r="G2282" s="12">
        <v>78</v>
      </c>
      <c r="H2282" s="12">
        <v>176.44</v>
      </c>
      <c r="I2282" s="12">
        <v>193.25</v>
      </c>
      <c r="J2282" s="12">
        <v>1692.18</v>
      </c>
      <c r="K2282" s="12">
        <v>-23</v>
      </c>
      <c r="L2282" s="12">
        <v>0</v>
      </c>
      <c r="M2282" s="12">
        <v>0</v>
      </c>
      <c r="N2282" s="12">
        <v>1669.18</v>
      </c>
    </row>
    <row r="2283" spans="1:15" x14ac:dyDescent="0.3">
      <c r="A2283" s="12" t="s">
        <v>94</v>
      </c>
      <c r="B2283" s="12" t="s">
        <v>164</v>
      </c>
      <c r="C2283" s="12" t="s">
        <v>123</v>
      </c>
      <c r="D2283" s="12" t="s">
        <v>110</v>
      </c>
      <c r="E2283" s="12" t="s">
        <v>65</v>
      </c>
      <c r="F2283" s="12">
        <v>0</v>
      </c>
      <c r="G2283" s="12">
        <v>70</v>
      </c>
      <c r="H2283" s="12" t="s">
        <v>111</v>
      </c>
      <c r="I2283" s="12">
        <v>67.37</v>
      </c>
      <c r="J2283" s="12">
        <v>143.5</v>
      </c>
      <c r="K2283" s="12">
        <v>10.85</v>
      </c>
      <c r="L2283" s="12">
        <v>0</v>
      </c>
      <c r="M2283" s="12">
        <v>0</v>
      </c>
      <c r="N2283" s="12">
        <v>154.35</v>
      </c>
    </row>
    <row r="2284" spans="1:15" x14ac:dyDescent="0.3">
      <c r="A2284" s="12" t="s">
        <v>94</v>
      </c>
      <c r="B2284" s="12" t="s">
        <v>164</v>
      </c>
      <c r="C2284" s="12" t="s">
        <v>123</v>
      </c>
      <c r="D2284" s="12" t="s">
        <v>110</v>
      </c>
      <c r="E2284" s="12" t="s">
        <v>58</v>
      </c>
      <c r="F2284" s="12">
        <v>50</v>
      </c>
      <c r="G2284" s="12">
        <v>30</v>
      </c>
      <c r="H2284" s="12">
        <v>120.52</v>
      </c>
      <c r="I2284" s="12">
        <v>163.62</v>
      </c>
      <c r="J2284" s="12">
        <v>1994.4</v>
      </c>
      <c r="K2284" s="12">
        <v>-131.80000000000001</v>
      </c>
      <c r="L2284" s="12">
        <v>0</v>
      </c>
      <c r="M2284" s="12">
        <v>0</v>
      </c>
      <c r="N2284" s="12">
        <v>1862.6</v>
      </c>
    </row>
    <row r="2285" spans="1:15" x14ac:dyDescent="0.3">
      <c r="A2285" s="12" t="s">
        <v>94</v>
      </c>
      <c r="B2285" s="12" t="s">
        <v>164</v>
      </c>
      <c r="C2285" s="12" t="s">
        <v>123</v>
      </c>
      <c r="D2285" s="12" t="s">
        <v>110</v>
      </c>
      <c r="E2285" s="12" t="s">
        <v>7</v>
      </c>
      <c r="F2285" s="12">
        <v>6</v>
      </c>
      <c r="G2285" s="12">
        <v>5</v>
      </c>
      <c r="H2285" s="17">
        <v>1328.55</v>
      </c>
      <c r="I2285" s="17">
        <v>1605.53</v>
      </c>
      <c r="J2285" s="12">
        <v>826.5</v>
      </c>
      <c r="K2285" s="12">
        <v>-5.15</v>
      </c>
      <c r="L2285" s="12">
        <v>0</v>
      </c>
      <c r="M2285" s="12">
        <v>19.690000000000001</v>
      </c>
      <c r="N2285" s="12">
        <v>841.04</v>
      </c>
    </row>
    <row r="2286" spans="1:15" x14ac:dyDescent="0.3">
      <c r="A2286" s="12" t="s">
        <v>94</v>
      </c>
      <c r="B2286" s="12" t="s">
        <v>164</v>
      </c>
      <c r="C2286" s="12" t="s">
        <v>123</v>
      </c>
      <c r="D2286" s="12" t="s">
        <v>110</v>
      </c>
      <c r="E2286" s="12" t="s">
        <v>8</v>
      </c>
      <c r="F2286" s="12">
        <v>391</v>
      </c>
      <c r="G2286" s="12">
        <v>291</v>
      </c>
      <c r="H2286" s="12">
        <v>39.99</v>
      </c>
      <c r="I2286" s="12">
        <v>39.770000000000003</v>
      </c>
      <c r="J2286" s="12">
        <v>-112.02</v>
      </c>
      <c r="K2286" s="12">
        <v>-2</v>
      </c>
      <c r="L2286" s="12">
        <v>0</v>
      </c>
      <c r="M2286" s="12">
        <v>70.38</v>
      </c>
      <c r="N2286" s="12">
        <v>-43.64</v>
      </c>
    </row>
    <row r="2287" spans="1:15" x14ac:dyDescent="0.3">
      <c r="A2287" s="12" t="s">
        <v>94</v>
      </c>
      <c r="B2287" s="12" t="s">
        <v>164</v>
      </c>
      <c r="C2287" s="12" t="s">
        <v>123</v>
      </c>
      <c r="D2287" s="12" t="s">
        <v>110</v>
      </c>
      <c r="E2287" s="12" t="s">
        <v>3</v>
      </c>
      <c r="F2287" s="12">
        <v>166</v>
      </c>
      <c r="G2287" s="12">
        <v>166</v>
      </c>
      <c r="H2287" s="12">
        <v>62.31</v>
      </c>
      <c r="I2287" s="12">
        <v>63.46</v>
      </c>
      <c r="J2287" s="12">
        <v>190.9</v>
      </c>
      <c r="K2287" s="12">
        <v>0</v>
      </c>
      <c r="L2287" s="12">
        <v>0</v>
      </c>
      <c r="M2287" s="12">
        <v>0</v>
      </c>
      <c r="N2287" s="12">
        <v>190.9</v>
      </c>
    </row>
    <row r="2288" spans="1:15" x14ac:dyDescent="0.3">
      <c r="A2288" s="12" t="s">
        <v>94</v>
      </c>
      <c r="B2288" s="12" t="s">
        <v>164</v>
      </c>
      <c r="C2288" s="12" t="s">
        <v>123</v>
      </c>
      <c r="D2288" s="12" t="s">
        <v>110</v>
      </c>
      <c r="E2288" s="12" t="s">
        <v>46</v>
      </c>
      <c r="F2288" s="12">
        <v>24</v>
      </c>
      <c r="G2288" s="12">
        <v>0</v>
      </c>
      <c r="H2288" s="12">
        <v>338.52</v>
      </c>
      <c r="I2288" s="12" t="s">
        <v>111</v>
      </c>
      <c r="J2288" s="12">
        <v>-225.36</v>
      </c>
      <c r="K2288" s="12">
        <v>0.68</v>
      </c>
      <c r="L2288" s="12">
        <v>0</v>
      </c>
      <c r="M2288" s="12">
        <v>0</v>
      </c>
      <c r="N2288" s="12">
        <v>-224.68</v>
      </c>
    </row>
    <row r="2289" spans="1:14" x14ac:dyDescent="0.3">
      <c r="A2289" s="12" t="s">
        <v>94</v>
      </c>
      <c r="B2289" s="12" t="s">
        <v>164</v>
      </c>
      <c r="C2289" s="12" t="s">
        <v>123</v>
      </c>
      <c r="D2289" s="12" t="s">
        <v>110</v>
      </c>
      <c r="E2289" s="12" t="s">
        <v>11</v>
      </c>
      <c r="F2289" s="12">
        <v>5</v>
      </c>
      <c r="G2289" s="12">
        <v>5</v>
      </c>
      <c r="H2289" s="12">
        <v>809.89</v>
      </c>
      <c r="I2289" s="12">
        <v>849.99</v>
      </c>
      <c r="J2289" s="12">
        <v>200.5</v>
      </c>
      <c r="K2289" s="12">
        <v>0</v>
      </c>
      <c r="L2289" s="12">
        <v>0</v>
      </c>
      <c r="M2289" s="12">
        <v>0</v>
      </c>
      <c r="N2289" s="12">
        <v>200.5</v>
      </c>
    </row>
    <row r="2290" spans="1:14" x14ac:dyDescent="0.3">
      <c r="A2290" s="12" t="s">
        <v>94</v>
      </c>
      <c r="B2290" s="12" t="s">
        <v>164</v>
      </c>
      <c r="C2290" s="12" t="s">
        <v>123</v>
      </c>
      <c r="D2290" s="12" t="s">
        <v>110</v>
      </c>
      <c r="E2290" s="12" t="s">
        <v>66</v>
      </c>
      <c r="F2290" s="12">
        <v>0</v>
      </c>
      <c r="G2290" s="12">
        <v>65</v>
      </c>
      <c r="H2290" s="12" t="s">
        <v>111</v>
      </c>
      <c r="I2290" s="12">
        <v>80.489999999999995</v>
      </c>
      <c r="J2290" s="12">
        <v>40.299999999999997</v>
      </c>
      <c r="K2290" s="12">
        <v>-10.4</v>
      </c>
      <c r="L2290" s="12">
        <v>0</v>
      </c>
      <c r="M2290" s="12">
        <v>0</v>
      </c>
      <c r="N2290" s="12">
        <v>29.9</v>
      </c>
    </row>
    <row r="2291" spans="1:14" x14ac:dyDescent="0.3">
      <c r="A2291" s="12" t="s">
        <v>94</v>
      </c>
      <c r="B2291" s="12" t="s">
        <v>164</v>
      </c>
      <c r="C2291" s="12" t="s">
        <v>123</v>
      </c>
      <c r="D2291" s="12" t="s">
        <v>110</v>
      </c>
      <c r="E2291" s="12" t="s">
        <v>14</v>
      </c>
      <c r="F2291" s="12">
        <v>30</v>
      </c>
      <c r="G2291" s="12">
        <v>30</v>
      </c>
      <c r="H2291" s="12">
        <v>256.8</v>
      </c>
      <c r="I2291" s="12">
        <v>249.85</v>
      </c>
      <c r="J2291" s="12">
        <v>-208.5</v>
      </c>
      <c r="K2291" s="12">
        <v>0</v>
      </c>
      <c r="L2291" s="12">
        <v>0</v>
      </c>
      <c r="M2291" s="12">
        <v>0</v>
      </c>
      <c r="N2291" s="12">
        <v>-208.5</v>
      </c>
    </row>
    <row r="2292" spans="1:14" x14ac:dyDescent="0.3">
      <c r="A2292" s="12" t="s">
        <v>94</v>
      </c>
      <c r="B2292" s="12" t="s">
        <v>164</v>
      </c>
      <c r="C2292" s="12" t="s">
        <v>123</v>
      </c>
      <c r="D2292" s="12" t="s">
        <v>110</v>
      </c>
      <c r="E2292" s="12" t="s">
        <v>67</v>
      </c>
      <c r="F2292" s="12">
        <v>0</v>
      </c>
      <c r="G2292" s="12">
        <v>20</v>
      </c>
      <c r="H2292" s="12" t="s">
        <v>111</v>
      </c>
      <c r="I2292" s="12">
        <v>238</v>
      </c>
      <c r="J2292" s="12">
        <v>0</v>
      </c>
      <c r="K2292" s="12">
        <v>-5.2</v>
      </c>
      <c r="L2292" s="12">
        <v>0</v>
      </c>
      <c r="M2292" s="12">
        <v>0</v>
      </c>
      <c r="N2292" s="12">
        <v>-5.2</v>
      </c>
    </row>
    <row r="2293" spans="1:14" x14ac:dyDescent="0.3">
      <c r="A2293" s="12" t="s">
        <v>94</v>
      </c>
      <c r="B2293" s="12" t="s">
        <v>164</v>
      </c>
      <c r="C2293" s="12" t="s">
        <v>123</v>
      </c>
      <c r="D2293" s="12" t="s">
        <v>110</v>
      </c>
      <c r="E2293" s="12" t="s">
        <v>68</v>
      </c>
      <c r="F2293" s="12">
        <v>0</v>
      </c>
      <c r="G2293" s="12">
        <v>30</v>
      </c>
      <c r="H2293" s="12" t="s">
        <v>111</v>
      </c>
      <c r="I2293" s="12">
        <v>225.46</v>
      </c>
      <c r="J2293" s="12">
        <v>0</v>
      </c>
      <c r="K2293" s="12">
        <v>13.8</v>
      </c>
      <c r="L2293" s="12">
        <v>0</v>
      </c>
      <c r="M2293" s="12">
        <v>0</v>
      </c>
      <c r="N2293" s="12">
        <v>13.8</v>
      </c>
    </row>
    <row r="2294" spans="1:14" x14ac:dyDescent="0.3">
      <c r="A2294" s="12" t="s">
        <v>94</v>
      </c>
      <c r="B2294" s="12" t="s">
        <v>164</v>
      </c>
      <c r="C2294" s="12" t="s">
        <v>123</v>
      </c>
      <c r="D2294" s="12" t="s">
        <v>110</v>
      </c>
      <c r="E2294" s="12" t="s">
        <v>18</v>
      </c>
      <c r="F2294" s="12">
        <v>19</v>
      </c>
      <c r="G2294" s="12">
        <v>30</v>
      </c>
      <c r="H2294" s="12">
        <v>299.77</v>
      </c>
      <c r="I2294" s="12">
        <v>290.14</v>
      </c>
      <c r="J2294" s="12">
        <v>-208.93</v>
      </c>
      <c r="K2294" s="12">
        <v>5.17</v>
      </c>
      <c r="L2294" s="12">
        <v>0</v>
      </c>
      <c r="M2294" s="12">
        <v>0</v>
      </c>
      <c r="N2294" s="12">
        <v>-203.76</v>
      </c>
    </row>
    <row r="2295" spans="1:14" x14ac:dyDescent="0.3">
      <c r="A2295" s="12" t="s">
        <v>94</v>
      </c>
      <c r="B2295" s="12" t="s">
        <v>164</v>
      </c>
      <c r="C2295" s="12" t="s">
        <v>123</v>
      </c>
      <c r="D2295" s="12" t="s">
        <v>110</v>
      </c>
      <c r="E2295" s="12" t="s">
        <v>48</v>
      </c>
      <c r="F2295" s="12">
        <v>75</v>
      </c>
      <c r="G2295" s="12">
        <v>45</v>
      </c>
      <c r="H2295" s="12">
        <v>165.14</v>
      </c>
      <c r="I2295" s="12">
        <v>158.97</v>
      </c>
      <c r="J2295" s="12">
        <v>-334.95</v>
      </c>
      <c r="K2295" s="12">
        <v>90.3</v>
      </c>
      <c r="L2295" s="12">
        <v>0</v>
      </c>
      <c r="M2295" s="12">
        <v>0</v>
      </c>
      <c r="N2295" s="12">
        <v>-244.65</v>
      </c>
    </row>
    <row r="2296" spans="1:14" x14ac:dyDescent="0.3">
      <c r="A2296" s="12" t="s">
        <v>94</v>
      </c>
      <c r="B2296" s="12" t="s">
        <v>164</v>
      </c>
      <c r="C2296" s="12" t="s">
        <v>123</v>
      </c>
      <c r="D2296" s="12" t="s">
        <v>110</v>
      </c>
      <c r="E2296" s="12" t="s">
        <v>54</v>
      </c>
      <c r="F2296" s="12">
        <v>46</v>
      </c>
      <c r="G2296" s="12">
        <v>26</v>
      </c>
      <c r="H2296" s="12">
        <v>175.9</v>
      </c>
      <c r="I2296" s="12">
        <v>171.51</v>
      </c>
      <c r="J2296" s="12">
        <v>-390.54</v>
      </c>
      <c r="K2296" s="12">
        <v>58.4</v>
      </c>
      <c r="L2296" s="12">
        <v>0</v>
      </c>
      <c r="M2296" s="12">
        <v>0</v>
      </c>
      <c r="N2296" s="12">
        <v>-332.14</v>
      </c>
    </row>
    <row r="2297" spans="1:14" x14ac:dyDescent="0.3">
      <c r="A2297" s="12" t="s">
        <v>94</v>
      </c>
      <c r="B2297" s="12" t="s">
        <v>164</v>
      </c>
      <c r="C2297" s="12" t="s">
        <v>123</v>
      </c>
      <c r="D2297" s="12" t="s">
        <v>110</v>
      </c>
      <c r="E2297" s="12" t="s">
        <v>19</v>
      </c>
      <c r="F2297" s="12">
        <v>124</v>
      </c>
      <c r="G2297" s="12">
        <v>64</v>
      </c>
      <c r="H2297" s="12">
        <v>172.5</v>
      </c>
      <c r="I2297" s="12">
        <v>182.15</v>
      </c>
      <c r="J2297" s="12">
        <v>902</v>
      </c>
      <c r="K2297" s="12">
        <v>-106.2</v>
      </c>
      <c r="L2297" s="12">
        <v>0</v>
      </c>
      <c r="M2297" s="12">
        <v>18.600000000000001</v>
      </c>
      <c r="N2297" s="12">
        <v>814.4</v>
      </c>
    </row>
    <row r="2298" spans="1:14" x14ac:dyDescent="0.3">
      <c r="A2298" s="12" t="s">
        <v>94</v>
      </c>
      <c r="B2298" s="12" t="s">
        <v>164</v>
      </c>
      <c r="C2298" s="12" t="s">
        <v>123</v>
      </c>
      <c r="D2298" s="12" t="s">
        <v>110</v>
      </c>
      <c r="E2298" s="12" t="s">
        <v>69</v>
      </c>
      <c r="F2298" s="12">
        <v>0</v>
      </c>
      <c r="G2298" s="12">
        <v>15</v>
      </c>
      <c r="H2298" s="12" t="s">
        <v>111</v>
      </c>
      <c r="I2298" s="12">
        <v>321.27999999999997</v>
      </c>
      <c r="J2298" s="12">
        <v>-234.45</v>
      </c>
      <c r="K2298" s="12">
        <v>29.4</v>
      </c>
      <c r="L2298" s="12">
        <v>0</v>
      </c>
      <c r="M2298" s="12">
        <v>0</v>
      </c>
      <c r="N2298" s="12">
        <v>-205.05</v>
      </c>
    </row>
    <row r="2299" spans="1:14" x14ac:dyDescent="0.3">
      <c r="A2299" s="12" t="s">
        <v>94</v>
      </c>
      <c r="B2299" s="12" t="s">
        <v>164</v>
      </c>
      <c r="C2299" s="12" t="s">
        <v>123</v>
      </c>
      <c r="D2299" s="12" t="s">
        <v>110</v>
      </c>
      <c r="E2299" s="12" t="s">
        <v>20</v>
      </c>
      <c r="F2299" s="12">
        <v>11</v>
      </c>
      <c r="G2299" s="12">
        <v>31</v>
      </c>
      <c r="H2299" s="12">
        <v>334.87</v>
      </c>
      <c r="I2299" s="12">
        <v>344.24</v>
      </c>
      <c r="J2299" s="12">
        <v>-2.13</v>
      </c>
      <c r="K2299" s="12">
        <v>55.4</v>
      </c>
      <c r="L2299" s="12">
        <v>0</v>
      </c>
      <c r="M2299" s="12">
        <v>18.559999999999999</v>
      </c>
      <c r="N2299" s="12">
        <v>71.83</v>
      </c>
    </row>
    <row r="2300" spans="1:14" x14ac:dyDescent="0.3">
      <c r="A2300" s="12" t="s">
        <v>94</v>
      </c>
      <c r="B2300" s="12" t="s">
        <v>164</v>
      </c>
      <c r="C2300" s="12" t="s">
        <v>123</v>
      </c>
      <c r="D2300" s="12" t="s">
        <v>110</v>
      </c>
      <c r="E2300" s="12" t="s">
        <v>22</v>
      </c>
      <c r="F2300" s="12">
        <v>83</v>
      </c>
      <c r="G2300" s="12">
        <v>83</v>
      </c>
      <c r="H2300" s="12">
        <v>84.65</v>
      </c>
      <c r="I2300" s="12">
        <v>77.63</v>
      </c>
      <c r="J2300" s="12">
        <v>-582.66</v>
      </c>
      <c r="K2300" s="12">
        <v>0</v>
      </c>
      <c r="L2300" s="12">
        <v>0</v>
      </c>
      <c r="M2300" s="12">
        <v>0</v>
      </c>
      <c r="N2300" s="12">
        <v>-582.66</v>
      </c>
    </row>
    <row r="2301" spans="1:14" x14ac:dyDescent="0.3">
      <c r="A2301" s="12" t="s">
        <v>94</v>
      </c>
      <c r="B2301" s="12" t="s">
        <v>164</v>
      </c>
      <c r="C2301" s="12" t="s">
        <v>123</v>
      </c>
      <c r="D2301" s="12" t="s">
        <v>110</v>
      </c>
      <c r="E2301" s="12" t="s">
        <v>37</v>
      </c>
      <c r="F2301" s="12">
        <v>30</v>
      </c>
      <c r="G2301" s="12">
        <v>15</v>
      </c>
      <c r="H2301" s="12">
        <v>166.85</v>
      </c>
      <c r="I2301" s="12">
        <v>172.95</v>
      </c>
      <c r="J2301" s="12">
        <v>197.55</v>
      </c>
      <c r="K2301" s="12">
        <v>-43.8</v>
      </c>
      <c r="L2301" s="12">
        <v>0</v>
      </c>
      <c r="M2301" s="12">
        <v>37.57</v>
      </c>
      <c r="N2301" s="12">
        <v>191.32</v>
      </c>
    </row>
    <row r="2302" spans="1:14" x14ac:dyDescent="0.3">
      <c r="A2302" s="12" t="s">
        <v>94</v>
      </c>
      <c r="B2302" s="12" t="s">
        <v>164</v>
      </c>
      <c r="C2302" s="12" t="s">
        <v>123</v>
      </c>
      <c r="D2302" s="12" t="s">
        <v>110</v>
      </c>
      <c r="E2302" s="12" t="s">
        <v>24</v>
      </c>
      <c r="F2302" s="12">
        <v>50</v>
      </c>
      <c r="G2302" s="12">
        <v>50</v>
      </c>
      <c r="H2302" s="12">
        <v>93.05</v>
      </c>
      <c r="I2302" s="12">
        <v>90.84</v>
      </c>
      <c r="J2302" s="12">
        <v>-110.5</v>
      </c>
      <c r="K2302" s="12">
        <v>0</v>
      </c>
      <c r="L2302" s="12">
        <v>0</v>
      </c>
      <c r="M2302" s="12">
        <v>0.75</v>
      </c>
      <c r="N2302" s="12">
        <v>-109.75</v>
      </c>
    </row>
    <row r="2303" spans="1:14" x14ac:dyDescent="0.3">
      <c r="A2303" s="12" t="s">
        <v>94</v>
      </c>
      <c r="B2303" s="12" t="s">
        <v>164</v>
      </c>
      <c r="C2303" s="12" t="s">
        <v>123</v>
      </c>
      <c r="D2303" s="12" t="s">
        <v>110</v>
      </c>
      <c r="E2303" s="12" t="s">
        <v>70</v>
      </c>
      <c r="F2303" s="12">
        <v>0</v>
      </c>
      <c r="G2303" s="12">
        <v>25</v>
      </c>
      <c r="H2303" s="12" t="s">
        <v>111</v>
      </c>
      <c r="I2303" s="12">
        <v>202.26</v>
      </c>
      <c r="J2303" s="12">
        <v>133.75</v>
      </c>
      <c r="K2303" s="12">
        <v>33</v>
      </c>
      <c r="L2303" s="12">
        <v>0</v>
      </c>
      <c r="M2303" s="12">
        <v>0</v>
      </c>
      <c r="N2303" s="12">
        <v>166.75</v>
      </c>
    </row>
    <row r="2304" spans="1:14" x14ac:dyDescent="0.3">
      <c r="A2304" s="12" t="s">
        <v>94</v>
      </c>
      <c r="B2304" s="12" t="s">
        <v>164</v>
      </c>
      <c r="C2304" s="12" t="s">
        <v>123</v>
      </c>
      <c r="D2304" s="12" t="s">
        <v>110</v>
      </c>
      <c r="E2304" s="12" t="s">
        <v>59</v>
      </c>
      <c r="F2304" s="12">
        <v>100</v>
      </c>
      <c r="G2304" s="12">
        <v>0</v>
      </c>
      <c r="H2304" s="12">
        <v>62.93</v>
      </c>
      <c r="I2304" s="12" t="s">
        <v>111</v>
      </c>
      <c r="J2304" s="12">
        <v>18.5</v>
      </c>
      <c r="K2304" s="12">
        <v>-26.9</v>
      </c>
      <c r="L2304" s="12">
        <v>0</v>
      </c>
      <c r="M2304" s="12">
        <v>0</v>
      </c>
      <c r="N2304" s="12">
        <v>-8.4</v>
      </c>
    </row>
    <row r="2305" spans="1:14" x14ac:dyDescent="0.3">
      <c r="A2305" s="12" t="s">
        <v>94</v>
      </c>
      <c r="B2305" s="12" t="s">
        <v>164</v>
      </c>
      <c r="C2305" s="12" t="s">
        <v>123</v>
      </c>
      <c r="D2305" s="12" t="s">
        <v>110</v>
      </c>
      <c r="E2305" s="12" t="s">
        <v>49</v>
      </c>
      <c r="F2305" s="12">
        <v>10</v>
      </c>
      <c r="G2305" s="12">
        <v>10</v>
      </c>
      <c r="H2305" s="12">
        <v>820.34</v>
      </c>
      <c r="I2305" s="12">
        <v>905.38</v>
      </c>
      <c r="J2305" s="12">
        <v>850.4</v>
      </c>
      <c r="K2305" s="12">
        <v>0</v>
      </c>
      <c r="L2305" s="12">
        <v>0</v>
      </c>
      <c r="M2305" s="12">
        <v>9.75</v>
      </c>
      <c r="N2305" s="12">
        <v>860.15</v>
      </c>
    </row>
    <row r="2306" spans="1:14" x14ac:dyDescent="0.3">
      <c r="A2306" s="12" t="s">
        <v>94</v>
      </c>
      <c r="B2306" s="12" t="s">
        <v>164</v>
      </c>
      <c r="C2306" s="12" t="s">
        <v>123</v>
      </c>
      <c r="D2306" s="12" t="s">
        <v>110</v>
      </c>
      <c r="E2306" s="12" t="s">
        <v>26</v>
      </c>
      <c r="F2306" s="12">
        <v>20</v>
      </c>
      <c r="G2306" s="12">
        <v>0</v>
      </c>
      <c r="H2306" s="12">
        <v>396.99</v>
      </c>
      <c r="I2306" s="12" t="s">
        <v>111</v>
      </c>
      <c r="J2306" s="12">
        <v>262.39999999999998</v>
      </c>
      <c r="K2306" s="12">
        <v>-64.599999999999994</v>
      </c>
      <c r="L2306" s="12">
        <v>0</v>
      </c>
      <c r="M2306" s="12">
        <v>12.75</v>
      </c>
      <c r="N2306" s="12">
        <v>210.55</v>
      </c>
    </row>
    <row r="2307" spans="1:14" x14ac:dyDescent="0.3">
      <c r="A2307" s="12" t="s">
        <v>94</v>
      </c>
      <c r="B2307" s="12" t="s">
        <v>164</v>
      </c>
      <c r="C2307" s="12" t="s">
        <v>123</v>
      </c>
      <c r="D2307" s="12" t="s">
        <v>110</v>
      </c>
      <c r="E2307" s="12" t="s">
        <v>27</v>
      </c>
      <c r="F2307" s="12">
        <v>44</v>
      </c>
      <c r="G2307" s="12">
        <v>30</v>
      </c>
      <c r="H2307" s="12">
        <v>466.83</v>
      </c>
      <c r="I2307" s="12">
        <v>504.22</v>
      </c>
      <c r="J2307" s="12">
        <v>1750.3</v>
      </c>
      <c r="K2307" s="12">
        <v>-97.47</v>
      </c>
      <c r="L2307" s="12">
        <v>0</v>
      </c>
      <c r="M2307" s="12">
        <v>16.5</v>
      </c>
      <c r="N2307" s="12">
        <v>1669.33</v>
      </c>
    </row>
    <row r="2308" spans="1:14" x14ac:dyDescent="0.3">
      <c r="A2308" s="12" t="s">
        <v>94</v>
      </c>
      <c r="B2308" s="12" t="s">
        <v>164</v>
      </c>
      <c r="C2308" s="12" t="s">
        <v>123</v>
      </c>
      <c r="D2308" s="12" t="s">
        <v>110</v>
      </c>
      <c r="E2308" s="12" t="s">
        <v>28</v>
      </c>
      <c r="F2308" s="12">
        <v>49</v>
      </c>
      <c r="G2308" s="12">
        <v>49</v>
      </c>
      <c r="H2308" s="12">
        <v>415.13</v>
      </c>
      <c r="I2308" s="12">
        <v>446.95</v>
      </c>
      <c r="J2308" s="12">
        <v>1559.18</v>
      </c>
      <c r="K2308" s="12">
        <v>0</v>
      </c>
      <c r="L2308" s="12">
        <v>0</v>
      </c>
      <c r="M2308" s="12">
        <v>27.56</v>
      </c>
      <c r="N2308" s="12">
        <v>1586.74</v>
      </c>
    </row>
    <row r="2309" spans="1:14" x14ac:dyDescent="0.3">
      <c r="A2309" s="12" t="s">
        <v>94</v>
      </c>
      <c r="B2309" s="12" t="s">
        <v>164</v>
      </c>
      <c r="C2309" s="12" t="s">
        <v>123</v>
      </c>
      <c r="D2309" s="12" t="s">
        <v>110</v>
      </c>
      <c r="E2309" s="12" t="s">
        <v>55</v>
      </c>
      <c r="F2309" s="12">
        <v>80</v>
      </c>
      <c r="G2309" s="12">
        <v>80</v>
      </c>
      <c r="H2309" s="12">
        <v>125</v>
      </c>
      <c r="I2309" s="12">
        <v>131.53</v>
      </c>
      <c r="J2309" s="12">
        <v>522.4</v>
      </c>
      <c r="K2309" s="12">
        <v>0</v>
      </c>
      <c r="L2309" s="12">
        <v>0</v>
      </c>
      <c r="M2309" s="12">
        <v>0</v>
      </c>
      <c r="N2309" s="12">
        <v>522.4</v>
      </c>
    </row>
    <row r="2310" spans="1:14" x14ac:dyDescent="0.3">
      <c r="A2310" s="12" t="s">
        <v>94</v>
      </c>
      <c r="B2310" s="12" t="s">
        <v>164</v>
      </c>
      <c r="C2310" s="12" t="s">
        <v>123</v>
      </c>
      <c r="D2310" s="12" t="s">
        <v>110</v>
      </c>
      <c r="E2310" s="12" t="s">
        <v>50</v>
      </c>
      <c r="F2310" s="12">
        <v>12</v>
      </c>
      <c r="G2310" s="12">
        <v>7</v>
      </c>
      <c r="H2310" s="12">
        <v>656.93</v>
      </c>
      <c r="I2310" s="12">
        <v>786.67</v>
      </c>
      <c r="J2310" s="12">
        <v>1251.03</v>
      </c>
      <c r="K2310" s="12">
        <v>16.2</v>
      </c>
      <c r="L2310" s="12">
        <v>0</v>
      </c>
      <c r="M2310" s="12">
        <v>0</v>
      </c>
      <c r="N2310" s="12">
        <v>1267.23</v>
      </c>
    </row>
    <row r="2311" spans="1:14" x14ac:dyDescent="0.3">
      <c r="A2311" s="12" t="s">
        <v>94</v>
      </c>
      <c r="B2311" s="12" t="s">
        <v>164</v>
      </c>
      <c r="C2311" s="12" t="s">
        <v>123</v>
      </c>
      <c r="D2311" s="12" t="s">
        <v>110</v>
      </c>
      <c r="E2311" s="12" t="s">
        <v>71</v>
      </c>
      <c r="F2311" s="12">
        <v>0</v>
      </c>
      <c r="G2311" s="12">
        <v>100</v>
      </c>
      <c r="H2311" s="12" t="s">
        <v>111</v>
      </c>
      <c r="I2311" s="12">
        <v>123.54</v>
      </c>
      <c r="J2311" s="12">
        <v>-303</v>
      </c>
      <c r="K2311" s="12">
        <v>57</v>
      </c>
      <c r="L2311" s="12">
        <v>0</v>
      </c>
      <c r="M2311" s="12">
        <v>0</v>
      </c>
      <c r="N2311" s="12">
        <v>-246</v>
      </c>
    </row>
    <row r="2312" spans="1:14" x14ac:dyDescent="0.3">
      <c r="A2312" s="12" t="s">
        <v>94</v>
      </c>
      <c r="B2312" s="12" t="s">
        <v>164</v>
      </c>
      <c r="C2312" s="12" t="s">
        <v>123</v>
      </c>
      <c r="D2312" s="12" t="s">
        <v>110</v>
      </c>
      <c r="E2312" s="12" t="s">
        <v>56</v>
      </c>
      <c r="F2312" s="12">
        <v>50</v>
      </c>
      <c r="G2312" s="12">
        <v>50</v>
      </c>
      <c r="H2312" s="12">
        <v>135.28</v>
      </c>
      <c r="I2312" s="12">
        <v>142.74</v>
      </c>
      <c r="J2312" s="12">
        <v>373</v>
      </c>
      <c r="K2312" s="12">
        <v>0</v>
      </c>
      <c r="L2312" s="12">
        <v>0</v>
      </c>
      <c r="M2312" s="12">
        <v>0</v>
      </c>
      <c r="N2312" s="12">
        <v>373</v>
      </c>
    </row>
    <row r="2313" spans="1:14" x14ac:dyDescent="0.3">
      <c r="A2313" s="12" t="s">
        <v>94</v>
      </c>
      <c r="B2313" s="12" t="s">
        <v>164</v>
      </c>
      <c r="C2313" s="12" t="s">
        <v>123</v>
      </c>
      <c r="D2313" s="12" t="s">
        <v>110</v>
      </c>
      <c r="E2313" s="12" t="s">
        <v>72</v>
      </c>
      <c r="F2313" s="12">
        <v>0</v>
      </c>
      <c r="G2313" s="12">
        <v>18</v>
      </c>
      <c r="H2313" s="12" t="s">
        <v>111</v>
      </c>
      <c r="I2313" s="12">
        <v>269.08999999999997</v>
      </c>
      <c r="J2313" s="12">
        <v>4.32</v>
      </c>
      <c r="K2313" s="12">
        <v>41.58</v>
      </c>
      <c r="L2313" s="12">
        <v>0</v>
      </c>
      <c r="M2313" s="12">
        <v>0</v>
      </c>
      <c r="N2313" s="12">
        <v>45.9</v>
      </c>
    </row>
    <row r="2314" spans="1:14" x14ac:dyDescent="0.3">
      <c r="A2314" s="12" t="s">
        <v>94</v>
      </c>
      <c r="B2314" s="12" t="s">
        <v>164</v>
      </c>
      <c r="C2314" s="12" t="s">
        <v>123</v>
      </c>
      <c r="D2314" s="12" t="s">
        <v>110</v>
      </c>
      <c r="E2314" s="12" t="s">
        <v>57</v>
      </c>
      <c r="F2314" s="12">
        <v>65</v>
      </c>
      <c r="G2314" s="12">
        <v>0</v>
      </c>
      <c r="H2314" s="12">
        <v>117.19</v>
      </c>
      <c r="I2314" s="12" t="s">
        <v>111</v>
      </c>
      <c r="J2314" s="12">
        <v>353.6</v>
      </c>
      <c r="K2314" s="12">
        <v>-81.25</v>
      </c>
      <c r="L2314" s="12">
        <v>0</v>
      </c>
      <c r="M2314" s="12">
        <v>0</v>
      </c>
      <c r="N2314" s="12">
        <v>272.35000000000002</v>
      </c>
    </row>
    <row r="2315" spans="1:14" x14ac:dyDescent="0.3">
      <c r="A2315" s="12" t="s">
        <v>94</v>
      </c>
      <c r="B2315" s="12" t="s">
        <v>164</v>
      </c>
      <c r="C2315" s="12" t="s">
        <v>123</v>
      </c>
      <c r="D2315" s="12" t="s">
        <v>110</v>
      </c>
      <c r="E2315" s="12" t="s">
        <v>29</v>
      </c>
      <c r="F2315" s="12">
        <v>30</v>
      </c>
      <c r="G2315" s="12">
        <v>15</v>
      </c>
      <c r="H2315" s="12">
        <v>294.91000000000003</v>
      </c>
      <c r="I2315" s="12">
        <v>339.01</v>
      </c>
      <c r="J2315" s="12">
        <v>1034.7</v>
      </c>
      <c r="K2315" s="12">
        <v>-11.85</v>
      </c>
      <c r="L2315" s="12">
        <v>0</v>
      </c>
      <c r="M2315" s="12">
        <v>0</v>
      </c>
      <c r="N2315" s="12">
        <v>1022.85</v>
      </c>
    </row>
    <row r="2316" spans="1:14" x14ac:dyDescent="0.3">
      <c r="A2316" s="12" t="s">
        <v>94</v>
      </c>
      <c r="B2316" s="12" t="s">
        <v>164</v>
      </c>
      <c r="C2316" s="12" t="s">
        <v>123</v>
      </c>
      <c r="D2316" s="12" t="s">
        <v>110</v>
      </c>
      <c r="E2316" s="12" t="s">
        <v>73</v>
      </c>
      <c r="F2316" s="12">
        <v>0</v>
      </c>
      <c r="G2316" s="12">
        <v>20</v>
      </c>
      <c r="H2316" s="12" t="s">
        <v>111</v>
      </c>
      <c r="I2316" s="12">
        <v>141.16999999999999</v>
      </c>
      <c r="J2316" s="12">
        <v>75.599999999999994</v>
      </c>
      <c r="K2316" s="12">
        <v>-7.8</v>
      </c>
      <c r="L2316" s="12">
        <v>0</v>
      </c>
      <c r="M2316" s="12">
        <v>0</v>
      </c>
      <c r="N2316" s="12">
        <v>67.8</v>
      </c>
    </row>
    <row r="2317" spans="1:14" x14ac:dyDescent="0.3">
      <c r="A2317" s="12" t="s">
        <v>94</v>
      </c>
      <c r="B2317" s="12" t="s">
        <v>164</v>
      </c>
      <c r="C2317" s="12" t="s">
        <v>123</v>
      </c>
      <c r="D2317" s="12" t="s">
        <v>110</v>
      </c>
      <c r="E2317" s="12" t="s">
        <v>74</v>
      </c>
      <c r="F2317" s="12">
        <v>0</v>
      </c>
      <c r="G2317" s="12">
        <v>10</v>
      </c>
      <c r="H2317" s="12" t="s">
        <v>111</v>
      </c>
      <c r="I2317" s="12">
        <v>254.09</v>
      </c>
      <c r="J2317" s="12">
        <v>-165.7</v>
      </c>
      <c r="K2317" s="12">
        <v>80.400000000000006</v>
      </c>
      <c r="L2317" s="12">
        <v>0</v>
      </c>
      <c r="M2317" s="12">
        <v>0</v>
      </c>
      <c r="N2317" s="12">
        <v>-85.3</v>
      </c>
    </row>
    <row r="2318" spans="1:14" x14ac:dyDescent="0.3">
      <c r="A2318" s="12" t="s">
        <v>94</v>
      </c>
      <c r="B2318" s="12" t="s">
        <v>164</v>
      </c>
      <c r="C2318" s="12" t="s">
        <v>123</v>
      </c>
      <c r="D2318" s="12" t="s">
        <v>110</v>
      </c>
      <c r="E2318" s="12" t="s">
        <v>39</v>
      </c>
      <c r="F2318" s="12">
        <v>50</v>
      </c>
      <c r="G2318" s="12">
        <v>70</v>
      </c>
      <c r="H2318" s="12">
        <v>204.05</v>
      </c>
      <c r="I2318" s="12">
        <v>199.18</v>
      </c>
      <c r="J2318" s="12">
        <v>-569.29999999999995</v>
      </c>
      <c r="K2318" s="12">
        <v>-45.9</v>
      </c>
      <c r="L2318" s="12">
        <v>0</v>
      </c>
      <c r="M2318" s="12">
        <v>31.87</v>
      </c>
      <c r="N2318" s="12">
        <v>-583.33000000000004</v>
      </c>
    </row>
    <row r="2319" spans="1:14" x14ac:dyDescent="0.3">
      <c r="A2319" s="12" t="s">
        <v>94</v>
      </c>
      <c r="B2319" s="12" t="s">
        <v>164</v>
      </c>
      <c r="C2319" s="12" t="s">
        <v>123</v>
      </c>
      <c r="D2319" s="12" t="s">
        <v>110</v>
      </c>
      <c r="E2319" s="12" t="s">
        <v>75</v>
      </c>
      <c r="F2319" s="12">
        <v>0</v>
      </c>
      <c r="G2319" s="12">
        <v>5</v>
      </c>
      <c r="H2319" s="12" t="s">
        <v>111</v>
      </c>
      <c r="I2319" s="17">
        <v>1051.03</v>
      </c>
      <c r="J2319" s="12">
        <v>249.32</v>
      </c>
      <c r="K2319" s="12">
        <v>39.83</v>
      </c>
      <c r="L2319" s="12">
        <v>0</v>
      </c>
      <c r="M2319" s="12">
        <v>0</v>
      </c>
      <c r="N2319" s="12">
        <v>289.14999999999998</v>
      </c>
    </row>
    <row r="2320" spans="1:14" x14ac:dyDescent="0.3">
      <c r="A2320" s="12" t="s">
        <v>94</v>
      </c>
      <c r="B2320" s="12" t="s">
        <v>164</v>
      </c>
      <c r="C2320" s="12" t="s">
        <v>123</v>
      </c>
      <c r="D2320" s="12" t="s">
        <v>110</v>
      </c>
      <c r="E2320" s="12" t="s">
        <v>76</v>
      </c>
      <c r="F2320" s="12">
        <v>0</v>
      </c>
      <c r="G2320" s="12">
        <v>45</v>
      </c>
      <c r="H2320" s="12" t="s">
        <v>111</v>
      </c>
      <c r="I2320" s="12">
        <v>100.39</v>
      </c>
      <c r="J2320" s="12">
        <v>-362.25</v>
      </c>
      <c r="K2320" s="12">
        <v>19.574999999999999</v>
      </c>
      <c r="L2320" s="12">
        <v>0</v>
      </c>
      <c r="M2320" s="12">
        <v>0</v>
      </c>
      <c r="N2320" s="12">
        <v>-342.67500000000001</v>
      </c>
    </row>
    <row r="2321" spans="1:14" x14ac:dyDescent="0.3">
      <c r="A2321" s="12" t="s">
        <v>94</v>
      </c>
      <c r="B2321" s="12" t="s">
        <v>164</v>
      </c>
      <c r="C2321" s="12" t="s">
        <v>123</v>
      </c>
      <c r="D2321" s="12" t="s">
        <v>110</v>
      </c>
      <c r="E2321" s="12" t="s">
        <v>51</v>
      </c>
      <c r="F2321" s="12">
        <v>10</v>
      </c>
      <c r="G2321" s="12">
        <v>10</v>
      </c>
      <c r="H2321" s="12">
        <v>784.51</v>
      </c>
      <c r="I2321" s="12">
        <v>819.35</v>
      </c>
      <c r="J2321" s="12">
        <v>364.3</v>
      </c>
      <c r="K2321" s="12">
        <v>-172.3</v>
      </c>
      <c r="L2321" s="12">
        <v>0</v>
      </c>
      <c r="M2321" s="12">
        <v>0</v>
      </c>
      <c r="N2321" s="12">
        <v>192</v>
      </c>
    </row>
    <row r="2322" spans="1:14" x14ac:dyDescent="0.3">
      <c r="A2322" s="12" t="s">
        <v>94</v>
      </c>
      <c r="B2322" s="12" t="s">
        <v>164</v>
      </c>
      <c r="C2322" s="12" t="s">
        <v>123</v>
      </c>
      <c r="D2322" s="12" t="s">
        <v>110</v>
      </c>
      <c r="E2322" s="12" t="s">
        <v>77</v>
      </c>
      <c r="F2322" s="12">
        <v>0</v>
      </c>
      <c r="G2322" s="12">
        <v>20</v>
      </c>
      <c r="H2322" s="12" t="s">
        <v>111</v>
      </c>
      <c r="I2322" s="12">
        <v>197.88</v>
      </c>
      <c r="J2322" s="12">
        <v>356.1</v>
      </c>
      <c r="K2322" s="12">
        <v>42.8</v>
      </c>
      <c r="L2322" s="12">
        <v>0</v>
      </c>
      <c r="M2322" s="12">
        <v>0</v>
      </c>
      <c r="N2322" s="12">
        <v>398.9</v>
      </c>
    </row>
    <row r="2323" spans="1:14" x14ac:dyDescent="0.3">
      <c r="A2323" s="12" t="s">
        <v>94</v>
      </c>
      <c r="B2323" s="12" t="s">
        <v>164</v>
      </c>
      <c r="C2323" s="12" t="s">
        <v>123</v>
      </c>
      <c r="D2323" s="12" t="s">
        <v>110</v>
      </c>
      <c r="E2323" s="12" t="s">
        <v>78</v>
      </c>
      <c r="F2323" s="12">
        <v>0</v>
      </c>
      <c r="G2323" s="12">
        <v>30</v>
      </c>
      <c r="H2323" s="12" t="s">
        <v>111</v>
      </c>
      <c r="I2323" s="12">
        <v>194.53</v>
      </c>
      <c r="J2323" s="12">
        <v>-46.5</v>
      </c>
      <c r="K2323" s="12">
        <v>75.599999999999994</v>
      </c>
      <c r="L2323" s="12">
        <v>0</v>
      </c>
      <c r="M2323" s="12">
        <v>0</v>
      </c>
      <c r="N2323" s="12">
        <v>29.1</v>
      </c>
    </row>
    <row r="2324" spans="1:14" x14ac:dyDescent="0.3">
      <c r="A2324" s="12" t="s">
        <v>94</v>
      </c>
      <c r="B2324" s="12" t="s">
        <v>164</v>
      </c>
      <c r="C2324" s="12" t="s">
        <v>123</v>
      </c>
      <c r="D2324" s="12" t="s">
        <v>110</v>
      </c>
      <c r="E2324" s="12" t="s">
        <v>32</v>
      </c>
      <c r="F2324" s="12">
        <v>140</v>
      </c>
      <c r="G2324" s="12">
        <v>70</v>
      </c>
      <c r="H2324" s="12">
        <v>64.56</v>
      </c>
      <c r="I2324" s="12">
        <v>72.680000000000007</v>
      </c>
      <c r="J2324" s="12">
        <v>656.6</v>
      </c>
      <c r="K2324" s="12">
        <v>-79.765000000000001</v>
      </c>
      <c r="L2324" s="12">
        <v>0</v>
      </c>
      <c r="M2324" s="12">
        <v>0</v>
      </c>
      <c r="N2324" s="12">
        <v>576.83500000000004</v>
      </c>
    </row>
    <row r="2325" spans="1:14" x14ac:dyDescent="0.3">
      <c r="A2325" s="12" t="s">
        <v>94</v>
      </c>
      <c r="B2325" s="12" t="s">
        <v>164</v>
      </c>
      <c r="C2325" s="12" t="s">
        <v>123</v>
      </c>
      <c r="D2325" s="12" t="s">
        <v>110</v>
      </c>
      <c r="E2325" s="12" t="s">
        <v>60</v>
      </c>
      <c r="F2325" s="12">
        <v>15</v>
      </c>
      <c r="G2325" s="12">
        <v>0</v>
      </c>
      <c r="H2325" s="12">
        <v>495.37</v>
      </c>
      <c r="I2325" s="12" t="s">
        <v>111</v>
      </c>
      <c r="J2325" s="12">
        <v>-191.7</v>
      </c>
      <c r="K2325" s="12">
        <v>51.3</v>
      </c>
      <c r="L2325" s="12">
        <v>0</v>
      </c>
      <c r="M2325" s="12">
        <v>23.62</v>
      </c>
      <c r="N2325" s="12">
        <v>-116.78</v>
      </c>
    </row>
    <row r="2326" spans="1:14" x14ac:dyDescent="0.3">
      <c r="A2326" s="12" t="s">
        <v>94</v>
      </c>
      <c r="B2326" s="12" t="s">
        <v>164</v>
      </c>
      <c r="C2326" s="12" t="s">
        <v>123</v>
      </c>
      <c r="D2326" s="12" t="s">
        <v>110</v>
      </c>
      <c r="E2326" s="12" t="s">
        <v>61</v>
      </c>
      <c r="F2326" s="12">
        <v>100</v>
      </c>
      <c r="G2326" s="12">
        <v>100</v>
      </c>
      <c r="H2326" s="12">
        <v>93.2</v>
      </c>
      <c r="I2326" s="12">
        <v>91.15</v>
      </c>
      <c r="J2326" s="12">
        <v>-205</v>
      </c>
      <c r="K2326" s="12">
        <v>0</v>
      </c>
      <c r="L2326" s="12">
        <v>0</v>
      </c>
      <c r="M2326" s="12">
        <v>53.61</v>
      </c>
      <c r="N2326" s="12">
        <v>-151.38999999999999</v>
      </c>
    </row>
    <row r="2327" spans="1:14" x14ac:dyDescent="0.3">
      <c r="A2327" s="12" t="s">
        <v>94</v>
      </c>
      <c r="B2327" s="12" t="s">
        <v>164</v>
      </c>
      <c r="C2327" s="12" t="s">
        <v>123</v>
      </c>
      <c r="D2327" s="12" t="s">
        <v>110</v>
      </c>
      <c r="E2327" s="12" t="s">
        <v>62</v>
      </c>
      <c r="F2327" s="12">
        <v>100</v>
      </c>
      <c r="G2327" s="12">
        <v>200</v>
      </c>
      <c r="H2327" s="12">
        <v>41.64</v>
      </c>
      <c r="I2327" s="12">
        <v>41.11</v>
      </c>
      <c r="J2327" s="12">
        <v>-43</v>
      </c>
      <c r="K2327" s="12">
        <v>9</v>
      </c>
      <c r="L2327" s="12">
        <v>0</v>
      </c>
      <c r="M2327" s="12">
        <v>24.42</v>
      </c>
      <c r="N2327" s="12">
        <v>-9.58</v>
      </c>
    </row>
    <row r="2328" spans="1:14" x14ac:dyDescent="0.3">
      <c r="A2328" s="12" t="s">
        <v>94</v>
      </c>
      <c r="B2328" s="12" t="s">
        <v>164</v>
      </c>
      <c r="C2328" s="12" t="s">
        <v>123</v>
      </c>
      <c r="D2328" s="12" t="s">
        <v>110</v>
      </c>
      <c r="E2328" s="12" t="s">
        <v>41</v>
      </c>
      <c r="F2328" s="12">
        <v>1600</v>
      </c>
      <c r="G2328" s="12">
        <v>1100</v>
      </c>
      <c r="H2328" s="12">
        <v>43.27</v>
      </c>
      <c r="I2328" s="12">
        <v>45.75</v>
      </c>
      <c r="J2328" s="12">
        <v>2928</v>
      </c>
      <c r="K2328" s="12">
        <v>-134.29</v>
      </c>
      <c r="L2328" s="12">
        <v>0</v>
      </c>
      <c r="M2328" s="12">
        <v>77.8</v>
      </c>
      <c r="N2328" s="12">
        <v>2871.51</v>
      </c>
    </row>
    <row r="2329" spans="1:14" x14ac:dyDescent="0.3">
      <c r="A2329" s="12" t="s">
        <v>94</v>
      </c>
      <c r="B2329" s="12" t="s">
        <v>164</v>
      </c>
      <c r="C2329" s="12" t="s">
        <v>123</v>
      </c>
      <c r="D2329" s="12" t="s">
        <v>110</v>
      </c>
      <c r="E2329" s="12" t="s">
        <v>79</v>
      </c>
      <c r="F2329" s="12">
        <v>0</v>
      </c>
      <c r="G2329" s="12">
        <v>80</v>
      </c>
      <c r="H2329" s="12" t="s">
        <v>111</v>
      </c>
      <c r="I2329" s="12">
        <v>121.87</v>
      </c>
      <c r="J2329" s="12">
        <v>57.6</v>
      </c>
      <c r="K2329" s="12">
        <v>7.2</v>
      </c>
      <c r="L2329" s="12">
        <v>0</v>
      </c>
      <c r="M2329" s="12">
        <v>25.27</v>
      </c>
      <c r="N2329" s="12">
        <v>90.07</v>
      </c>
    </row>
    <row r="2330" spans="1:14" x14ac:dyDescent="0.3">
      <c r="A2330" s="12" t="s">
        <v>94</v>
      </c>
      <c r="B2330" s="12" t="s">
        <v>164</v>
      </c>
      <c r="C2330" s="12" t="s">
        <v>123</v>
      </c>
      <c r="D2330" s="12" t="s">
        <v>110</v>
      </c>
      <c r="E2330" s="12" t="s">
        <v>42</v>
      </c>
      <c r="F2330" s="12">
        <v>150</v>
      </c>
      <c r="G2330" s="12">
        <v>150</v>
      </c>
      <c r="H2330" s="12">
        <v>210.16</v>
      </c>
      <c r="I2330" s="12">
        <v>226.23</v>
      </c>
      <c r="J2330" s="12">
        <v>2410.5</v>
      </c>
      <c r="K2330" s="12">
        <v>0</v>
      </c>
      <c r="L2330" s="12">
        <v>0</v>
      </c>
      <c r="M2330" s="12">
        <v>45</v>
      </c>
      <c r="N2330" s="12">
        <v>2455.5</v>
      </c>
    </row>
    <row r="2331" spans="1:14" x14ac:dyDescent="0.3">
      <c r="A2331" s="12" t="s">
        <v>94</v>
      </c>
      <c r="B2331" s="12" t="s">
        <v>164</v>
      </c>
      <c r="C2331" s="12" t="s">
        <v>123</v>
      </c>
      <c r="D2331" s="12" t="s">
        <v>110</v>
      </c>
      <c r="E2331" s="12" t="s">
        <v>43</v>
      </c>
      <c r="F2331" s="12">
        <v>80</v>
      </c>
      <c r="G2331" s="12">
        <v>230</v>
      </c>
      <c r="H2331" s="12">
        <v>72.72</v>
      </c>
      <c r="I2331" s="12">
        <v>68.14</v>
      </c>
      <c r="J2331" s="12">
        <v>-637.9</v>
      </c>
      <c r="K2331" s="12">
        <v>-30</v>
      </c>
      <c r="L2331" s="12">
        <v>0</v>
      </c>
      <c r="M2331" s="12">
        <v>95.75</v>
      </c>
      <c r="N2331" s="12">
        <v>-572.15</v>
      </c>
    </row>
    <row r="2332" spans="1:14" x14ac:dyDescent="0.3">
      <c r="A2332" s="12" t="s">
        <v>94</v>
      </c>
      <c r="B2332" s="12" t="s">
        <v>164</v>
      </c>
      <c r="C2332" s="12" t="s">
        <v>123</v>
      </c>
      <c r="D2332" s="12" t="s">
        <v>110</v>
      </c>
      <c r="E2332" s="12" t="s">
        <v>44</v>
      </c>
      <c r="F2332" s="12">
        <v>60</v>
      </c>
      <c r="G2332" s="12">
        <v>60</v>
      </c>
      <c r="H2332" s="12">
        <v>143.69999999999999</v>
      </c>
      <c r="I2332" s="12">
        <v>145.75</v>
      </c>
      <c r="J2332" s="12">
        <v>123</v>
      </c>
      <c r="K2332" s="12">
        <v>0</v>
      </c>
      <c r="L2332" s="12">
        <v>0</v>
      </c>
      <c r="M2332" s="12">
        <v>25.76</v>
      </c>
      <c r="N2332" s="12">
        <v>148.76</v>
      </c>
    </row>
    <row r="2333" spans="1:14" x14ac:dyDescent="0.3">
      <c r="A2333" s="12" t="s">
        <v>94</v>
      </c>
      <c r="B2333" s="12" t="s">
        <v>164</v>
      </c>
      <c r="C2333" s="12" t="s">
        <v>123</v>
      </c>
      <c r="D2333" s="12" t="s">
        <v>110</v>
      </c>
      <c r="E2333" s="12" t="s">
        <v>35</v>
      </c>
      <c r="F2333" s="12">
        <v>100</v>
      </c>
      <c r="G2333" s="12">
        <v>50</v>
      </c>
      <c r="H2333" s="12">
        <v>117.26</v>
      </c>
      <c r="I2333" s="12">
        <v>115.12</v>
      </c>
      <c r="J2333" s="12">
        <v>-552</v>
      </c>
      <c r="K2333" s="12">
        <v>27.5</v>
      </c>
      <c r="L2333" s="12">
        <v>0</v>
      </c>
      <c r="M2333" s="12">
        <v>71.25</v>
      </c>
      <c r="N2333" s="12">
        <v>-453.25</v>
      </c>
    </row>
    <row r="2334" spans="1:14" x14ac:dyDescent="0.3">
      <c r="A2334" s="12" t="s">
        <v>94</v>
      </c>
      <c r="B2334" s="12" t="s">
        <v>164</v>
      </c>
      <c r="C2334" s="12" t="s">
        <v>123</v>
      </c>
      <c r="D2334" s="12" t="s">
        <v>97</v>
      </c>
      <c r="J2334" s="12">
        <v>16897.41</v>
      </c>
      <c r="K2334" s="12">
        <v>-226.65</v>
      </c>
      <c r="L2334" s="12">
        <v>0</v>
      </c>
      <c r="M2334" s="12">
        <v>706.46</v>
      </c>
      <c r="N2334" s="12">
        <v>17377.22</v>
      </c>
    </row>
    <row r="2335" spans="1:14" x14ac:dyDescent="0.3">
      <c r="A2335" s="12" t="s">
        <v>94</v>
      </c>
      <c r="B2335" s="12" t="s">
        <v>164</v>
      </c>
      <c r="C2335" s="12" t="s">
        <v>123</v>
      </c>
      <c r="D2335" s="12" t="s">
        <v>112</v>
      </c>
      <c r="E2335" s="12" t="s">
        <v>52</v>
      </c>
      <c r="F2335" s="12">
        <v>-12</v>
      </c>
      <c r="G2335" s="12">
        <v>0</v>
      </c>
      <c r="H2335" s="17">
        <v>5295.5</v>
      </c>
      <c r="I2335" s="12" t="s">
        <v>111</v>
      </c>
      <c r="J2335" s="12">
        <v>-11130</v>
      </c>
      <c r="K2335" s="12">
        <v>-1248.75</v>
      </c>
      <c r="L2335" s="12">
        <v>0</v>
      </c>
      <c r="M2335" s="12">
        <v>0</v>
      </c>
      <c r="N2335" s="12">
        <v>-12378.75</v>
      </c>
    </row>
    <row r="2336" spans="1:14" x14ac:dyDescent="0.3">
      <c r="A2336" s="12" t="s">
        <v>94</v>
      </c>
      <c r="B2336" s="12" t="s">
        <v>164</v>
      </c>
      <c r="C2336" s="12" t="s">
        <v>123</v>
      </c>
      <c r="D2336" s="12" t="s">
        <v>112</v>
      </c>
      <c r="E2336" s="12" t="s">
        <v>80</v>
      </c>
      <c r="F2336" s="12">
        <v>0</v>
      </c>
      <c r="G2336" s="12">
        <v>-13</v>
      </c>
      <c r="H2336" s="12" t="s">
        <v>111</v>
      </c>
      <c r="I2336" s="17">
        <v>5521.5</v>
      </c>
      <c r="J2336" s="12">
        <v>1495</v>
      </c>
      <c r="K2336" s="12">
        <v>1280</v>
      </c>
      <c r="L2336" s="12">
        <v>0</v>
      </c>
      <c r="M2336" s="12">
        <v>0</v>
      </c>
      <c r="N2336" s="12">
        <v>2775</v>
      </c>
    </row>
    <row r="2337" spans="1:18" x14ac:dyDescent="0.3">
      <c r="A2337" s="12" t="s">
        <v>94</v>
      </c>
      <c r="B2337" s="12" t="s">
        <v>164</v>
      </c>
      <c r="C2337" s="12" t="s">
        <v>123</v>
      </c>
      <c r="D2337" s="12" t="s">
        <v>112</v>
      </c>
      <c r="E2337" s="12" t="s">
        <v>53</v>
      </c>
      <c r="F2337" s="12">
        <v>-3</v>
      </c>
      <c r="G2337" s="12">
        <v>0</v>
      </c>
      <c r="H2337" s="17">
        <v>18591</v>
      </c>
      <c r="I2337" s="12" t="s">
        <v>111</v>
      </c>
      <c r="J2337" s="12">
        <v>-7033.5</v>
      </c>
      <c r="K2337" s="12">
        <v>-1048.5</v>
      </c>
      <c r="L2337" s="12">
        <v>0</v>
      </c>
      <c r="M2337" s="12">
        <v>0</v>
      </c>
      <c r="N2337" s="12">
        <v>-8082</v>
      </c>
    </row>
    <row r="2338" spans="1:18" x14ac:dyDescent="0.3">
      <c r="A2338" s="12" t="s">
        <v>94</v>
      </c>
      <c r="B2338" s="12" t="s">
        <v>164</v>
      </c>
      <c r="C2338" s="12" t="s">
        <v>123</v>
      </c>
      <c r="D2338" s="12" t="s">
        <v>112</v>
      </c>
      <c r="E2338" s="12" t="s">
        <v>81</v>
      </c>
      <c r="F2338" s="12">
        <v>0</v>
      </c>
      <c r="G2338" s="12">
        <v>-2</v>
      </c>
      <c r="H2338" s="12" t="s">
        <v>111</v>
      </c>
      <c r="I2338" s="17">
        <v>19927.25</v>
      </c>
      <c r="J2338" s="12">
        <v>417</v>
      </c>
      <c r="K2338" s="12">
        <v>670</v>
      </c>
      <c r="L2338" s="12">
        <v>0</v>
      </c>
      <c r="M2338" s="12">
        <v>0</v>
      </c>
      <c r="N2338" s="12">
        <v>1087</v>
      </c>
    </row>
    <row r="2339" spans="1:18" x14ac:dyDescent="0.3">
      <c r="A2339" s="12" t="s">
        <v>94</v>
      </c>
      <c r="B2339" s="12" t="s">
        <v>164</v>
      </c>
      <c r="C2339" s="12" t="s">
        <v>123</v>
      </c>
      <c r="D2339" s="12" t="s">
        <v>97</v>
      </c>
      <c r="J2339" s="12">
        <v>-16251.5</v>
      </c>
      <c r="K2339" s="12">
        <v>-347.25</v>
      </c>
      <c r="L2339" s="12">
        <v>0</v>
      </c>
      <c r="M2339" s="12">
        <v>0</v>
      </c>
      <c r="N2339" s="12">
        <v>-16598.75</v>
      </c>
    </row>
    <row r="2340" spans="1:18" x14ac:dyDescent="0.3">
      <c r="A2340" s="12" t="s">
        <v>94</v>
      </c>
      <c r="B2340" s="12" t="s">
        <v>164</v>
      </c>
      <c r="C2340" s="12" t="s">
        <v>123</v>
      </c>
      <c r="D2340" s="12" t="s">
        <v>113</v>
      </c>
      <c r="E2340" s="12" t="s">
        <v>114</v>
      </c>
      <c r="F2340" s="12">
        <v>60328.581124999997</v>
      </c>
      <c r="G2340" s="12">
        <v>48577.981124999998</v>
      </c>
      <c r="H2340" s="12">
        <v>1</v>
      </c>
      <c r="I2340" s="12">
        <v>1</v>
      </c>
      <c r="J2340" s="12">
        <v>0</v>
      </c>
      <c r="K2340" s="12">
        <v>0</v>
      </c>
      <c r="L2340" s="12">
        <v>0</v>
      </c>
      <c r="M2340" s="12">
        <v>0</v>
      </c>
      <c r="N2340" s="12">
        <v>0</v>
      </c>
    </row>
    <row r="2341" spans="1:18" x14ac:dyDescent="0.3">
      <c r="A2341" s="12" t="s">
        <v>94</v>
      </c>
      <c r="B2341" s="12" t="s">
        <v>164</v>
      </c>
      <c r="C2341" s="12" t="s">
        <v>123</v>
      </c>
      <c r="D2341" s="12" t="s">
        <v>97</v>
      </c>
      <c r="J2341" s="12">
        <v>0</v>
      </c>
      <c r="K2341" s="12">
        <v>0</v>
      </c>
      <c r="L2341" s="12">
        <v>0</v>
      </c>
      <c r="M2341" s="12">
        <v>0</v>
      </c>
      <c r="N2341" s="12">
        <v>0</v>
      </c>
    </row>
    <row r="2342" spans="1:18" x14ac:dyDescent="0.3">
      <c r="A2342" s="12" t="s">
        <v>94</v>
      </c>
      <c r="B2342" s="12" t="s">
        <v>164</v>
      </c>
      <c r="C2342" s="12" t="s">
        <v>123</v>
      </c>
      <c r="D2342" s="12" t="s">
        <v>115</v>
      </c>
      <c r="J2342" s="12">
        <v>645.91</v>
      </c>
      <c r="K2342" s="12">
        <v>-573.9</v>
      </c>
      <c r="L2342" s="12">
        <v>0</v>
      </c>
      <c r="M2342" s="12">
        <v>706.46</v>
      </c>
      <c r="N2342" s="12">
        <v>778.47</v>
      </c>
    </row>
    <row r="2343" spans="1:18" x14ac:dyDescent="0.3">
      <c r="A2343" s="12" t="s">
        <v>94</v>
      </c>
      <c r="B2343" s="12" t="s">
        <v>164</v>
      </c>
      <c r="C2343" s="12" t="s">
        <v>123</v>
      </c>
      <c r="D2343" s="12" t="s">
        <v>116</v>
      </c>
      <c r="N2343" s="12">
        <v>196.98</v>
      </c>
    </row>
    <row r="2344" spans="1:18" x14ac:dyDescent="0.3">
      <c r="A2344" s="12" t="s">
        <v>94</v>
      </c>
      <c r="B2344" s="12" t="s">
        <v>166</v>
      </c>
      <c r="N2344" s="12">
        <v>975.45</v>
      </c>
    </row>
    <row r="2345" spans="1:18" x14ac:dyDescent="0.3">
      <c r="A2345" s="12" t="s">
        <v>94</v>
      </c>
      <c r="B2345" s="12" t="s">
        <v>167</v>
      </c>
      <c r="C2345" s="12" t="s">
        <v>120</v>
      </c>
      <c r="D2345" s="12" t="s">
        <v>100</v>
      </c>
      <c r="E2345" s="12" t="s">
        <v>0</v>
      </c>
      <c r="F2345" s="12" t="s">
        <v>168</v>
      </c>
      <c r="G2345" s="12" t="s">
        <v>169</v>
      </c>
      <c r="H2345" s="12" t="s">
        <v>170</v>
      </c>
      <c r="I2345" s="12" t="s">
        <v>171</v>
      </c>
      <c r="J2345" s="12" t="s">
        <v>172</v>
      </c>
      <c r="K2345" s="12" t="s">
        <v>173</v>
      </c>
      <c r="L2345" s="12" t="s">
        <v>174</v>
      </c>
      <c r="M2345" s="12" t="s">
        <v>175</v>
      </c>
      <c r="N2345" s="12" t="s">
        <v>176</v>
      </c>
      <c r="O2345" s="12" t="s">
        <v>177</v>
      </c>
      <c r="P2345" s="12" t="s">
        <v>178</v>
      </c>
      <c r="Q2345" s="12" t="s">
        <v>97</v>
      </c>
      <c r="R2345" s="12" t="s">
        <v>165</v>
      </c>
    </row>
    <row r="2346" spans="1:18" x14ac:dyDescent="0.3">
      <c r="A2346" s="12" t="s">
        <v>94</v>
      </c>
      <c r="B2346" s="12" t="s">
        <v>167</v>
      </c>
      <c r="C2346" s="12" t="s">
        <v>123</v>
      </c>
      <c r="D2346" s="12" t="s">
        <v>110</v>
      </c>
      <c r="E2346" s="12" t="s">
        <v>2</v>
      </c>
      <c r="F2346" s="12">
        <v>0</v>
      </c>
      <c r="G2346" s="12">
        <v>0</v>
      </c>
      <c r="H2346" s="12">
        <v>0</v>
      </c>
      <c r="I2346" s="12">
        <v>0</v>
      </c>
      <c r="J2346" s="12">
        <v>0</v>
      </c>
      <c r="K2346" s="12">
        <v>0</v>
      </c>
      <c r="L2346" s="12">
        <v>1954.44</v>
      </c>
      <c r="M2346" s="12">
        <v>0</v>
      </c>
      <c r="N2346" s="12">
        <v>0</v>
      </c>
      <c r="O2346" s="12">
        <v>0</v>
      </c>
      <c r="P2346" s="12">
        <v>1954.44</v>
      </c>
      <c r="Q2346" s="12">
        <v>1954.44</v>
      </c>
    </row>
    <row r="2347" spans="1:18" x14ac:dyDescent="0.3">
      <c r="A2347" s="12" t="s">
        <v>94</v>
      </c>
      <c r="B2347" s="12" t="s">
        <v>167</v>
      </c>
      <c r="C2347" s="12" t="s">
        <v>123</v>
      </c>
      <c r="D2347" s="12" t="s">
        <v>110</v>
      </c>
      <c r="E2347" s="12" t="s">
        <v>63</v>
      </c>
      <c r="F2347" s="12">
        <v>0</v>
      </c>
      <c r="G2347" s="12">
        <v>0</v>
      </c>
      <c r="H2347" s="12">
        <v>0</v>
      </c>
      <c r="I2347" s="12">
        <v>0</v>
      </c>
      <c r="J2347" s="12">
        <v>0</v>
      </c>
      <c r="K2347" s="12">
        <v>0</v>
      </c>
      <c r="L2347" s="12">
        <v>107.25</v>
      </c>
      <c r="M2347" s="12">
        <v>0</v>
      </c>
      <c r="N2347" s="12">
        <v>0</v>
      </c>
      <c r="O2347" s="12">
        <v>0</v>
      </c>
      <c r="P2347" s="12">
        <v>107.25</v>
      </c>
      <c r="Q2347" s="12">
        <v>107.25</v>
      </c>
    </row>
    <row r="2348" spans="1:18" x14ac:dyDescent="0.3">
      <c r="A2348" s="12" t="s">
        <v>94</v>
      </c>
      <c r="B2348" s="12" t="s">
        <v>167</v>
      </c>
      <c r="C2348" s="12" t="s">
        <v>123</v>
      </c>
      <c r="D2348" s="12" t="s">
        <v>110</v>
      </c>
      <c r="E2348" s="12" t="s">
        <v>64</v>
      </c>
      <c r="F2348" s="12">
        <v>0</v>
      </c>
      <c r="G2348" s="12">
        <v>0</v>
      </c>
      <c r="H2348" s="12">
        <v>0</v>
      </c>
      <c r="I2348" s="12">
        <v>0</v>
      </c>
      <c r="J2348" s="12">
        <v>0</v>
      </c>
      <c r="K2348" s="12">
        <v>0</v>
      </c>
      <c r="L2348" s="12">
        <v>0</v>
      </c>
      <c r="M2348" s="12">
        <v>-98.21</v>
      </c>
      <c r="N2348" s="12">
        <v>0</v>
      </c>
      <c r="O2348" s="12">
        <v>0</v>
      </c>
      <c r="P2348" s="12">
        <v>-98.21</v>
      </c>
      <c r="Q2348" s="12">
        <v>-98.21</v>
      </c>
    </row>
    <row r="2349" spans="1:18" x14ac:dyDescent="0.3">
      <c r="A2349" s="12" t="s">
        <v>94</v>
      </c>
      <c r="B2349" s="12" t="s">
        <v>167</v>
      </c>
      <c r="C2349" s="12" t="s">
        <v>123</v>
      </c>
      <c r="D2349" s="12" t="s">
        <v>110</v>
      </c>
      <c r="E2349" s="12" t="s">
        <v>45</v>
      </c>
      <c r="F2349" s="12">
        <v>0</v>
      </c>
      <c r="G2349" s="12">
        <v>73.400000000000006</v>
      </c>
      <c r="H2349" s="12">
        <v>-202.47</v>
      </c>
      <c r="I2349" s="12">
        <v>0</v>
      </c>
      <c r="J2349" s="12">
        <v>0</v>
      </c>
      <c r="K2349" s="12">
        <v>-129.07</v>
      </c>
      <c r="L2349" s="12">
        <v>56.9</v>
      </c>
      <c r="M2349" s="12">
        <v>-77.150000000000006</v>
      </c>
      <c r="N2349" s="12">
        <v>0</v>
      </c>
      <c r="O2349" s="12">
        <v>0</v>
      </c>
      <c r="P2349" s="12">
        <v>-20.25</v>
      </c>
      <c r="Q2349" s="12">
        <v>-149.32</v>
      </c>
    </row>
    <row r="2350" spans="1:18" x14ac:dyDescent="0.3">
      <c r="A2350" s="12" t="s">
        <v>94</v>
      </c>
      <c r="B2350" s="12" t="s">
        <v>167</v>
      </c>
      <c r="C2350" s="12" t="s">
        <v>123</v>
      </c>
      <c r="D2350" s="12" t="s">
        <v>110</v>
      </c>
      <c r="E2350" s="12" t="s">
        <v>4</v>
      </c>
      <c r="F2350" s="12">
        <v>0</v>
      </c>
      <c r="G2350" s="12">
        <v>0</v>
      </c>
      <c r="H2350" s="12">
        <v>-23.32</v>
      </c>
      <c r="I2350" s="12">
        <v>0</v>
      </c>
      <c r="J2350" s="12">
        <v>0</v>
      </c>
      <c r="K2350" s="12">
        <v>-23.32</v>
      </c>
      <c r="L2350" s="12">
        <v>0</v>
      </c>
      <c r="M2350" s="12">
        <v>0</v>
      </c>
      <c r="N2350" s="12">
        <v>0</v>
      </c>
      <c r="O2350" s="12">
        <v>0</v>
      </c>
      <c r="P2350" s="12">
        <v>0</v>
      </c>
      <c r="Q2350" s="12">
        <v>-23.32</v>
      </c>
    </row>
    <row r="2351" spans="1:18" x14ac:dyDescent="0.3">
      <c r="A2351" s="12" t="s">
        <v>94</v>
      </c>
      <c r="B2351" s="12" t="s">
        <v>167</v>
      </c>
      <c r="C2351" s="12" t="s">
        <v>123</v>
      </c>
      <c r="D2351" s="12" t="s">
        <v>110</v>
      </c>
      <c r="E2351" s="12" t="s">
        <v>5</v>
      </c>
      <c r="F2351" s="12">
        <v>0</v>
      </c>
      <c r="G2351" s="12">
        <v>635.80499999999995</v>
      </c>
      <c r="H2351" s="12">
        <v>-40.04</v>
      </c>
      <c r="I2351" s="12">
        <v>0</v>
      </c>
      <c r="J2351" s="12">
        <v>0</v>
      </c>
      <c r="K2351" s="12">
        <v>595.76499999999999</v>
      </c>
      <c r="L2351" s="12">
        <v>610.74</v>
      </c>
      <c r="M2351" s="12">
        <v>0</v>
      </c>
      <c r="N2351" s="12">
        <v>0</v>
      </c>
      <c r="O2351" s="12">
        <v>0</v>
      </c>
      <c r="P2351" s="12">
        <v>610.74</v>
      </c>
      <c r="Q2351" s="12">
        <v>1206.5050000000001</v>
      </c>
    </row>
    <row r="2352" spans="1:18" x14ac:dyDescent="0.3">
      <c r="A2352" s="12" t="s">
        <v>94</v>
      </c>
      <c r="B2352" s="12" t="s">
        <v>167</v>
      </c>
      <c r="C2352" s="12" t="s">
        <v>123</v>
      </c>
      <c r="D2352" s="12" t="s">
        <v>110</v>
      </c>
      <c r="E2352" s="12" t="s">
        <v>65</v>
      </c>
      <c r="F2352" s="12">
        <v>0</v>
      </c>
      <c r="G2352" s="12">
        <v>0</v>
      </c>
      <c r="H2352" s="12">
        <v>0</v>
      </c>
      <c r="I2352" s="12">
        <v>0</v>
      </c>
      <c r="J2352" s="12">
        <v>0</v>
      </c>
      <c r="K2352" s="12">
        <v>0</v>
      </c>
      <c r="L2352" s="12">
        <v>154.35</v>
      </c>
      <c r="M2352" s="12">
        <v>0</v>
      </c>
      <c r="N2352" s="12">
        <v>0</v>
      </c>
      <c r="O2352" s="12">
        <v>0</v>
      </c>
      <c r="P2352" s="12">
        <v>154.35</v>
      </c>
      <c r="Q2352" s="12">
        <v>154.35</v>
      </c>
    </row>
    <row r="2353" spans="1:17" x14ac:dyDescent="0.3">
      <c r="A2353" s="12" t="s">
        <v>94</v>
      </c>
      <c r="B2353" s="12" t="s">
        <v>167</v>
      </c>
      <c r="C2353" s="12" t="s">
        <v>123</v>
      </c>
      <c r="D2353" s="12" t="s">
        <v>110</v>
      </c>
      <c r="E2353" s="12" t="s">
        <v>58</v>
      </c>
      <c r="F2353" s="12">
        <v>0</v>
      </c>
      <c r="G2353" s="12">
        <v>870.4</v>
      </c>
      <c r="H2353" s="12">
        <v>0</v>
      </c>
      <c r="I2353" s="12">
        <v>0</v>
      </c>
      <c r="J2353" s="12">
        <v>0</v>
      </c>
      <c r="K2353" s="12">
        <v>870.4</v>
      </c>
      <c r="L2353" s="12">
        <v>1744.2</v>
      </c>
      <c r="M2353" s="12">
        <v>0</v>
      </c>
      <c r="N2353" s="12">
        <v>0</v>
      </c>
      <c r="O2353" s="12">
        <v>0</v>
      </c>
      <c r="P2353" s="12">
        <v>1744.2</v>
      </c>
      <c r="Q2353" s="12">
        <v>2614.6</v>
      </c>
    </row>
    <row r="2354" spans="1:17" x14ac:dyDescent="0.3">
      <c r="A2354" s="12" t="s">
        <v>94</v>
      </c>
      <c r="B2354" s="12" t="s">
        <v>167</v>
      </c>
      <c r="C2354" s="12" t="s">
        <v>123</v>
      </c>
      <c r="D2354" s="12" t="s">
        <v>110</v>
      </c>
      <c r="E2354" s="12" t="s">
        <v>7</v>
      </c>
      <c r="F2354" s="12">
        <v>0</v>
      </c>
      <c r="G2354" s="12">
        <v>104.955</v>
      </c>
      <c r="H2354" s="12">
        <v>0</v>
      </c>
      <c r="I2354" s="12">
        <v>0</v>
      </c>
      <c r="J2354" s="12">
        <v>0</v>
      </c>
      <c r="K2354" s="12">
        <v>104.955</v>
      </c>
      <c r="L2354" s="12">
        <v>865.03499999999997</v>
      </c>
      <c r="M2354" s="12">
        <v>-262.94</v>
      </c>
      <c r="N2354" s="12">
        <v>0</v>
      </c>
      <c r="O2354" s="12">
        <v>0</v>
      </c>
      <c r="P2354" s="12">
        <v>602.09500000000003</v>
      </c>
      <c r="Q2354" s="12">
        <v>707.05</v>
      </c>
    </row>
    <row r="2355" spans="1:17" x14ac:dyDescent="0.3">
      <c r="A2355" s="12" t="s">
        <v>94</v>
      </c>
      <c r="B2355" s="12" t="s">
        <v>167</v>
      </c>
      <c r="C2355" s="12" t="s">
        <v>123</v>
      </c>
      <c r="D2355" s="12" t="s">
        <v>110</v>
      </c>
      <c r="E2355" s="12" t="s">
        <v>8</v>
      </c>
      <c r="F2355" s="12">
        <v>0</v>
      </c>
      <c r="G2355" s="12">
        <v>730.67751772999998</v>
      </c>
      <c r="H2355" s="12">
        <v>0</v>
      </c>
      <c r="I2355" s="12">
        <v>0</v>
      </c>
      <c r="J2355" s="12">
        <v>0</v>
      </c>
      <c r="K2355" s="12">
        <v>730.67751772999998</v>
      </c>
      <c r="L2355" s="12">
        <v>1266.9054819999999</v>
      </c>
      <c r="M2355" s="12">
        <v>0</v>
      </c>
      <c r="N2355" s="12">
        <v>0</v>
      </c>
      <c r="O2355" s="12">
        <v>0</v>
      </c>
      <c r="P2355" s="12">
        <v>1266.9054819999999</v>
      </c>
      <c r="Q2355" s="12">
        <v>1997.58299973</v>
      </c>
    </row>
    <row r="2356" spans="1:17" x14ac:dyDescent="0.3">
      <c r="A2356" s="12" t="s">
        <v>94</v>
      </c>
      <c r="B2356" s="12" t="s">
        <v>167</v>
      </c>
      <c r="C2356" s="12" t="s">
        <v>123</v>
      </c>
      <c r="D2356" s="12" t="s">
        <v>110</v>
      </c>
      <c r="E2356" s="12" t="s">
        <v>3</v>
      </c>
      <c r="F2356" s="12">
        <v>0</v>
      </c>
      <c r="G2356" s="12">
        <v>0</v>
      </c>
      <c r="H2356" s="12">
        <v>0</v>
      </c>
      <c r="I2356" s="12">
        <v>0</v>
      </c>
      <c r="J2356" s="12">
        <v>0</v>
      </c>
      <c r="K2356" s="12">
        <v>0</v>
      </c>
      <c r="L2356" s="12">
        <v>990.35054100000002</v>
      </c>
      <c r="M2356" s="12">
        <v>0</v>
      </c>
      <c r="N2356" s="12">
        <v>0</v>
      </c>
      <c r="O2356" s="12">
        <v>0</v>
      </c>
      <c r="P2356" s="12">
        <v>990.35054100000002</v>
      </c>
      <c r="Q2356" s="12">
        <v>990.35054100000002</v>
      </c>
    </row>
    <row r="2357" spans="1:17" x14ac:dyDescent="0.3">
      <c r="A2357" s="12" t="s">
        <v>94</v>
      </c>
      <c r="B2357" s="12" t="s">
        <v>167</v>
      </c>
      <c r="C2357" s="12" t="s">
        <v>123</v>
      </c>
      <c r="D2357" s="12" t="s">
        <v>110</v>
      </c>
      <c r="E2357" s="12" t="s">
        <v>46</v>
      </c>
      <c r="F2357" s="12">
        <v>0</v>
      </c>
      <c r="G2357" s="12">
        <v>3.8</v>
      </c>
      <c r="H2357" s="12">
        <v>-510.62</v>
      </c>
      <c r="I2357" s="12">
        <v>0</v>
      </c>
      <c r="J2357" s="12">
        <v>0</v>
      </c>
      <c r="K2357" s="12">
        <v>-506.82</v>
      </c>
      <c r="L2357" s="12">
        <v>0</v>
      </c>
      <c r="M2357" s="12">
        <v>0</v>
      </c>
      <c r="N2357" s="12">
        <v>0</v>
      </c>
      <c r="O2357" s="12">
        <v>0</v>
      </c>
      <c r="P2357" s="12">
        <v>0</v>
      </c>
      <c r="Q2357" s="12">
        <v>-506.82</v>
      </c>
    </row>
    <row r="2358" spans="1:17" x14ac:dyDescent="0.3">
      <c r="A2358" s="12" t="s">
        <v>94</v>
      </c>
      <c r="B2358" s="12" t="s">
        <v>167</v>
      </c>
      <c r="C2358" s="12" t="s">
        <v>123</v>
      </c>
      <c r="D2358" s="12" t="s">
        <v>110</v>
      </c>
      <c r="E2358" s="12" t="s">
        <v>11</v>
      </c>
      <c r="F2358" s="12">
        <v>0</v>
      </c>
      <c r="G2358" s="12">
        <v>0</v>
      </c>
      <c r="H2358" s="12">
        <v>0</v>
      </c>
      <c r="I2358" s="12">
        <v>0</v>
      </c>
      <c r="J2358" s="12">
        <v>0</v>
      </c>
      <c r="K2358" s="12">
        <v>0</v>
      </c>
      <c r="L2358" s="12">
        <v>332.45</v>
      </c>
      <c r="M2358" s="12">
        <v>0</v>
      </c>
      <c r="N2358" s="12">
        <v>0</v>
      </c>
      <c r="O2358" s="12">
        <v>0</v>
      </c>
      <c r="P2358" s="12">
        <v>332.45</v>
      </c>
      <c r="Q2358" s="12">
        <v>332.45</v>
      </c>
    </row>
    <row r="2359" spans="1:17" x14ac:dyDescent="0.3">
      <c r="A2359" s="12" t="s">
        <v>94</v>
      </c>
      <c r="B2359" s="12" t="s">
        <v>167</v>
      </c>
      <c r="C2359" s="12" t="s">
        <v>123</v>
      </c>
      <c r="D2359" s="12" t="s">
        <v>110</v>
      </c>
      <c r="E2359" s="12" t="s">
        <v>66</v>
      </c>
      <c r="F2359" s="12">
        <v>0</v>
      </c>
      <c r="G2359" s="12">
        <v>0</v>
      </c>
      <c r="H2359" s="12">
        <v>0</v>
      </c>
      <c r="I2359" s="12">
        <v>0</v>
      </c>
      <c r="J2359" s="12">
        <v>0</v>
      </c>
      <c r="K2359" s="12">
        <v>0</v>
      </c>
      <c r="L2359" s="12">
        <v>29.9</v>
      </c>
      <c r="M2359" s="12">
        <v>0</v>
      </c>
      <c r="N2359" s="12">
        <v>0</v>
      </c>
      <c r="O2359" s="12">
        <v>0</v>
      </c>
      <c r="P2359" s="12">
        <v>29.9</v>
      </c>
      <c r="Q2359" s="12">
        <v>29.9</v>
      </c>
    </row>
    <row r="2360" spans="1:17" x14ac:dyDescent="0.3">
      <c r="A2360" s="12" t="s">
        <v>94</v>
      </c>
      <c r="B2360" s="12" t="s">
        <v>167</v>
      </c>
      <c r="C2360" s="12" t="s">
        <v>123</v>
      </c>
      <c r="D2360" s="12" t="s">
        <v>110</v>
      </c>
      <c r="E2360" s="12" t="s">
        <v>14</v>
      </c>
      <c r="F2360" s="12">
        <v>0</v>
      </c>
      <c r="G2360" s="12">
        <v>0</v>
      </c>
      <c r="H2360" s="12">
        <v>0</v>
      </c>
      <c r="I2360" s="12">
        <v>0</v>
      </c>
      <c r="J2360" s="12">
        <v>0</v>
      </c>
      <c r="K2360" s="12">
        <v>0</v>
      </c>
      <c r="L2360" s="12">
        <v>0</v>
      </c>
      <c r="M2360" s="12">
        <v>-97.8</v>
      </c>
      <c r="N2360" s="12">
        <v>0</v>
      </c>
      <c r="O2360" s="12">
        <v>0</v>
      </c>
      <c r="P2360" s="12">
        <v>-97.8</v>
      </c>
      <c r="Q2360" s="12">
        <v>-97.8</v>
      </c>
    </row>
    <row r="2361" spans="1:17" x14ac:dyDescent="0.3">
      <c r="A2361" s="12" t="s">
        <v>94</v>
      </c>
      <c r="B2361" s="12" t="s">
        <v>167</v>
      </c>
      <c r="C2361" s="12" t="s">
        <v>123</v>
      </c>
      <c r="D2361" s="12" t="s">
        <v>110</v>
      </c>
      <c r="E2361" s="12" t="s">
        <v>67</v>
      </c>
      <c r="F2361" s="12">
        <v>0</v>
      </c>
      <c r="G2361" s="12">
        <v>0</v>
      </c>
      <c r="H2361" s="12">
        <v>0</v>
      </c>
      <c r="I2361" s="12">
        <v>0</v>
      </c>
      <c r="J2361" s="12">
        <v>0</v>
      </c>
      <c r="K2361" s="12">
        <v>0</v>
      </c>
      <c r="L2361" s="12">
        <v>0</v>
      </c>
      <c r="M2361" s="12">
        <v>-5.2</v>
      </c>
      <c r="N2361" s="12">
        <v>0</v>
      </c>
      <c r="O2361" s="12">
        <v>0</v>
      </c>
      <c r="P2361" s="12">
        <v>-5.2</v>
      </c>
      <c r="Q2361" s="12">
        <v>-5.2</v>
      </c>
    </row>
    <row r="2362" spans="1:17" x14ac:dyDescent="0.3">
      <c r="A2362" s="12" t="s">
        <v>94</v>
      </c>
      <c r="B2362" s="12" t="s">
        <v>167</v>
      </c>
      <c r="C2362" s="12" t="s">
        <v>123</v>
      </c>
      <c r="D2362" s="12" t="s">
        <v>110</v>
      </c>
      <c r="E2362" s="12" t="s">
        <v>68</v>
      </c>
      <c r="F2362" s="12">
        <v>0</v>
      </c>
      <c r="G2362" s="12">
        <v>0</v>
      </c>
      <c r="H2362" s="12">
        <v>0</v>
      </c>
      <c r="I2362" s="12">
        <v>0</v>
      </c>
      <c r="J2362" s="12">
        <v>0</v>
      </c>
      <c r="K2362" s="12">
        <v>0</v>
      </c>
      <c r="L2362" s="12">
        <v>13.8</v>
      </c>
      <c r="M2362" s="12">
        <v>0</v>
      </c>
      <c r="N2362" s="12">
        <v>0</v>
      </c>
      <c r="O2362" s="12">
        <v>0</v>
      </c>
      <c r="P2362" s="12">
        <v>13.8</v>
      </c>
      <c r="Q2362" s="12">
        <v>13.8</v>
      </c>
    </row>
    <row r="2363" spans="1:17" x14ac:dyDescent="0.3">
      <c r="A2363" s="12" t="s">
        <v>94</v>
      </c>
      <c r="B2363" s="12" t="s">
        <v>167</v>
      </c>
      <c r="C2363" s="12" t="s">
        <v>123</v>
      </c>
      <c r="D2363" s="12" t="s">
        <v>110</v>
      </c>
      <c r="E2363" s="12" t="s">
        <v>18</v>
      </c>
      <c r="F2363" s="12">
        <v>0</v>
      </c>
      <c r="G2363" s="12">
        <v>0</v>
      </c>
      <c r="H2363" s="12">
        <v>0</v>
      </c>
      <c r="I2363" s="12">
        <v>0</v>
      </c>
      <c r="J2363" s="12">
        <v>0</v>
      </c>
      <c r="K2363" s="12">
        <v>0</v>
      </c>
      <c r="L2363" s="12">
        <v>458.04</v>
      </c>
      <c r="M2363" s="12">
        <v>-22.89</v>
      </c>
      <c r="N2363" s="12">
        <v>0</v>
      </c>
      <c r="O2363" s="12">
        <v>0</v>
      </c>
      <c r="P2363" s="12">
        <v>435.15</v>
      </c>
      <c r="Q2363" s="12">
        <v>435.15</v>
      </c>
    </row>
    <row r="2364" spans="1:17" x14ac:dyDescent="0.3">
      <c r="A2364" s="12" t="s">
        <v>94</v>
      </c>
      <c r="B2364" s="12" t="s">
        <v>167</v>
      </c>
      <c r="C2364" s="12" t="s">
        <v>123</v>
      </c>
      <c r="D2364" s="12" t="s">
        <v>110</v>
      </c>
      <c r="E2364" s="12" t="s">
        <v>48</v>
      </c>
      <c r="F2364" s="12">
        <v>0</v>
      </c>
      <c r="G2364" s="12">
        <v>959.85302999999999</v>
      </c>
      <c r="H2364" s="12">
        <v>0</v>
      </c>
      <c r="I2364" s="12">
        <v>0</v>
      </c>
      <c r="J2364" s="12">
        <v>0</v>
      </c>
      <c r="K2364" s="12">
        <v>959.85302999999999</v>
      </c>
      <c r="L2364" s="12">
        <v>0</v>
      </c>
      <c r="M2364" s="12">
        <v>-146.80000000000001</v>
      </c>
      <c r="N2364" s="12">
        <v>0</v>
      </c>
      <c r="O2364" s="12">
        <v>0</v>
      </c>
      <c r="P2364" s="12">
        <v>-146.80000000000001</v>
      </c>
      <c r="Q2364" s="12">
        <v>813.05303000000004</v>
      </c>
    </row>
    <row r="2365" spans="1:17" x14ac:dyDescent="0.3">
      <c r="A2365" s="12" t="s">
        <v>94</v>
      </c>
      <c r="B2365" s="12" t="s">
        <v>167</v>
      </c>
      <c r="C2365" s="12" t="s">
        <v>123</v>
      </c>
      <c r="D2365" s="12" t="s">
        <v>110</v>
      </c>
      <c r="E2365" s="12" t="s">
        <v>54</v>
      </c>
      <c r="F2365" s="12">
        <v>0</v>
      </c>
      <c r="G2365" s="12">
        <v>547.49709099999995</v>
      </c>
      <c r="H2365" s="12">
        <v>-19.440000000000001</v>
      </c>
      <c r="I2365" s="12">
        <v>0</v>
      </c>
      <c r="J2365" s="12">
        <v>0</v>
      </c>
      <c r="K2365" s="12">
        <v>528.05709100000001</v>
      </c>
      <c r="L2365" s="12">
        <v>42.9</v>
      </c>
      <c r="M2365" s="12">
        <v>0</v>
      </c>
      <c r="N2365" s="12">
        <v>0</v>
      </c>
      <c r="O2365" s="12">
        <v>0</v>
      </c>
      <c r="P2365" s="12">
        <v>42.9</v>
      </c>
      <c r="Q2365" s="12">
        <v>570.95709099999999</v>
      </c>
    </row>
    <row r="2366" spans="1:17" x14ac:dyDescent="0.3">
      <c r="A2366" s="12" t="s">
        <v>94</v>
      </c>
      <c r="B2366" s="12" t="s">
        <v>167</v>
      </c>
      <c r="C2366" s="12" t="s">
        <v>123</v>
      </c>
      <c r="D2366" s="12" t="s">
        <v>110</v>
      </c>
      <c r="E2366" s="12" t="s">
        <v>19</v>
      </c>
      <c r="F2366" s="12">
        <v>0</v>
      </c>
      <c r="G2366" s="12">
        <v>1696.5725761399999</v>
      </c>
      <c r="H2366" s="12">
        <v>0</v>
      </c>
      <c r="I2366" s="12">
        <v>0</v>
      </c>
      <c r="J2366" s="12">
        <v>0</v>
      </c>
      <c r="K2366" s="12">
        <v>1696.5725761399999</v>
      </c>
      <c r="L2366" s="12">
        <v>947.49714300000005</v>
      </c>
      <c r="M2366" s="12">
        <v>0</v>
      </c>
      <c r="N2366" s="12">
        <v>0</v>
      </c>
      <c r="O2366" s="12">
        <v>0</v>
      </c>
      <c r="P2366" s="12">
        <v>947.49714300000005</v>
      </c>
      <c r="Q2366" s="12">
        <v>2644.06971914</v>
      </c>
    </row>
    <row r="2367" spans="1:17" x14ac:dyDescent="0.3">
      <c r="A2367" s="12" t="s">
        <v>94</v>
      </c>
      <c r="B2367" s="12" t="s">
        <v>167</v>
      </c>
      <c r="C2367" s="12" t="s">
        <v>123</v>
      </c>
      <c r="D2367" s="12" t="s">
        <v>110</v>
      </c>
      <c r="E2367" s="12" t="s">
        <v>69</v>
      </c>
      <c r="F2367" s="12">
        <v>0</v>
      </c>
      <c r="G2367" s="12">
        <v>0</v>
      </c>
      <c r="H2367" s="12">
        <v>0</v>
      </c>
      <c r="I2367" s="12">
        <v>0</v>
      </c>
      <c r="J2367" s="12">
        <v>0</v>
      </c>
      <c r="K2367" s="12">
        <v>0</v>
      </c>
      <c r="L2367" s="12">
        <v>0</v>
      </c>
      <c r="M2367" s="12">
        <v>-205.05</v>
      </c>
      <c r="N2367" s="12">
        <v>0</v>
      </c>
      <c r="O2367" s="12">
        <v>0</v>
      </c>
      <c r="P2367" s="12">
        <v>-205.05</v>
      </c>
      <c r="Q2367" s="12">
        <v>-205.05</v>
      </c>
    </row>
    <row r="2368" spans="1:17" x14ac:dyDescent="0.3">
      <c r="A2368" s="12" t="s">
        <v>94</v>
      </c>
      <c r="B2368" s="12" t="s">
        <v>167</v>
      </c>
      <c r="C2368" s="12" t="s">
        <v>123</v>
      </c>
      <c r="D2368" s="12" t="s">
        <v>110</v>
      </c>
      <c r="E2368" s="12" t="s">
        <v>20</v>
      </c>
      <c r="F2368" s="12">
        <v>0</v>
      </c>
      <c r="G2368" s="12">
        <v>0</v>
      </c>
      <c r="H2368" s="12">
        <v>0</v>
      </c>
      <c r="I2368" s="12">
        <v>0</v>
      </c>
      <c r="J2368" s="12">
        <v>0</v>
      </c>
      <c r="K2368" s="12">
        <v>0</v>
      </c>
      <c r="L2368" s="12">
        <v>56.67</v>
      </c>
      <c r="M2368" s="12">
        <v>-49.8</v>
      </c>
      <c r="N2368" s="12">
        <v>0</v>
      </c>
      <c r="O2368" s="12">
        <v>0</v>
      </c>
      <c r="P2368" s="12">
        <v>6.87</v>
      </c>
      <c r="Q2368" s="12">
        <v>6.87</v>
      </c>
    </row>
    <row r="2369" spans="1:17" x14ac:dyDescent="0.3">
      <c r="A2369" s="12" t="s">
        <v>94</v>
      </c>
      <c r="B2369" s="12" t="s">
        <v>167</v>
      </c>
      <c r="C2369" s="12" t="s">
        <v>123</v>
      </c>
      <c r="D2369" s="12" t="s">
        <v>110</v>
      </c>
      <c r="E2369" s="12" t="s">
        <v>22</v>
      </c>
      <c r="F2369" s="12">
        <v>0</v>
      </c>
      <c r="G2369" s="12">
        <v>0</v>
      </c>
      <c r="H2369" s="12">
        <v>0</v>
      </c>
      <c r="I2369" s="12">
        <v>0</v>
      </c>
      <c r="J2369" s="12">
        <v>0</v>
      </c>
      <c r="K2369" s="12">
        <v>0</v>
      </c>
      <c r="L2369" s="12">
        <v>1408.261</v>
      </c>
      <c r="M2369" s="12">
        <v>0</v>
      </c>
      <c r="N2369" s="12">
        <v>0</v>
      </c>
      <c r="O2369" s="12">
        <v>0</v>
      </c>
      <c r="P2369" s="12">
        <v>1408.261</v>
      </c>
      <c r="Q2369" s="12">
        <v>1408.261</v>
      </c>
    </row>
    <row r="2370" spans="1:17" x14ac:dyDescent="0.3">
      <c r="A2370" s="12" t="s">
        <v>94</v>
      </c>
      <c r="B2370" s="12" t="s">
        <v>167</v>
      </c>
      <c r="C2370" s="12" t="s">
        <v>123</v>
      </c>
      <c r="D2370" s="12" t="s">
        <v>110</v>
      </c>
      <c r="E2370" s="12" t="s">
        <v>37</v>
      </c>
      <c r="F2370" s="12">
        <v>0</v>
      </c>
      <c r="G2370" s="12">
        <v>0</v>
      </c>
      <c r="H2370" s="12">
        <v>-207.67500000000001</v>
      </c>
      <c r="I2370" s="12">
        <v>0</v>
      </c>
      <c r="J2370" s="12">
        <v>0</v>
      </c>
      <c r="K2370" s="12">
        <v>-207.67500000000001</v>
      </c>
      <c r="L2370" s="12">
        <v>58.4</v>
      </c>
      <c r="M2370" s="12">
        <v>-59.475000000000001</v>
      </c>
      <c r="N2370" s="12">
        <v>0</v>
      </c>
      <c r="O2370" s="12">
        <v>0</v>
      </c>
      <c r="P2370" s="12">
        <v>-1.075</v>
      </c>
      <c r="Q2370" s="12">
        <v>-208.75</v>
      </c>
    </row>
    <row r="2371" spans="1:17" x14ac:dyDescent="0.3">
      <c r="A2371" s="12" t="s">
        <v>94</v>
      </c>
      <c r="B2371" s="12" t="s">
        <v>167</v>
      </c>
      <c r="C2371" s="12" t="s">
        <v>123</v>
      </c>
      <c r="D2371" s="12" t="s">
        <v>110</v>
      </c>
      <c r="E2371" s="12" t="s">
        <v>24</v>
      </c>
      <c r="F2371" s="12">
        <v>0</v>
      </c>
      <c r="G2371" s="12">
        <v>0</v>
      </c>
      <c r="H2371" s="12">
        <v>0</v>
      </c>
      <c r="I2371" s="12">
        <v>0</v>
      </c>
      <c r="J2371" s="12">
        <v>0</v>
      </c>
      <c r="K2371" s="12">
        <v>0</v>
      </c>
      <c r="L2371" s="12">
        <v>508.71249999999998</v>
      </c>
      <c r="M2371" s="12">
        <v>0</v>
      </c>
      <c r="N2371" s="12">
        <v>0</v>
      </c>
      <c r="O2371" s="12">
        <v>0</v>
      </c>
      <c r="P2371" s="12">
        <v>508.71249999999998</v>
      </c>
      <c r="Q2371" s="12">
        <v>508.71249999999998</v>
      </c>
    </row>
    <row r="2372" spans="1:17" x14ac:dyDescent="0.3">
      <c r="A2372" s="12" t="s">
        <v>94</v>
      </c>
      <c r="B2372" s="12" t="s">
        <v>167</v>
      </c>
      <c r="C2372" s="12" t="s">
        <v>123</v>
      </c>
      <c r="D2372" s="12" t="s">
        <v>110</v>
      </c>
      <c r="E2372" s="12" t="s">
        <v>70</v>
      </c>
      <c r="F2372" s="12">
        <v>0</v>
      </c>
      <c r="G2372" s="12">
        <v>0</v>
      </c>
      <c r="H2372" s="12">
        <v>0</v>
      </c>
      <c r="I2372" s="12">
        <v>0</v>
      </c>
      <c r="J2372" s="12">
        <v>0</v>
      </c>
      <c r="K2372" s="12">
        <v>0</v>
      </c>
      <c r="L2372" s="12">
        <v>166.75</v>
      </c>
      <c r="M2372" s="12">
        <v>0</v>
      </c>
      <c r="N2372" s="12">
        <v>0</v>
      </c>
      <c r="O2372" s="12">
        <v>0</v>
      </c>
      <c r="P2372" s="12">
        <v>166.75</v>
      </c>
      <c r="Q2372" s="12">
        <v>166.75</v>
      </c>
    </row>
    <row r="2373" spans="1:17" x14ac:dyDescent="0.3">
      <c r="A2373" s="12" t="s">
        <v>94</v>
      </c>
      <c r="B2373" s="12" t="s">
        <v>167</v>
      </c>
      <c r="C2373" s="12" t="s">
        <v>123</v>
      </c>
      <c r="D2373" s="12" t="s">
        <v>110</v>
      </c>
      <c r="E2373" s="12" t="s">
        <v>59</v>
      </c>
      <c r="F2373" s="12">
        <v>0</v>
      </c>
      <c r="G2373" s="12">
        <v>22.2</v>
      </c>
      <c r="H2373" s="12">
        <v>-54.6</v>
      </c>
      <c r="I2373" s="12">
        <v>0</v>
      </c>
      <c r="J2373" s="12">
        <v>0</v>
      </c>
      <c r="K2373" s="12">
        <v>-32.4</v>
      </c>
      <c r="L2373" s="12">
        <v>0</v>
      </c>
      <c r="M2373" s="12">
        <v>0</v>
      </c>
      <c r="N2373" s="12">
        <v>0</v>
      </c>
      <c r="O2373" s="12">
        <v>0</v>
      </c>
      <c r="P2373" s="12">
        <v>0</v>
      </c>
      <c r="Q2373" s="12">
        <v>-32.4</v>
      </c>
    </row>
    <row r="2374" spans="1:17" x14ac:dyDescent="0.3">
      <c r="A2374" s="12" t="s">
        <v>94</v>
      </c>
      <c r="B2374" s="12" t="s">
        <v>167</v>
      </c>
      <c r="C2374" s="12" t="s">
        <v>123</v>
      </c>
      <c r="D2374" s="12" t="s">
        <v>110</v>
      </c>
      <c r="E2374" s="12" t="s">
        <v>49</v>
      </c>
      <c r="F2374" s="12">
        <v>0</v>
      </c>
      <c r="G2374" s="12">
        <v>0</v>
      </c>
      <c r="H2374" s="12">
        <v>0</v>
      </c>
      <c r="I2374" s="12">
        <v>0</v>
      </c>
      <c r="J2374" s="12">
        <v>0</v>
      </c>
      <c r="K2374" s="12">
        <v>0</v>
      </c>
      <c r="L2374" s="12">
        <v>1446.42</v>
      </c>
      <c r="M2374" s="12">
        <v>0</v>
      </c>
      <c r="N2374" s="12">
        <v>0</v>
      </c>
      <c r="O2374" s="12">
        <v>0</v>
      </c>
      <c r="P2374" s="12">
        <v>1446.42</v>
      </c>
      <c r="Q2374" s="12">
        <v>1446.42</v>
      </c>
    </row>
    <row r="2375" spans="1:17" x14ac:dyDescent="0.3">
      <c r="A2375" s="12" t="s">
        <v>94</v>
      </c>
      <c r="B2375" s="12" t="s">
        <v>167</v>
      </c>
      <c r="C2375" s="12" t="s">
        <v>123</v>
      </c>
      <c r="D2375" s="12" t="s">
        <v>110</v>
      </c>
      <c r="E2375" s="12" t="s">
        <v>26</v>
      </c>
      <c r="F2375" s="12">
        <v>0</v>
      </c>
      <c r="G2375" s="12">
        <v>300.64999999999998</v>
      </c>
      <c r="H2375" s="12">
        <v>0</v>
      </c>
      <c r="I2375" s="12">
        <v>0</v>
      </c>
      <c r="J2375" s="12">
        <v>0</v>
      </c>
      <c r="K2375" s="12">
        <v>300.64999999999998</v>
      </c>
      <c r="L2375" s="12">
        <v>0</v>
      </c>
      <c r="M2375" s="12">
        <v>0</v>
      </c>
      <c r="N2375" s="12">
        <v>0</v>
      </c>
      <c r="O2375" s="12">
        <v>0</v>
      </c>
      <c r="P2375" s="12">
        <v>0</v>
      </c>
      <c r="Q2375" s="12">
        <v>300.64999999999998</v>
      </c>
    </row>
    <row r="2376" spans="1:17" x14ac:dyDescent="0.3">
      <c r="A2376" s="12" t="s">
        <v>94</v>
      </c>
      <c r="B2376" s="12" t="s">
        <v>167</v>
      </c>
      <c r="C2376" s="12" t="s">
        <v>123</v>
      </c>
      <c r="D2376" s="12" t="s">
        <v>110</v>
      </c>
      <c r="E2376" s="12" t="s">
        <v>27</v>
      </c>
      <c r="F2376" s="12">
        <v>0</v>
      </c>
      <c r="G2376" s="12">
        <v>2009.0290480000001</v>
      </c>
      <c r="H2376" s="12">
        <v>-51.73</v>
      </c>
      <c r="I2376" s="12">
        <v>0</v>
      </c>
      <c r="J2376" s="12">
        <v>0</v>
      </c>
      <c r="K2376" s="12">
        <v>1957.2990480000001</v>
      </c>
      <c r="L2376" s="12">
        <v>661</v>
      </c>
      <c r="M2376" s="12">
        <v>0</v>
      </c>
      <c r="N2376" s="12">
        <v>0</v>
      </c>
      <c r="O2376" s="12">
        <v>0</v>
      </c>
      <c r="P2376" s="12">
        <v>661</v>
      </c>
      <c r="Q2376" s="12">
        <v>2618.2990479999999</v>
      </c>
    </row>
    <row r="2377" spans="1:17" x14ac:dyDescent="0.3">
      <c r="A2377" s="12" t="s">
        <v>94</v>
      </c>
      <c r="B2377" s="12" t="s">
        <v>167</v>
      </c>
      <c r="C2377" s="12" t="s">
        <v>123</v>
      </c>
      <c r="D2377" s="12" t="s">
        <v>110</v>
      </c>
      <c r="E2377" s="12" t="s">
        <v>28</v>
      </c>
      <c r="F2377" s="12">
        <v>0</v>
      </c>
      <c r="G2377" s="12">
        <v>0</v>
      </c>
      <c r="H2377" s="12">
        <v>0</v>
      </c>
      <c r="I2377" s="12">
        <v>0</v>
      </c>
      <c r="J2377" s="12">
        <v>0</v>
      </c>
      <c r="K2377" s="12">
        <v>0</v>
      </c>
      <c r="L2377" s="12">
        <v>3206.2879589999998</v>
      </c>
      <c r="M2377" s="12">
        <v>0</v>
      </c>
      <c r="N2377" s="12">
        <v>0</v>
      </c>
      <c r="O2377" s="12">
        <v>0</v>
      </c>
      <c r="P2377" s="12">
        <v>3206.2879589999998</v>
      </c>
      <c r="Q2377" s="12">
        <v>3206.2879589999998</v>
      </c>
    </row>
    <row r="2378" spans="1:17" x14ac:dyDescent="0.3">
      <c r="A2378" s="12" t="s">
        <v>94</v>
      </c>
      <c r="B2378" s="12" t="s">
        <v>167</v>
      </c>
      <c r="C2378" s="12" t="s">
        <v>123</v>
      </c>
      <c r="D2378" s="12" t="s">
        <v>110</v>
      </c>
      <c r="E2378" s="12" t="s">
        <v>55</v>
      </c>
      <c r="F2378" s="12">
        <v>0</v>
      </c>
      <c r="G2378" s="12">
        <v>0</v>
      </c>
      <c r="H2378" s="12">
        <v>0</v>
      </c>
      <c r="I2378" s="12">
        <v>0</v>
      </c>
      <c r="J2378" s="12">
        <v>0</v>
      </c>
      <c r="K2378" s="12">
        <v>0</v>
      </c>
      <c r="L2378" s="12">
        <v>802.18</v>
      </c>
      <c r="M2378" s="12">
        <v>0</v>
      </c>
      <c r="N2378" s="12">
        <v>0</v>
      </c>
      <c r="O2378" s="12">
        <v>0</v>
      </c>
      <c r="P2378" s="12">
        <v>802.18</v>
      </c>
      <c r="Q2378" s="12">
        <v>802.18</v>
      </c>
    </row>
    <row r="2379" spans="1:17" x14ac:dyDescent="0.3">
      <c r="A2379" s="12" t="s">
        <v>94</v>
      </c>
      <c r="B2379" s="12" t="s">
        <v>167</v>
      </c>
      <c r="C2379" s="12" t="s">
        <v>123</v>
      </c>
      <c r="D2379" s="12" t="s">
        <v>110</v>
      </c>
      <c r="E2379" s="12" t="s">
        <v>50</v>
      </c>
      <c r="F2379" s="12">
        <v>0</v>
      </c>
      <c r="G2379" s="12">
        <v>0</v>
      </c>
      <c r="H2379" s="12">
        <v>-58.6</v>
      </c>
      <c r="I2379" s="12">
        <v>0</v>
      </c>
      <c r="J2379" s="12">
        <v>0</v>
      </c>
      <c r="K2379" s="12">
        <v>-58.6</v>
      </c>
      <c r="L2379" s="12">
        <v>331.29</v>
      </c>
      <c r="M2379" s="12">
        <v>0</v>
      </c>
      <c r="N2379" s="12">
        <v>0</v>
      </c>
      <c r="O2379" s="12">
        <v>0</v>
      </c>
      <c r="P2379" s="12">
        <v>331.29</v>
      </c>
      <c r="Q2379" s="12">
        <v>272.69</v>
      </c>
    </row>
    <row r="2380" spans="1:17" x14ac:dyDescent="0.3">
      <c r="A2380" s="12" t="s">
        <v>94</v>
      </c>
      <c r="B2380" s="12" t="s">
        <v>167</v>
      </c>
      <c r="C2380" s="12" t="s">
        <v>123</v>
      </c>
      <c r="D2380" s="12" t="s">
        <v>110</v>
      </c>
      <c r="E2380" s="12" t="s">
        <v>71</v>
      </c>
      <c r="F2380" s="12">
        <v>0</v>
      </c>
      <c r="G2380" s="12">
        <v>0</v>
      </c>
      <c r="H2380" s="12">
        <v>0</v>
      </c>
      <c r="I2380" s="12">
        <v>0</v>
      </c>
      <c r="J2380" s="12">
        <v>0</v>
      </c>
      <c r="K2380" s="12">
        <v>0</v>
      </c>
      <c r="L2380" s="12">
        <v>0</v>
      </c>
      <c r="M2380" s="12">
        <v>-246</v>
      </c>
      <c r="N2380" s="12">
        <v>0</v>
      </c>
      <c r="O2380" s="12">
        <v>0</v>
      </c>
      <c r="P2380" s="12">
        <v>-246</v>
      </c>
      <c r="Q2380" s="12">
        <v>-246</v>
      </c>
    </row>
    <row r="2381" spans="1:17" x14ac:dyDescent="0.3">
      <c r="A2381" s="12" t="s">
        <v>94</v>
      </c>
      <c r="B2381" s="12" t="s">
        <v>167</v>
      </c>
      <c r="C2381" s="12" t="s">
        <v>123</v>
      </c>
      <c r="D2381" s="12" t="s">
        <v>110</v>
      </c>
      <c r="E2381" s="12" t="s">
        <v>56</v>
      </c>
      <c r="F2381" s="12">
        <v>0</v>
      </c>
      <c r="G2381" s="12">
        <v>0</v>
      </c>
      <c r="H2381" s="12">
        <v>0</v>
      </c>
      <c r="I2381" s="12">
        <v>0</v>
      </c>
      <c r="J2381" s="12">
        <v>0</v>
      </c>
      <c r="K2381" s="12">
        <v>0</v>
      </c>
      <c r="L2381" s="12">
        <v>810.1</v>
      </c>
      <c r="M2381" s="12">
        <v>0</v>
      </c>
      <c r="N2381" s="12">
        <v>0</v>
      </c>
      <c r="O2381" s="12">
        <v>0</v>
      </c>
      <c r="P2381" s="12">
        <v>810.1</v>
      </c>
      <c r="Q2381" s="12">
        <v>810.1</v>
      </c>
    </row>
    <row r="2382" spans="1:17" x14ac:dyDescent="0.3">
      <c r="A2382" s="12" t="s">
        <v>94</v>
      </c>
      <c r="B2382" s="12" t="s">
        <v>167</v>
      </c>
      <c r="C2382" s="12" t="s">
        <v>123</v>
      </c>
      <c r="D2382" s="12" t="s">
        <v>110</v>
      </c>
      <c r="E2382" s="12" t="s">
        <v>72</v>
      </c>
      <c r="F2382" s="12">
        <v>0</v>
      </c>
      <c r="G2382" s="12">
        <v>0</v>
      </c>
      <c r="H2382" s="12">
        <v>0</v>
      </c>
      <c r="I2382" s="12">
        <v>0</v>
      </c>
      <c r="J2382" s="12">
        <v>0</v>
      </c>
      <c r="K2382" s="12">
        <v>0</v>
      </c>
      <c r="L2382" s="12">
        <v>45.9</v>
      </c>
      <c r="M2382" s="12">
        <v>0</v>
      </c>
      <c r="N2382" s="12">
        <v>0</v>
      </c>
      <c r="O2382" s="12">
        <v>0</v>
      </c>
      <c r="P2382" s="12">
        <v>45.9</v>
      </c>
      <c r="Q2382" s="12">
        <v>45.9</v>
      </c>
    </row>
    <row r="2383" spans="1:17" x14ac:dyDescent="0.3">
      <c r="A2383" s="12" t="s">
        <v>94</v>
      </c>
      <c r="B2383" s="12" t="s">
        <v>167</v>
      </c>
      <c r="C2383" s="12" t="s">
        <v>123</v>
      </c>
      <c r="D2383" s="12" t="s">
        <v>110</v>
      </c>
      <c r="E2383" s="12" t="s">
        <v>57</v>
      </c>
      <c r="F2383" s="12">
        <v>0</v>
      </c>
      <c r="G2383" s="12">
        <v>81.8</v>
      </c>
      <c r="H2383" s="12">
        <v>-85.36</v>
      </c>
      <c r="I2383" s="12">
        <v>0</v>
      </c>
      <c r="J2383" s="12">
        <v>0</v>
      </c>
      <c r="K2383" s="12">
        <v>-3.56</v>
      </c>
      <c r="L2383" s="12">
        <v>0</v>
      </c>
      <c r="M2383" s="12">
        <v>0</v>
      </c>
      <c r="N2383" s="12">
        <v>0</v>
      </c>
      <c r="O2383" s="12">
        <v>0</v>
      </c>
      <c r="P2383" s="12">
        <v>0</v>
      </c>
      <c r="Q2383" s="12">
        <v>-3.56</v>
      </c>
    </row>
    <row r="2384" spans="1:17" x14ac:dyDescent="0.3">
      <c r="A2384" s="12" t="s">
        <v>94</v>
      </c>
      <c r="B2384" s="12" t="s">
        <v>167</v>
      </c>
      <c r="C2384" s="12" t="s">
        <v>123</v>
      </c>
      <c r="D2384" s="12" t="s">
        <v>110</v>
      </c>
      <c r="E2384" s="12" t="s">
        <v>29</v>
      </c>
      <c r="F2384" s="12">
        <v>0</v>
      </c>
      <c r="G2384" s="12">
        <v>535.4</v>
      </c>
      <c r="H2384" s="12">
        <v>0</v>
      </c>
      <c r="I2384" s="12">
        <v>0</v>
      </c>
      <c r="J2384" s="12">
        <v>0</v>
      </c>
      <c r="K2384" s="12">
        <v>535.4</v>
      </c>
      <c r="L2384" s="12">
        <v>621.45000000000005</v>
      </c>
      <c r="M2384" s="12">
        <v>0</v>
      </c>
      <c r="N2384" s="12">
        <v>0</v>
      </c>
      <c r="O2384" s="12">
        <v>0</v>
      </c>
      <c r="P2384" s="12">
        <v>621.45000000000005</v>
      </c>
      <c r="Q2384" s="12">
        <v>1156.8499999999999</v>
      </c>
    </row>
    <row r="2385" spans="1:17" x14ac:dyDescent="0.3">
      <c r="A2385" s="12" t="s">
        <v>94</v>
      </c>
      <c r="B2385" s="12" t="s">
        <v>167</v>
      </c>
      <c r="C2385" s="12" t="s">
        <v>123</v>
      </c>
      <c r="D2385" s="12" t="s">
        <v>110</v>
      </c>
      <c r="E2385" s="12" t="s">
        <v>73</v>
      </c>
      <c r="F2385" s="12">
        <v>0</v>
      </c>
      <c r="G2385" s="12">
        <v>0</v>
      </c>
      <c r="H2385" s="12">
        <v>0</v>
      </c>
      <c r="I2385" s="12">
        <v>0</v>
      </c>
      <c r="J2385" s="12">
        <v>0</v>
      </c>
      <c r="K2385" s="12">
        <v>0</v>
      </c>
      <c r="L2385" s="12">
        <v>67.8</v>
      </c>
      <c r="M2385" s="12">
        <v>0</v>
      </c>
      <c r="N2385" s="12">
        <v>0</v>
      </c>
      <c r="O2385" s="12">
        <v>0</v>
      </c>
      <c r="P2385" s="12">
        <v>67.8</v>
      </c>
      <c r="Q2385" s="12">
        <v>67.8</v>
      </c>
    </row>
    <row r="2386" spans="1:17" x14ac:dyDescent="0.3">
      <c r="A2386" s="12" t="s">
        <v>94</v>
      </c>
      <c r="B2386" s="12" t="s">
        <v>167</v>
      </c>
      <c r="C2386" s="12" t="s">
        <v>123</v>
      </c>
      <c r="D2386" s="12" t="s">
        <v>110</v>
      </c>
      <c r="E2386" s="12" t="s">
        <v>74</v>
      </c>
      <c r="F2386" s="12">
        <v>0</v>
      </c>
      <c r="G2386" s="12">
        <v>91.9</v>
      </c>
      <c r="H2386" s="12">
        <v>0</v>
      </c>
      <c r="I2386" s="12">
        <v>0</v>
      </c>
      <c r="J2386" s="12">
        <v>0</v>
      </c>
      <c r="K2386" s="12">
        <v>91.9</v>
      </c>
      <c r="L2386" s="12">
        <v>0</v>
      </c>
      <c r="M2386" s="12">
        <v>-177.2</v>
      </c>
      <c r="N2386" s="12">
        <v>0</v>
      </c>
      <c r="O2386" s="12">
        <v>0</v>
      </c>
      <c r="P2386" s="12">
        <v>-177.2</v>
      </c>
      <c r="Q2386" s="12">
        <v>-85.3</v>
      </c>
    </row>
    <row r="2387" spans="1:17" x14ac:dyDescent="0.3">
      <c r="A2387" s="12" t="s">
        <v>94</v>
      </c>
      <c r="B2387" s="12" t="s">
        <v>167</v>
      </c>
      <c r="C2387" s="12" t="s">
        <v>123</v>
      </c>
      <c r="D2387" s="12" t="s">
        <v>110</v>
      </c>
      <c r="E2387" s="12" t="s">
        <v>39</v>
      </c>
      <c r="F2387" s="12">
        <v>0</v>
      </c>
      <c r="G2387" s="12">
        <v>0</v>
      </c>
      <c r="H2387" s="12">
        <v>0</v>
      </c>
      <c r="I2387" s="12">
        <v>0</v>
      </c>
      <c r="J2387" s="12">
        <v>0</v>
      </c>
      <c r="K2387" s="12">
        <v>0</v>
      </c>
      <c r="L2387" s="12">
        <v>1289.925</v>
      </c>
      <c r="M2387" s="12">
        <v>-371.7</v>
      </c>
      <c r="N2387" s="12">
        <v>0</v>
      </c>
      <c r="O2387" s="12">
        <v>0</v>
      </c>
      <c r="P2387" s="12">
        <v>918.22500000000002</v>
      </c>
      <c r="Q2387" s="12">
        <v>918.22500000000002</v>
      </c>
    </row>
    <row r="2388" spans="1:17" x14ac:dyDescent="0.3">
      <c r="A2388" s="12" t="s">
        <v>94</v>
      </c>
      <c r="B2388" s="12" t="s">
        <v>167</v>
      </c>
      <c r="C2388" s="12" t="s">
        <v>123</v>
      </c>
      <c r="D2388" s="12" t="s">
        <v>110</v>
      </c>
      <c r="E2388" s="12" t="s">
        <v>75</v>
      </c>
      <c r="F2388" s="12">
        <v>0</v>
      </c>
      <c r="G2388" s="12">
        <v>0</v>
      </c>
      <c r="H2388" s="12">
        <v>0</v>
      </c>
      <c r="I2388" s="12">
        <v>0</v>
      </c>
      <c r="J2388" s="12">
        <v>0</v>
      </c>
      <c r="K2388" s="12">
        <v>0</v>
      </c>
      <c r="L2388" s="12">
        <v>289.14999999999998</v>
      </c>
      <c r="M2388" s="12">
        <v>0</v>
      </c>
      <c r="N2388" s="12">
        <v>0</v>
      </c>
      <c r="O2388" s="12">
        <v>0</v>
      </c>
      <c r="P2388" s="12">
        <v>289.14999999999998</v>
      </c>
      <c r="Q2388" s="12">
        <v>289.14999999999998</v>
      </c>
    </row>
    <row r="2389" spans="1:17" x14ac:dyDescent="0.3">
      <c r="A2389" s="12" t="s">
        <v>94</v>
      </c>
      <c r="B2389" s="12" t="s">
        <v>167</v>
      </c>
      <c r="C2389" s="12" t="s">
        <v>123</v>
      </c>
      <c r="D2389" s="12" t="s">
        <v>110</v>
      </c>
      <c r="E2389" s="12" t="s">
        <v>76</v>
      </c>
      <c r="F2389" s="12">
        <v>0</v>
      </c>
      <c r="G2389" s="12">
        <v>0</v>
      </c>
      <c r="H2389" s="12">
        <v>0</v>
      </c>
      <c r="I2389" s="12">
        <v>0</v>
      </c>
      <c r="J2389" s="12">
        <v>0</v>
      </c>
      <c r="K2389" s="12">
        <v>0</v>
      </c>
      <c r="L2389" s="12">
        <v>0</v>
      </c>
      <c r="M2389" s="12">
        <v>-342.67500000000001</v>
      </c>
      <c r="N2389" s="12">
        <v>0</v>
      </c>
      <c r="O2389" s="12">
        <v>0</v>
      </c>
      <c r="P2389" s="12">
        <v>-342.67500000000001</v>
      </c>
      <c r="Q2389" s="12">
        <v>-342.67500000000001</v>
      </c>
    </row>
    <row r="2390" spans="1:17" x14ac:dyDescent="0.3">
      <c r="A2390" s="12" t="s">
        <v>94</v>
      </c>
      <c r="B2390" s="12" t="s">
        <v>167</v>
      </c>
      <c r="C2390" s="12" t="s">
        <v>123</v>
      </c>
      <c r="D2390" s="12" t="s">
        <v>110</v>
      </c>
      <c r="E2390" s="12" t="s">
        <v>51</v>
      </c>
      <c r="F2390" s="12">
        <v>0</v>
      </c>
      <c r="G2390" s="12">
        <v>0</v>
      </c>
      <c r="H2390" s="12">
        <v>-656.1</v>
      </c>
      <c r="I2390" s="12">
        <v>0</v>
      </c>
      <c r="J2390" s="12">
        <v>0</v>
      </c>
      <c r="K2390" s="12">
        <v>-656.1</v>
      </c>
      <c r="L2390" s="12">
        <v>146.15</v>
      </c>
      <c r="M2390" s="12">
        <v>-353.55</v>
      </c>
      <c r="N2390" s="12">
        <v>0</v>
      </c>
      <c r="O2390" s="12">
        <v>0</v>
      </c>
      <c r="P2390" s="12">
        <v>-207.4</v>
      </c>
      <c r="Q2390" s="12">
        <v>-863.5</v>
      </c>
    </row>
    <row r="2391" spans="1:17" x14ac:dyDescent="0.3">
      <c r="A2391" s="12" t="s">
        <v>94</v>
      </c>
      <c r="B2391" s="12" t="s">
        <v>167</v>
      </c>
      <c r="C2391" s="12" t="s">
        <v>123</v>
      </c>
      <c r="D2391" s="12" t="s">
        <v>110</v>
      </c>
      <c r="E2391" s="12" t="s">
        <v>77</v>
      </c>
      <c r="F2391" s="12">
        <v>0</v>
      </c>
      <c r="G2391" s="12">
        <v>47.9</v>
      </c>
      <c r="H2391" s="12">
        <v>0</v>
      </c>
      <c r="I2391" s="12">
        <v>0</v>
      </c>
      <c r="J2391" s="12">
        <v>0</v>
      </c>
      <c r="K2391" s="12">
        <v>47.9</v>
      </c>
      <c r="L2391" s="12">
        <v>351</v>
      </c>
      <c r="M2391" s="12">
        <v>0</v>
      </c>
      <c r="N2391" s="12">
        <v>0</v>
      </c>
      <c r="O2391" s="12">
        <v>0</v>
      </c>
      <c r="P2391" s="12">
        <v>351</v>
      </c>
      <c r="Q2391" s="12">
        <v>398.9</v>
      </c>
    </row>
    <row r="2392" spans="1:17" x14ac:dyDescent="0.3">
      <c r="A2392" s="12" t="s">
        <v>94</v>
      </c>
      <c r="B2392" s="12" t="s">
        <v>167</v>
      </c>
      <c r="C2392" s="12" t="s">
        <v>123</v>
      </c>
      <c r="D2392" s="12" t="s">
        <v>110</v>
      </c>
      <c r="E2392" s="12" t="s">
        <v>78</v>
      </c>
      <c r="F2392" s="12">
        <v>0</v>
      </c>
      <c r="G2392" s="12">
        <v>0</v>
      </c>
      <c r="H2392" s="12">
        <v>0</v>
      </c>
      <c r="I2392" s="12">
        <v>0</v>
      </c>
      <c r="J2392" s="12">
        <v>0</v>
      </c>
      <c r="K2392" s="12">
        <v>0</v>
      </c>
      <c r="L2392" s="12">
        <v>29.1</v>
      </c>
      <c r="M2392" s="12">
        <v>0</v>
      </c>
      <c r="N2392" s="12">
        <v>0</v>
      </c>
      <c r="O2392" s="12">
        <v>0</v>
      </c>
      <c r="P2392" s="12">
        <v>29.1</v>
      </c>
      <c r="Q2392" s="12">
        <v>29.1</v>
      </c>
    </row>
    <row r="2393" spans="1:17" x14ac:dyDescent="0.3">
      <c r="A2393" s="12" t="s">
        <v>94</v>
      </c>
      <c r="B2393" s="12" t="s">
        <v>167</v>
      </c>
      <c r="C2393" s="12" t="s">
        <v>123</v>
      </c>
      <c r="D2393" s="12" t="s">
        <v>110</v>
      </c>
      <c r="E2393" s="12" t="s">
        <v>32</v>
      </c>
      <c r="F2393" s="12">
        <v>0</v>
      </c>
      <c r="G2393" s="12">
        <v>112.680009</v>
      </c>
      <c r="H2393" s="12">
        <v>-131.65350000000001</v>
      </c>
      <c r="I2393" s="12">
        <v>0</v>
      </c>
      <c r="J2393" s="12">
        <v>0</v>
      </c>
      <c r="K2393" s="12">
        <v>-18.973490999999999</v>
      </c>
      <c r="L2393" s="12">
        <v>453.6</v>
      </c>
      <c r="M2393" s="12">
        <v>0</v>
      </c>
      <c r="N2393" s="12">
        <v>0</v>
      </c>
      <c r="O2393" s="12">
        <v>0</v>
      </c>
      <c r="P2393" s="12">
        <v>453.6</v>
      </c>
      <c r="Q2393" s="12">
        <v>434.626509</v>
      </c>
    </row>
    <row r="2394" spans="1:17" x14ac:dyDescent="0.3">
      <c r="A2394" s="12" t="s">
        <v>94</v>
      </c>
      <c r="B2394" s="12" t="s">
        <v>167</v>
      </c>
      <c r="C2394" s="12" t="s">
        <v>123</v>
      </c>
      <c r="D2394" s="12" t="s">
        <v>110</v>
      </c>
      <c r="E2394" s="12" t="s">
        <v>60</v>
      </c>
      <c r="F2394" s="12">
        <v>0</v>
      </c>
      <c r="G2394" s="12">
        <v>0</v>
      </c>
      <c r="H2394" s="12">
        <v>-351.3</v>
      </c>
      <c r="I2394" s="12">
        <v>0</v>
      </c>
      <c r="J2394" s="12">
        <v>0</v>
      </c>
      <c r="K2394" s="12">
        <v>-351.3</v>
      </c>
      <c r="L2394" s="12">
        <v>0</v>
      </c>
      <c r="M2394" s="12">
        <v>0</v>
      </c>
      <c r="N2394" s="12">
        <v>0</v>
      </c>
      <c r="O2394" s="12">
        <v>0</v>
      </c>
      <c r="P2394" s="12">
        <v>0</v>
      </c>
      <c r="Q2394" s="12">
        <v>-351.3</v>
      </c>
    </row>
    <row r="2395" spans="1:17" x14ac:dyDescent="0.3">
      <c r="A2395" s="12" t="s">
        <v>94</v>
      </c>
      <c r="B2395" s="12" t="s">
        <v>167</v>
      </c>
      <c r="C2395" s="12" t="s">
        <v>123</v>
      </c>
      <c r="D2395" s="12" t="s">
        <v>110</v>
      </c>
      <c r="E2395" s="12" t="s">
        <v>61</v>
      </c>
      <c r="F2395" s="12">
        <v>0</v>
      </c>
      <c r="G2395" s="12">
        <v>0</v>
      </c>
      <c r="H2395" s="12">
        <v>0</v>
      </c>
      <c r="I2395" s="12">
        <v>0</v>
      </c>
      <c r="J2395" s="12">
        <v>0</v>
      </c>
      <c r="K2395" s="12">
        <v>0</v>
      </c>
      <c r="L2395" s="12">
        <v>0</v>
      </c>
      <c r="M2395" s="12">
        <v>-323</v>
      </c>
      <c r="N2395" s="12">
        <v>0</v>
      </c>
      <c r="O2395" s="12">
        <v>0</v>
      </c>
      <c r="P2395" s="12">
        <v>-323</v>
      </c>
      <c r="Q2395" s="12">
        <v>-323</v>
      </c>
    </row>
    <row r="2396" spans="1:17" x14ac:dyDescent="0.3">
      <c r="A2396" s="12" t="s">
        <v>94</v>
      </c>
      <c r="B2396" s="12" t="s">
        <v>167</v>
      </c>
      <c r="C2396" s="12" t="s">
        <v>123</v>
      </c>
      <c r="D2396" s="12" t="s">
        <v>110</v>
      </c>
      <c r="E2396" s="12" t="s">
        <v>62</v>
      </c>
      <c r="F2396" s="12">
        <v>0</v>
      </c>
      <c r="G2396" s="12">
        <v>0</v>
      </c>
      <c r="H2396" s="12">
        <v>0</v>
      </c>
      <c r="I2396" s="12">
        <v>0</v>
      </c>
      <c r="J2396" s="12">
        <v>0</v>
      </c>
      <c r="K2396" s="12">
        <v>0</v>
      </c>
      <c r="L2396" s="12">
        <v>19</v>
      </c>
      <c r="M2396" s="12">
        <v>-91.87</v>
      </c>
      <c r="N2396" s="12">
        <v>0</v>
      </c>
      <c r="O2396" s="12">
        <v>0</v>
      </c>
      <c r="P2396" s="12">
        <v>-72.87</v>
      </c>
      <c r="Q2396" s="12">
        <v>-72.87</v>
      </c>
    </row>
    <row r="2397" spans="1:17" x14ac:dyDescent="0.3">
      <c r="A2397" s="12" t="s">
        <v>94</v>
      </c>
      <c r="B2397" s="12" t="s">
        <v>167</v>
      </c>
      <c r="C2397" s="12" t="s">
        <v>123</v>
      </c>
      <c r="D2397" s="12" t="s">
        <v>110</v>
      </c>
      <c r="E2397" s="12" t="s">
        <v>41</v>
      </c>
      <c r="F2397" s="12">
        <v>0</v>
      </c>
      <c r="G2397" s="12">
        <v>955.81</v>
      </c>
      <c r="H2397" s="12">
        <v>0</v>
      </c>
      <c r="I2397" s="12">
        <v>0</v>
      </c>
      <c r="J2397" s="12">
        <v>0</v>
      </c>
      <c r="K2397" s="12">
        <v>955.81</v>
      </c>
      <c r="L2397" s="12">
        <v>3955.5</v>
      </c>
      <c r="M2397" s="12">
        <v>0</v>
      </c>
      <c r="N2397" s="12">
        <v>0</v>
      </c>
      <c r="O2397" s="12">
        <v>0</v>
      </c>
      <c r="P2397" s="12">
        <v>3955.5</v>
      </c>
      <c r="Q2397" s="12">
        <v>4911.3100000000004</v>
      </c>
    </row>
    <row r="2398" spans="1:17" x14ac:dyDescent="0.3">
      <c r="A2398" s="12" t="s">
        <v>94</v>
      </c>
      <c r="B2398" s="12" t="s">
        <v>167</v>
      </c>
      <c r="C2398" s="12" t="s">
        <v>123</v>
      </c>
      <c r="D2398" s="12" t="s">
        <v>110</v>
      </c>
      <c r="E2398" s="12" t="s">
        <v>79</v>
      </c>
      <c r="F2398" s="12">
        <v>0</v>
      </c>
      <c r="G2398" s="12">
        <v>0</v>
      </c>
      <c r="H2398" s="12">
        <v>0</v>
      </c>
      <c r="I2398" s="12">
        <v>0</v>
      </c>
      <c r="J2398" s="12">
        <v>0</v>
      </c>
      <c r="K2398" s="12">
        <v>0</v>
      </c>
      <c r="L2398" s="12">
        <v>64.8</v>
      </c>
      <c r="M2398" s="12">
        <v>0</v>
      </c>
      <c r="N2398" s="12">
        <v>0</v>
      </c>
      <c r="O2398" s="12">
        <v>0</v>
      </c>
      <c r="P2398" s="12">
        <v>64.8</v>
      </c>
      <c r="Q2398" s="12">
        <v>64.8</v>
      </c>
    </row>
    <row r="2399" spans="1:17" x14ac:dyDescent="0.3">
      <c r="A2399" s="12" t="s">
        <v>94</v>
      </c>
      <c r="B2399" s="12" t="s">
        <v>167</v>
      </c>
      <c r="C2399" s="12" t="s">
        <v>123</v>
      </c>
      <c r="D2399" s="12" t="s">
        <v>110</v>
      </c>
      <c r="E2399" s="12" t="s">
        <v>42</v>
      </c>
      <c r="F2399" s="12">
        <v>0</v>
      </c>
      <c r="G2399" s="12">
        <v>0</v>
      </c>
      <c r="H2399" s="12">
        <v>0</v>
      </c>
      <c r="I2399" s="12">
        <v>0</v>
      </c>
      <c r="J2399" s="12">
        <v>0</v>
      </c>
      <c r="K2399" s="12">
        <v>0</v>
      </c>
      <c r="L2399" s="12">
        <v>3947.6</v>
      </c>
      <c r="M2399" s="12">
        <v>0</v>
      </c>
      <c r="N2399" s="12">
        <v>0</v>
      </c>
      <c r="O2399" s="12">
        <v>0</v>
      </c>
      <c r="P2399" s="12">
        <v>3947.6</v>
      </c>
      <c r="Q2399" s="12">
        <v>3947.6</v>
      </c>
    </row>
    <row r="2400" spans="1:17" x14ac:dyDescent="0.3">
      <c r="A2400" s="12" t="s">
        <v>94</v>
      </c>
      <c r="B2400" s="12" t="s">
        <v>167</v>
      </c>
      <c r="C2400" s="12" t="s">
        <v>123</v>
      </c>
      <c r="D2400" s="12" t="s">
        <v>110</v>
      </c>
      <c r="E2400" s="12" t="s">
        <v>43</v>
      </c>
      <c r="F2400" s="12">
        <v>0</v>
      </c>
      <c r="G2400" s="12">
        <v>0</v>
      </c>
      <c r="H2400" s="12">
        <v>0</v>
      </c>
      <c r="I2400" s="12">
        <v>0</v>
      </c>
      <c r="J2400" s="12">
        <v>0</v>
      </c>
      <c r="K2400" s="12">
        <v>0</v>
      </c>
      <c r="L2400" s="12">
        <v>561.9</v>
      </c>
      <c r="M2400" s="12">
        <v>-301.5</v>
      </c>
      <c r="N2400" s="12">
        <v>0</v>
      </c>
      <c r="O2400" s="12">
        <v>0</v>
      </c>
      <c r="P2400" s="12">
        <v>260.39999999999998</v>
      </c>
      <c r="Q2400" s="12">
        <v>260.39999999999998</v>
      </c>
    </row>
    <row r="2401" spans="1:17" x14ac:dyDescent="0.3">
      <c r="A2401" s="12" t="s">
        <v>94</v>
      </c>
      <c r="B2401" s="12" t="s">
        <v>167</v>
      </c>
      <c r="C2401" s="12" t="s">
        <v>123</v>
      </c>
      <c r="D2401" s="12" t="s">
        <v>110</v>
      </c>
      <c r="E2401" s="12" t="s">
        <v>44</v>
      </c>
      <c r="F2401" s="12">
        <v>0</v>
      </c>
      <c r="G2401" s="12">
        <v>0</v>
      </c>
      <c r="H2401" s="12">
        <v>0</v>
      </c>
      <c r="I2401" s="12">
        <v>0</v>
      </c>
      <c r="J2401" s="12">
        <v>0</v>
      </c>
      <c r="K2401" s="12">
        <v>0</v>
      </c>
      <c r="L2401" s="12">
        <v>155.35</v>
      </c>
      <c r="M2401" s="12">
        <v>0</v>
      </c>
      <c r="N2401" s="12">
        <v>0</v>
      </c>
      <c r="O2401" s="12">
        <v>0</v>
      </c>
      <c r="P2401" s="12">
        <v>155.35</v>
      </c>
      <c r="Q2401" s="12">
        <v>155.35</v>
      </c>
    </row>
    <row r="2402" spans="1:17" x14ac:dyDescent="0.3">
      <c r="A2402" s="12" t="s">
        <v>94</v>
      </c>
      <c r="B2402" s="12" t="s">
        <v>167</v>
      </c>
      <c r="C2402" s="12" t="s">
        <v>123</v>
      </c>
      <c r="D2402" s="12" t="s">
        <v>110</v>
      </c>
      <c r="E2402" s="12" t="s">
        <v>35</v>
      </c>
      <c r="F2402" s="12">
        <v>0</v>
      </c>
      <c r="G2402" s="12">
        <v>0</v>
      </c>
      <c r="H2402" s="12">
        <v>-479.5</v>
      </c>
      <c r="I2402" s="12">
        <v>0</v>
      </c>
      <c r="J2402" s="12">
        <v>0</v>
      </c>
      <c r="K2402" s="12">
        <v>-479.5</v>
      </c>
      <c r="L2402" s="12">
        <v>0</v>
      </c>
      <c r="M2402" s="12">
        <v>-169</v>
      </c>
      <c r="N2402" s="12">
        <v>0</v>
      </c>
      <c r="O2402" s="12">
        <v>0</v>
      </c>
      <c r="P2402" s="12">
        <v>-169</v>
      </c>
      <c r="Q2402" s="12">
        <v>-648.5</v>
      </c>
    </row>
    <row r="2403" spans="1:17" x14ac:dyDescent="0.3">
      <c r="A2403" s="12" t="s">
        <v>94</v>
      </c>
      <c r="B2403" s="12" t="s">
        <v>167</v>
      </c>
      <c r="C2403" s="12" t="s">
        <v>123</v>
      </c>
      <c r="D2403" s="12" t="s">
        <v>97</v>
      </c>
      <c r="F2403" s="12">
        <v>0</v>
      </c>
      <c r="G2403" s="12">
        <v>9780.3292718699995</v>
      </c>
      <c r="H2403" s="12">
        <v>-2872.4085</v>
      </c>
      <c r="I2403" s="12">
        <v>0</v>
      </c>
      <c r="J2403" s="12">
        <v>0</v>
      </c>
      <c r="K2403" s="12">
        <v>6907.92077187</v>
      </c>
      <c r="L2403" s="12">
        <v>31029.054625000001</v>
      </c>
      <c r="M2403" s="12">
        <v>-3401.81</v>
      </c>
      <c r="N2403" s="12">
        <v>0</v>
      </c>
      <c r="O2403" s="12">
        <v>0</v>
      </c>
      <c r="P2403" s="12">
        <v>27627.244624999999</v>
      </c>
      <c r="Q2403" s="12">
        <v>34535.165396869997</v>
      </c>
    </row>
    <row r="2404" spans="1:17" x14ac:dyDescent="0.3">
      <c r="A2404" s="12" t="s">
        <v>94</v>
      </c>
      <c r="B2404" s="12" t="s">
        <v>167</v>
      </c>
      <c r="C2404" s="12" t="s">
        <v>123</v>
      </c>
      <c r="D2404" s="12" t="s">
        <v>112</v>
      </c>
      <c r="E2404" s="12" t="s">
        <v>52</v>
      </c>
      <c r="F2404" s="12">
        <v>0</v>
      </c>
      <c r="G2404" s="12">
        <v>0</v>
      </c>
      <c r="H2404" s="12">
        <v>-18380</v>
      </c>
      <c r="I2404" s="12">
        <v>0</v>
      </c>
      <c r="J2404" s="12">
        <v>0</v>
      </c>
      <c r="K2404" s="12">
        <v>-18380</v>
      </c>
      <c r="L2404" s="12">
        <v>0</v>
      </c>
      <c r="M2404" s="12">
        <v>0</v>
      </c>
      <c r="N2404" s="12">
        <v>0</v>
      </c>
      <c r="O2404" s="12">
        <v>0</v>
      </c>
      <c r="P2404" s="12">
        <v>0</v>
      </c>
      <c r="Q2404" s="12">
        <v>-18380</v>
      </c>
    </row>
    <row r="2405" spans="1:17" x14ac:dyDescent="0.3">
      <c r="A2405" s="12" t="s">
        <v>94</v>
      </c>
      <c r="B2405" s="12" t="s">
        <v>167</v>
      </c>
      <c r="C2405" s="12" t="s">
        <v>123</v>
      </c>
      <c r="D2405" s="12" t="s">
        <v>112</v>
      </c>
      <c r="E2405" s="12" t="s">
        <v>80</v>
      </c>
      <c r="F2405" s="12">
        <v>0</v>
      </c>
      <c r="G2405" s="12">
        <v>0</v>
      </c>
      <c r="H2405" s="12">
        <v>0</v>
      </c>
      <c r="I2405" s="12">
        <v>0</v>
      </c>
      <c r="J2405" s="12">
        <v>0</v>
      </c>
      <c r="K2405" s="12">
        <v>0</v>
      </c>
      <c r="L2405" s="12">
        <v>2775</v>
      </c>
      <c r="M2405" s="12">
        <v>0</v>
      </c>
      <c r="N2405" s="12">
        <v>0</v>
      </c>
      <c r="O2405" s="12">
        <v>0</v>
      </c>
      <c r="P2405" s="12">
        <v>2775</v>
      </c>
      <c r="Q2405" s="12">
        <v>2775</v>
      </c>
    </row>
    <row r="2406" spans="1:17" x14ac:dyDescent="0.3">
      <c r="A2406" s="12" t="s">
        <v>94</v>
      </c>
      <c r="B2406" s="12" t="s">
        <v>167</v>
      </c>
      <c r="C2406" s="12" t="s">
        <v>123</v>
      </c>
      <c r="D2406" s="12" t="s">
        <v>112</v>
      </c>
      <c r="E2406" s="12" t="s">
        <v>53</v>
      </c>
      <c r="F2406" s="12">
        <v>0</v>
      </c>
      <c r="G2406" s="12">
        <v>0</v>
      </c>
      <c r="H2406" s="12">
        <v>-9494</v>
      </c>
      <c r="I2406" s="12">
        <v>0</v>
      </c>
      <c r="J2406" s="12">
        <v>0</v>
      </c>
      <c r="K2406" s="12">
        <v>-9494</v>
      </c>
      <c r="L2406" s="12">
        <v>0</v>
      </c>
      <c r="M2406" s="12">
        <v>0</v>
      </c>
      <c r="N2406" s="12">
        <v>0</v>
      </c>
      <c r="O2406" s="12">
        <v>0</v>
      </c>
      <c r="P2406" s="12">
        <v>0</v>
      </c>
      <c r="Q2406" s="12">
        <v>-9494</v>
      </c>
    </row>
    <row r="2407" spans="1:17" x14ac:dyDescent="0.3">
      <c r="A2407" s="12" t="s">
        <v>94</v>
      </c>
      <c r="B2407" s="12" t="s">
        <v>167</v>
      </c>
      <c r="C2407" s="12" t="s">
        <v>123</v>
      </c>
      <c r="D2407" s="12" t="s">
        <v>112</v>
      </c>
      <c r="E2407" s="12" t="s">
        <v>81</v>
      </c>
      <c r="F2407" s="12">
        <v>0</v>
      </c>
      <c r="G2407" s="12">
        <v>0</v>
      </c>
      <c r="H2407" s="12">
        <v>0</v>
      </c>
      <c r="I2407" s="12">
        <v>0</v>
      </c>
      <c r="J2407" s="12">
        <v>0</v>
      </c>
      <c r="K2407" s="12">
        <v>0</v>
      </c>
      <c r="L2407" s="12">
        <v>1087</v>
      </c>
      <c r="M2407" s="12">
        <v>0</v>
      </c>
      <c r="N2407" s="12">
        <v>0</v>
      </c>
      <c r="O2407" s="12">
        <v>0</v>
      </c>
      <c r="P2407" s="12">
        <v>1087</v>
      </c>
      <c r="Q2407" s="12">
        <v>1087</v>
      </c>
    </row>
    <row r="2408" spans="1:17" x14ac:dyDescent="0.3">
      <c r="A2408" s="12" t="s">
        <v>94</v>
      </c>
      <c r="B2408" s="12" t="s">
        <v>167</v>
      </c>
      <c r="C2408" s="12" t="s">
        <v>123</v>
      </c>
      <c r="D2408" s="12" t="s">
        <v>97</v>
      </c>
      <c r="F2408" s="12">
        <v>0</v>
      </c>
      <c r="G2408" s="12">
        <v>0</v>
      </c>
      <c r="H2408" s="12">
        <v>-27874</v>
      </c>
      <c r="I2408" s="12">
        <v>0</v>
      </c>
      <c r="J2408" s="12">
        <v>0</v>
      </c>
      <c r="K2408" s="12">
        <v>-27874</v>
      </c>
      <c r="L2408" s="12">
        <v>3862</v>
      </c>
      <c r="M2408" s="12">
        <v>0</v>
      </c>
      <c r="N2408" s="12">
        <v>0</v>
      </c>
      <c r="O2408" s="12">
        <v>0</v>
      </c>
      <c r="P2408" s="12">
        <v>3862</v>
      </c>
      <c r="Q2408" s="12">
        <v>-24012</v>
      </c>
    </row>
    <row r="2409" spans="1:17" x14ac:dyDescent="0.3">
      <c r="A2409" s="12" t="s">
        <v>94</v>
      </c>
      <c r="B2409" s="12" t="s">
        <v>167</v>
      </c>
      <c r="C2409" s="12" t="s">
        <v>123</v>
      </c>
      <c r="D2409" s="12" t="s">
        <v>115</v>
      </c>
      <c r="F2409" s="12">
        <v>0</v>
      </c>
      <c r="G2409" s="12">
        <v>9780.3292718699995</v>
      </c>
      <c r="H2409" s="12">
        <v>-30746.408500000001</v>
      </c>
      <c r="I2409" s="12">
        <v>0</v>
      </c>
      <c r="J2409" s="12">
        <v>0</v>
      </c>
      <c r="K2409" s="12">
        <v>-20966.079228129998</v>
      </c>
      <c r="L2409" s="12">
        <v>34891.054624999997</v>
      </c>
      <c r="M2409" s="12">
        <v>-3401.81</v>
      </c>
      <c r="N2409" s="12">
        <v>0</v>
      </c>
      <c r="O2409" s="12">
        <v>0</v>
      </c>
      <c r="P2409" s="12">
        <v>31489.244624999999</v>
      </c>
      <c r="Q2409" s="12">
        <v>10523.165396869999</v>
      </c>
    </row>
    <row r="2410" spans="1:17" x14ac:dyDescent="0.3">
      <c r="A2410" s="12" t="s">
        <v>94</v>
      </c>
      <c r="B2410" s="12" t="s">
        <v>179</v>
      </c>
      <c r="C2410" s="12" t="s">
        <v>120</v>
      </c>
      <c r="D2410" s="12" t="s">
        <v>180</v>
      </c>
      <c r="E2410" s="12" t="s">
        <v>181</v>
      </c>
      <c r="F2410" s="12" t="s">
        <v>97</v>
      </c>
      <c r="G2410" s="12" t="s">
        <v>182</v>
      </c>
      <c r="H2410" s="12" t="s">
        <v>112</v>
      </c>
    </row>
    <row r="2411" spans="1:17" x14ac:dyDescent="0.3">
      <c r="A2411" s="12" t="s">
        <v>94</v>
      </c>
      <c r="B2411" s="12" t="s">
        <v>179</v>
      </c>
      <c r="C2411" s="12" t="s">
        <v>123</v>
      </c>
      <c r="D2411" s="12" t="s">
        <v>183</v>
      </c>
      <c r="E2411" s="12" t="s">
        <v>184</v>
      </c>
      <c r="F2411" s="12">
        <v>60328.581124999997</v>
      </c>
      <c r="G2411" s="12">
        <v>32322.211125000002</v>
      </c>
      <c r="H2411" s="12">
        <v>28006.37</v>
      </c>
    </row>
    <row r="2412" spans="1:17" x14ac:dyDescent="0.3">
      <c r="A2412" s="12" t="s">
        <v>94</v>
      </c>
      <c r="B2412" s="12" t="s">
        <v>179</v>
      </c>
      <c r="C2412" s="12" t="s">
        <v>123</v>
      </c>
      <c r="D2412" s="12" t="s">
        <v>185</v>
      </c>
      <c r="E2412" s="12" t="s">
        <v>184</v>
      </c>
      <c r="F2412" s="12">
        <v>0</v>
      </c>
      <c r="G2412" s="12">
        <v>-15096.46</v>
      </c>
      <c r="H2412" s="12">
        <v>15096.46</v>
      </c>
    </row>
    <row r="2413" spans="1:17" x14ac:dyDescent="0.3">
      <c r="A2413" s="12" t="s">
        <v>94</v>
      </c>
      <c r="B2413" s="12" t="s">
        <v>179</v>
      </c>
      <c r="C2413" s="12" t="s">
        <v>123</v>
      </c>
      <c r="D2413" s="12" t="s">
        <v>157</v>
      </c>
      <c r="E2413" s="12" t="s">
        <v>184</v>
      </c>
      <c r="F2413" s="12">
        <v>941.99</v>
      </c>
      <c r="G2413" s="12">
        <v>941.99</v>
      </c>
      <c r="H2413" s="12">
        <v>0</v>
      </c>
    </row>
    <row r="2414" spans="1:17" x14ac:dyDescent="0.3">
      <c r="A2414" s="12" t="s">
        <v>94</v>
      </c>
      <c r="B2414" s="12" t="s">
        <v>179</v>
      </c>
      <c r="C2414" s="12" t="s">
        <v>123</v>
      </c>
      <c r="D2414" s="12" t="s">
        <v>116</v>
      </c>
      <c r="E2414" s="12" t="s">
        <v>184</v>
      </c>
      <c r="F2414" s="12">
        <v>196.98</v>
      </c>
      <c r="G2414" s="12">
        <v>196.98</v>
      </c>
      <c r="H2414" s="12">
        <v>0</v>
      </c>
    </row>
    <row r="2415" spans="1:17" x14ac:dyDescent="0.3">
      <c r="A2415" s="12" t="s">
        <v>94</v>
      </c>
      <c r="B2415" s="12" t="s">
        <v>179</v>
      </c>
      <c r="C2415" s="12" t="s">
        <v>123</v>
      </c>
      <c r="D2415" s="12" t="s">
        <v>186</v>
      </c>
      <c r="E2415" s="12" t="s">
        <v>184</v>
      </c>
      <c r="F2415" s="12">
        <v>-16598.75</v>
      </c>
      <c r="G2415" s="12">
        <v>0</v>
      </c>
      <c r="H2415" s="12">
        <v>-16598.75</v>
      </c>
    </row>
    <row r="2416" spans="1:17" x14ac:dyDescent="0.3">
      <c r="A2416" s="12" t="s">
        <v>94</v>
      </c>
      <c r="B2416" s="12" t="s">
        <v>179</v>
      </c>
      <c r="C2416" s="12" t="s">
        <v>123</v>
      </c>
      <c r="D2416" s="12" t="s">
        <v>187</v>
      </c>
      <c r="E2416" s="12" t="s">
        <v>184</v>
      </c>
      <c r="F2416" s="12">
        <v>173024.29500000001</v>
      </c>
      <c r="G2416" s="12">
        <v>173024.29500000001</v>
      </c>
      <c r="H2416" s="12">
        <v>0</v>
      </c>
    </row>
    <row r="2417" spans="1:15" x14ac:dyDescent="0.3">
      <c r="A2417" s="12" t="s">
        <v>94</v>
      </c>
      <c r="B2417" s="12" t="s">
        <v>179</v>
      </c>
      <c r="C2417" s="12" t="s">
        <v>123</v>
      </c>
      <c r="D2417" s="12" t="s">
        <v>188</v>
      </c>
      <c r="E2417" s="12" t="s">
        <v>184</v>
      </c>
      <c r="F2417" s="12">
        <v>-169079.58499999999</v>
      </c>
      <c r="G2417" s="12">
        <v>-169079.58499999999</v>
      </c>
      <c r="H2417" s="12">
        <v>0</v>
      </c>
    </row>
    <row r="2418" spans="1:15" x14ac:dyDescent="0.3">
      <c r="A2418" s="12" t="s">
        <v>94</v>
      </c>
      <c r="B2418" s="12" t="s">
        <v>179</v>
      </c>
      <c r="C2418" s="12" t="s">
        <v>123</v>
      </c>
      <c r="D2418" s="12" t="s">
        <v>158</v>
      </c>
      <c r="E2418" s="12" t="s">
        <v>184</v>
      </c>
      <c r="F2418" s="12">
        <v>-235.53</v>
      </c>
      <c r="G2418" s="12">
        <v>-235.53</v>
      </c>
      <c r="H2418" s="12">
        <v>0</v>
      </c>
    </row>
    <row r="2419" spans="1:15" x14ac:dyDescent="0.3">
      <c r="A2419" s="12" t="s">
        <v>94</v>
      </c>
      <c r="B2419" s="12" t="s">
        <v>179</v>
      </c>
      <c r="C2419" s="12" t="s">
        <v>123</v>
      </c>
      <c r="D2419" s="12" t="s">
        <v>189</v>
      </c>
      <c r="E2419" s="12" t="s">
        <v>184</v>
      </c>
      <c r="F2419" s="12">
        <v>48577.981124999998</v>
      </c>
      <c r="G2419" s="12">
        <v>22073.901125</v>
      </c>
      <c r="H2419" s="12">
        <v>26504.080000000002</v>
      </c>
    </row>
    <row r="2420" spans="1:15" x14ac:dyDescent="0.3">
      <c r="A2420" s="12" t="s">
        <v>94</v>
      </c>
      <c r="B2420" s="12" t="s">
        <v>179</v>
      </c>
      <c r="C2420" s="12" t="s">
        <v>123</v>
      </c>
      <c r="D2420" s="12" t="s">
        <v>190</v>
      </c>
      <c r="E2420" s="12" t="s">
        <v>184</v>
      </c>
      <c r="F2420" s="12">
        <v>58051.681125000003</v>
      </c>
      <c r="G2420" s="12">
        <v>33589.101125000001</v>
      </c>
      <c r="H2420" s="12">
        <v>24462.58</v>
      </c>
    </row>
    <row r="2421" spans="1:15" x14ac:dyDescent="0.3">
      <c r="A2421" s="12" t="s">
        <v>94</v>
      </c>
      <c r="B2421" s="12" t="s">
        <v>191</v>
      </c>
      <c r="C2421" s="12" t="s">
        <v>120</v>
      </c>
      <c r="D2421" s="12" t="s">
        <v>192</v>
      </c>
      <c r="E2421" s="12" t="s">
        <v>100</v>
      </c>
      <c r="F2421" s="12" t="s">
        <v>181</v>
      </c>
      <c r="G2421" s="12" t="s">
        <v>0</v>
      </c>
      <c r="H2421" s="12" t="s">
        <v>193</v>
      </c>
      <c r="I2421" s="12" t="s">
        <v>194</v>
      </c>
      <c r="J2421" s="12" t="s">
        <v>195</v>
      </c>
      <c r="K2421" s="12" t="s">
        <v>196</v>
      </c>
      <c r="L2421" s="12" t="s">
        <v>197</v>
      </c>
      <c r="M2421" s="12" t="s">
        <v>198</v>
      </c>
      <c r="N2421" s="12" t="s">
        <v>199</v>
      </c>
      <c r="O2421" s="12" t="s">
        <v>165</v>
      </c>
    </row>
    <row r="2422" spans="1:15" x14ac:dyDescent="0.3">
      <c r="A2422" s="12" t="s">
        <v>94</v>
      </c>
      <c r="B2422" s="12" t="s">
        <v>191</v>
      </c>
      <c r="C2422" s="12" t="s">
        <v>123</v>
      </c>
      <c r="D2422" s="12" t="s">
        <v>200</v>
      </c>
      <c r="E2422" s="12" t="s">
        <v>110</v>
      </c>
      <c r="F2422" s="12" t="s">
        <v>114</v>
      </c>
      <c r="G2422" s="12" t="s">
        <v>2</v>
      </c>
      <c r="H2422" s="12">
        <v>72</v>
      </c>
      <c r="I2422" s="12">
        <v>1</v>
      </c>
      <c r="J2422" s="12">
        <v>183.47499999999999</v>
      </c>
      <c r="K2422" s="12">
        <v>13210.2</v>
      </c>
      <c r="L2422" s="12">
        <v>210.62</v>
      </c>
      <c r="M2422" s="12">
        <v>15164.64</v>
      </c>
      <c r="N2422" s="12">
        <v>1954.44</v>
      </c>
    </row>
    <row r="2423" spans="1:15" x14ac:dyDescent="0.3">
      <c r="A2423" s="12" t="s">
        <v>94</v>
      </c>
      <c r="B2423" s="12" t="s">
        <v>191</v>
      </c>
      <c r="C2423" s="12" t="s">
        <v>123</v>
      </c>
      <c r="D2423" s="12" t="s">
        <v>200</v>
      </c>
      <c r="E2423" s="12" t="s">
        <v>110</v>
      </c>
      <c r="F2423" s="12" t="s">
        <v>114</v>
      </c>
      <c r="G2423" s="12" t="s">
        <v>63</v>
      </c>
      <c r="H2423" s="12">
        <v>55</v>
      </c>
      <c r="I2423" s="12">
        <v>1</v>
      </c>
      <c r="J2423" s="12">
        <v>98.94</v>
      </c>
      <c r="K2423" s="12">
        <v>5441.7</v>
      </c>
      <c r="L2423" s="12">
        <v>100.89</v>
      </c>
      <c r="M2423" s="12">
        <v>5548.95</v>
      </c>
      <c r="N2423" s="12">
        <v>107.25</v>
      </c>
    </row>
    <row r="2424" spans="1:15" x14ac:dyDescent="0.3">
      <c r="A2424" s="12" t="s">
        <v>94</v>
      </c>
      <c r="B2424" s="12" t="s">
        <v>191</v>
      </c>
      <c r="C2424" s="12" t="s">
        <v>123</v>
      </c>
      <c r="D2424" s="12" t="s">
        <v>200</v>
      </c>
      <c r="E2424" s="12" t="s">
        <v>110</v>
      </c>
      <c r="F2424" s="12" t="s">
        <v>114</v>
      </c>
      <c r="G2424" s="12" t="s">
        <v>64</v>
      </c>
      <c r="H2424" s="12">
        <v>23</v>
      </c>
      <c r="I2424" s="12">
        <v>1</v>
      </c>
      <c r="J2424" s="12">
        <v>232.53</v>
      </c>
      <c r="K2424" s="12">
        <v>5348.19</v>
      </c>
      <c r="L2424" s="12">
        <v>228.26</v>
      </c>
      <c r="M2424" s="12">
        <v>5249.98</v>
      </c>
      <c r="N2424" s="12">
        <v>-98.21</v>
      </c>
    </row>
    <row r="2425" spans="1:15" x14ac:dyDescent="0.3">
      <c r="A2425" s="12" t="s">
        <v>94</v>
      </c>
      <c r="B2425" s="12" t="s">
        <v>191</v>
      </c>
      <c r="C2425" s="12" t="s">
        <v>123</v>
      </c>
      <c r="D2425" s="12" t="s">
        <v>200</v>
      </c>
      <c r="E2425" s="12" t="s">
        <v>110</v>
      </c>
      <c r="F2425" s="12" t="s">
        <v>114</v>
      </c>
      <c r="G2425" s="12" t="s">
        <v>45</v>
      </c>
      <c r="H2425" s="12">
        <v>30</v>
      </c>
      <c r="I2425" s="12">
        <v>1</v>
      </c>
      <c r="J2425" s="12">
        <v>162.88499999999999</v>
      </c>
      <c r="K2425" s="12">
        <v>4886.55</v>
      </c>
      <c r="L2425" s="12">
        <v>162.21</v>
      </c>
      <c r="M2425" s="12">
        <v>4866.3</v>
      </c>
      <c r="N2425" s="12">
        <v>-20.25</v>
      </c>
    </row>
    <row r="2426" spans="1:15" x14ac:dyDescent="0.3">
      <c r="A2426" s="12" t="s">
        <v>94</v>
      </c>
      <c r="B2426" s="12" t="s">
        <v>191</v>
      </c>
      <c r="C2426" s="12" t="s">
        <v>123</v>
      </c>
      <c r="D2426" s="12" t="s">
        <v>200</v>
      </c>
      <c r="E2426" s="12" t="s">
        <v>110</v>
      </c>
      <c r="F2426" s="12" t="s">
        <v>114</v>
      </c>
      <c r="G2426" s="12" t="s">
        <v>5</v>
      </c>
      <c r="H2426" s="12">
        <v>78</v>
      </c>
      <c r="I2426" s="12">
        <v>1</v>
      </c>
      <c r="J2426" s="12">
        <v>185.42</v>
      </c>
      <c r="K2426" s="12">
        <v>14462.76</v>
      </c>
      <c r="L2426" s="12">
        <v>193.25</v>
      </c>
      <c r="M2426" s="12">
        <v>15073.5</v>
      </c>
      <c r="N2426" s="12">
        <v>610.74</v>
      </c>
    </row>
    <row r="2427" spans="1:15" x14ac:dyDescent="0.3">
      <c r="A2427" s="12" t="s">
        <v>94</v>
      </c>
      <c r="B2427" s="12" t="s">
        <v>191</v>
      </c>
      <c r="C2427" s="12" t="s">
        <v>123</v>
      </c>
      <c r="D2427" s="12" t="s">
        <v>200</v>
      </c>
      <c r="E2427" s="12" t="s">
        <v>110</v>
      </c>
      <c r="F2427" s="12" t="s">
        <v>114</v>
      </c>
      <c r="G2427" s="12" t="s">
        <v>65</v>
      </c>
      <c r="H2427" s="12">
        <v>70</v>
      </c>
      <c r="I2427" s="12">
        <v>1</v>
      </c>
      <c r="J2427" s="12">
        <v>65.165000000000006</v>
      </c>
      <c r="K2427" s="12">
        <v>4561.55</v>
      </c>
      <c r="L2427" s="12">
        <v>67.37</v>
      </c>
      <c r="M2427" s="12">
        <v>4715.8999999999996</v>
      </c>
      <c r="N2427" s="12">
        <v>154.35</v>
      </c>
    </row>
    <row r="2428" spans="1:15" x14ac:dyDescent="0.3">
      <c r="A2428" s="12" t="s">
        <v>94</v>
      </c>
      <c r="B2428" s="12" t="s">
        <v>191</v>
      </c>
      <c r="C2428" s="12" t="s">
        <v>123</v>
      </c>
      <c r="D2428" s="12" t="s">
        <v>200</v>
      </c>
      <c r="E2428" s="12" t="s">
        <v>110</v>
      </c>
      <c r="F2428" s="12" t="s">
        <v>114</v>
      </c>
      <c r="G2428" s="12" t="s">
        <v>58</v>
      </c>
      <c r="H2428" s="12">
        <v>30</v>
      </c>
      <c r="I2428" s="12">
        <v>1</v>
      </c>
      <c r="J2428" s="12">
        <v>105.48</v>
      </c>
      <c r="K2428" s="12">
        <v>3164.4</v>
      </c>
      <c r="L2428" s="12">
        <v>163.62</v>
      </c>
      <c r="M2428" s="12">
        <v>4908.6000000000004</v>
      </c>
      <c r="N2428" s="12">
        <v>1744.2</v>
      </c>
    </row>
    <row r="2429" spans="1:15" x14ac:dyDescent="0.3">
      <c r="A2429" s="12" t="s">
        <v>94</v>
      </c>
      <c r="B2429" s="12" t="s">
        <v>191</v>
      </c>
      <c r="C2429" s="12" t="s">
        <v>123</v>
      </c>
      <c r="D2429" s="12" t="s">
        <v>200</v>
      </c>
      <c r="E2429" s="12" t="s">
        <v>110</v>
      </c>
      <c r="F2429" s="12" t="s">
        <v>114</v>
      </c>
      <c r="G2429" s="12" t="s">
        <v>7</v>
      </c>
      <c r="H2429" s="12">
        <v>5</v>
      </c>
      <c r="I2429" s="12">
        <v>1</v>
      </c>
      <c r="J2429" s="12">
        <v>1485.1110000000001</v>
      </c>
      <c r="K2429" s="12">
        <v>7425.5550000000003</v>
      </c>
      <c r="L2429" s="12">
        <v>1605.53</v>
      </c>
      <c r="M2429" s="12">
        <v>8027.65</v>
      </c>
      <c r="N2429" s="12">
        <v>602.09500000000003</v>
      </c>
    </row>
    <row r="2430" spans="1:15" x14ac:dyDescent="0.3">
      <c r="A2430" s="12" t="s">
        <v>94</v>
      </c>
      <c r="B2430" s="12" t="s">
        <v>191</v>
      </c>
      <c r="C2430" s="12" t="s">
        <v>123</v>
      </c>
      <c r="D2430" s="12" t="s">
        <v>200</v>
      </c>
      <c r="E2430" s="12" t="s">
        <v>110</v>
      </c>
      <c r="F2430" s="12" t="s">
        <v>114</v>
      </c>
      <c r="G2430" s="12" t="s">
        <v>8</v>
      </c>
      <c r="H2430" s="12">
        <v>291</v>
      </c>
      <c r="I2430" s="12">
        <v>1</v>
      </c>
      <c r="J2430" s="12">
        <v>35.416372914</v>
      </c>
      <c r="K2430" s="12">
        <v>10306.164518</v>
      </c>
      <c r="L2430" s="12">
        <v>39.770000000000003</v>
      </c>
      <c r="M2430" s="12">
        <v>11573.07</v>
      </c>
      <c r="N2430" s="12">
        <v>1266.9054819999999</v>
      </c>
    </row>
    <row r="2431" spans="1:15" x14ac:dyDescent="0.3">
      <c r="A2431" s="12" t="s">
        <v>94</v>
      </c>
      <c r="B2431" s="12" t="s">
        <v>191</v>
      </c>
      <c r="C2431" s="12" t="s">
        <v>123</v>
      </c>
      <c r="D2431" s="12" t="s">
        <v>200</v>
      </c>
      <c r="E2431" s="12" t="s">
        <v>110</v>
      </c>
      <c r="F2431" s="12" t="s">
        <v>114</v>
      </c>
      <c r="G2431" s="12" t="s">
        <v>3</v>
      </c>
      <c r="H2431" s="12">
        <v>166</v>
      </c>
      <c r="I2431" s="12">
        <v>1</v>
      </c>
      <c r="J2431" s="12">
        <v>57.494032885999999</v>
      </c>
      <c r="K2431" s="12">
        <v>9544.0094590000008</v>
      </c>
      <c r="L2431" s="12">
        <v>63.46</v>
      </c>
      <c r="M2431" s="12">
        <v>10534.36</v>
      </c>
      <c r="N2431" s="12">
        <v>990.35054100000002</v>
      </c>
    </row>
    <row r="2432" spans="1:15" x14ac:dyDescent="0.3">
      <c r="A2432" s="12" t="s">
        <v>94</v>
      </c>
      <c r="B2432" s="12" t="s">
        <v>191</v>
      </c>
      <c r="C2432" s="12" t="s">
        <v>123</v>
      </c>
      <c r="D2432" s="12" t="s">
        <v>200</v>
      </c>
      <c r="E2432" s="12" t="s">
        <v>110</v>
      </c>
      <c r="F2432" s="12" t="s">
        <v>114</v>
      </c>
      <c r="G2432" s="12" t="s">
        <v>11</v>
      </c>
      <c r="H2432" s="12">
        <v>5</v>
      </c>
      <c r="I2432" s="12">
        <v>1</v>
      </c>
      <c r="J2432" s="12">
        <v>783.5</v>
      </c>
      <c r="K2432" s="12">
        <v>3917.5</v>
      </c>
      <c r="L2432" s="12">
        <v>849.99</v>
      </c>
      <c r="M2432" s="12">
        <v>4249.95</v>
      </c>
      <c r="N2432" s="12">
        <v>332.45</v>
      </c>
    </row>
    <row r="2433" spans="1:14" x14ac:dyDescent="0.3">
      <c r="A2433" s="12" t="s">
        <v>94</v>
      </c>
      <c r="B2433" s="12" t="s">
        <v>191</v>
      </c>
      <c r="C2433" s="12" t="s">
        <v>123</v>
      </c>
      <c r="D2433" s="12" t="s">
        <v>200</v>
      </c>
      <c r="E2433" s="12" t="s">
        <v>110</v>
      </c>
      <c r="F2433" s="12" t="s">
        <v>114</v>
      </c>
      <c r="G2433" s="12" t="s">
        <v>66</v>
      </c>
      <c r="H2433" s="12">
        <v>65</v>
      </c>
      <c r="I2433" s="12">
        <v>1</v>
      </c>
      <c r="J2433" s="12">
        <v>80.03</v>
      </c>
      <c r="K2433" s="12">
        <v>5201.95</v>
      </c>
      <c r="L2433" s="12">
        <v>80.489999999999995</v>
      </c>
      <c r="M2433" s="12">
        <v>5231.8500000000004</v>
      </c>
      <c r="N2433" s="12">
        <v>29.9</v>
      </c>
    </row>
    <row r="2434" spans="1:14" x14ac:dyDescent="0.3">
      <c r="A2434" s="12" t="s">
        <v>94</v>
      </c>
      <c r="B2434" s="12" t="s">
        <v>191</v>
      </c>
      <c r="C2434" s="12" t="s">
        <v>123</v>
      </c>
      <c r="D2434" s="12" t="s">
        <v>200</v>
      </c>
      <c r="E2434" s="12" t="s">
        <v>110</v>
      </c>
      <c r="F2434" s="12" t="s">
        <v>114</v>
      </c>
      <c r="G2434" s="12" t="s">
        <v>14</v>
      </c>
      <c r="H2434" s="12">
        <v>30</v>
      </c>
      <c r="I2434" s="12">
        <v>1</v>
      </c>
      <c r="J2434" s="12">
        <v>253.11</v>
      </c>
      <c r="K2434" s="12">
        <v>7593.3</v>
      </c>
      <c r="L2434" s="12">
        <v>249.85</v>
      </c>
      <c r="M2434" s="12">
        <v>7495.5</v>
      </c>
      <c r="N2434" s="12">
        <v>-97.8</v>
      </c>
    </row>
    <row r="2435" spans="1:14" x14ac:dyDescent="0.3">
      <c r="A2435" s="12" t="s">
        <v>94</v>
      </c>
      <c r="B2435" s="12" t="s">
        <v>191</v>
      </c>
      <c r="C2435" s="12" t="s">
        <v>123</v>
      </c>
      <c r="D2435" s="12" t="s">
        <v>200</v>
      </c>
      <c r="E2435" s="12" t="s">
        <v>110</v>
      </c>
      <c r="F2435" s="12" t="s">
        <v>114</v>
      </c>
      <c r="G2435" s="12" t="s">
        <v>67</v>
      </c>
      <c r="H2435" s="12">
        <v>20</v>
      </c>
      <c r="I2435" s="12">
        <v>1</v>
      </c>
      <c r="J2435" s="12">
        <v>238.26</v>
      </c>
      <c r="K2435" s="12">
        <v>4765.2</v>
      </c>
      <c r="L2435" s="12">
        <v>238</v>
      </c>
      <c r="M2435" s="12">
        <v>4760</v>
      </c>
      <c r="N2435" s="12">
        <v>-5.2</v>
      </c>
    </row>
    <row r="2436" spans="1:14" x14ac:dyDescent="0.3">
      <c r="A2436" s="12" t="s">
        <v>94</v>
      </c>
      <c r="B2436" s="12" t="s">
        <v>191</v>
      </c>
      <c r="C2436" s="12" t="s">
        <v>123</v>
      </c>
      <c r="D2436" s="12" t="s">
        <v>200</v>
      </c>
      <c r="E2436" s="12" t="s">
        <v>110</v>
      </c>
      <c r="F2436" s="12" t="s">
        <v>114</v>
      </c>
      <c r="G2436" s="12" t="s">
        <v>68</v>
      </c>
      <c r="H2436" s="12">
        <v>30</v>
      </c>
      <c r="I2436" s="12">
        <v>1</v>
      </c>
      <c r="J2436" s="12">
        <v>225</v>
      </c>
      <c r="K2436" s="12">
        <v>6750</v>
      </c>
      <c r="L2436" s="12">
        <v>225.46</v>
      </c>
      <c r="M2436" s="12">
        <v>6763.8</v>
      </c>
      <c r="N2436" s="12">
        <v>13.8</v>
      </c>
    </row>
    <row r="2437" spans="1:14" x14ac:dyDescent="0.3">
      <c r="A2437" s="12" t="s">
        <v>94</v>
      </c>
      <c r="B2437" s="12" t="s">
        <v>191</v>
      </c>
      <c r="C2437" s="12" t="s">
        <v>123</v>
      </c>
      <c r="D2437" s="12" t="s">
        <v>200</v>
      </c>
      <c r="E2437" s="12" t="s">
        <v>110</v>
      </c>
      <c r="F2437" s="12" t="s">
        <v>114</v>
      </c>
      <c r="G2437" s="12" t="s">
        <v>18</v>
      </c>
      <c r="H2437" s="12">
        <v>30</v>
      </c>
      <c r="I2437" s="12">
        <v>1</v>
      </c>
      <c r="J2437" s="12">
        <v>275.63499999999999</v>
      </c>
      <c r="K2437" s="12">
        <v>8269.0499999999993</v>
      </c>
      <c r="L2437" s="12">
        <v>290.14</v>
      </c>
      <c r="M2437" s="12">
        <v>8704.2000000000007</v>
      </c>
      <c r="N2437" s="12">
        <v>435.15</v>
      </c>
    </row>
    <row r="2438" spans="1:14" x14ac:dyDescent="0.3">
      <c r="A2438" s="12" t="s">
        <v>94</v>
      </c>
      <c r="B2438" s="12" t="s">
        <v>191</v>
      </c>
      <c r="C2438" s="12" t="s">
        <v>123</v>
      </c>
      <c r="D2438" s="12" t="s">
        <v>200</v>
      </c>
      <c r="E2438" s="12" t="s">
        <v>110</v>
      </c>
      <c r="F2438" s="12" t="s">
        <v>114</v>
      </c>
      <c r="G2438" s="12" t="s">
        <v>48</v>
      </c>
      <c r="H2438" s="12">
        <v>45</v>
      </c>
      <c r="I2438" s="12">
        <v>1</v>
      </c>
      <c r="J2438" s="12">
        <v>162.23222222199999</v>
      </c>
      <c r="K2438" s="12">
        <v>7300.45</v>
      </c>
      <c r="L2438" s="12">
        <v>158.97</v>
      </c>
      <c r="M2438" s="12">
        <v>7153.65</v>
      </c>
      <c r="N2438" s="12">
        <v>-146.80000000000001</v>
      </c>
    </row>
    <row r="2439" spans="1:14" x14ac:dyDescent="0.3">
      <c r="A2439" s="12" t="s">
        <v>94</v>
      </c>
      <c r="B2439" s="12" t="s">
        <v>191</v>
      </c>
      <c r="C2439" s="12" t="s">
        <v>123</v>
      </c>
      <c r="D2439" s="12" t="s">
        <v>200</v>
      </c>
      <c r="E2439" s="12" t="s">
        <v>110</v>
      </c>
      <c r="F2439" s="12" t="s">
        <v>114</v>
      </c>
      <c r="G2439" s="12" t="s">
        <v>54</v>
      </c>
      <c r="H2439" s="12">
        <v>26</v>
      </c>
      <c r="I2439" s="12">
        <v>1</v>
      </c>
      <c r="J2439" s="12">
        <v>169.86</v>
      </c>
      <c r="K2439" s="12">
        <v>4416.3599999999997</v>
      </c>
      <c r="L2439" s="12">
        <v>171.51</v>
      </c>
      <c r="M2439" s="12">
        <v>4459.26</v>
      </c>
      <c r="N2439" s="12">
        <v>42.9</v>
      </c>
    </row>
    <row r="2440" spans="1:14" x14ac:dyDescent="0.3">
      <c r="A2440" s="12" t="s">
        <v>94</v>
      </c>
      <c r="B2440" s="12" t="s">
        <v>191</v>
      </c>
      <c r="C2440" s="12" t="s">
        <v>123</v>
      </c>
      <c r="D2440" s="12" t="s">
        <v>200</v>
      </c>
      <c r="E2440" s="12" t="s">
        <v>110</v>
      </c>
      <c r="F2440" s="12" t="s">
        <v>114</v>
      </c>
      <c r="G2440" s="12" t="s">
        <v>19</v>
      </c>
      <c r="H2440" s="12">
        <v>64</v>
      </c>
      <c r="I2440" s="12">
        <v>1</v>
      </c>
      <c r="J2440" s="12">
        <v>167.34535714099999</v>
      </c>
      <c r="K2440" s="12">
        <v>10710.102857</v>
      </c>
      <c r="L2440" s="12">
        <v>182.15</v>
      </c>
      <c r="M2440" s="12">
        <v>11657.6</v>
      </c>
      <c r="N2440" s="12">
        <v>947.49714300000005</v>
      </c>
    </row>
    <row r="2441" spans="1:14" x14ac:dyDescent="0.3">
      <c r="A2441" s="12" t="s">
        <v>94</v>
      </c>
      <c r="B2441" s="12" t="s">
        <v>191</v>
      </c>
      <c r="C2441" s="12" t="s">
        <v>123</v>
      </c>
      <c r="D2441" s="12" t="s">
        <v>200</v>
      </c>
      <c r="E2441" s="12" t="s">
        <v>110</v>
      </c>
      <c r="F2441" s="12" t="s">
        <v>114</v>
      </c>
      <c r="G2441" s="12" t="s">
        <v>69</v>
      </c>
      <c r="H2441" s="12">
        <v>15</v>
      </c>
      <c r="I2441" s="12">
        <v>1</v>
      </c>
      <c r="J2441" s="12">
        <v>334.95</v>
      </c>
      <c r="K2441" s="12">
        <v>5024.25</v>
      </c>
      <c r="L2441" s="12">
        <v>321.27999999999997</v>
      </c>
      <c r="M2441" s="12">
        <v>4819.2</v>
      </c>
      <c r="N2441" s="12">
        <v>-205.05</v>
      </c>
    </row>
    <row r="2442" spans="1:14" x14ac:dyDescent="0.3">
      <c r="A2442" s="12" t="s">
        <v>94</v>
      </c>
      <c r="B2442" s="12" t="s">
        <v>191</v>
      </c>
      <c r="C2442" s="12" t="s">
        <v>123</v>
      </c>
      <c r="D2442" s="12" t="s">
        <v>200</v>
      </c>
      <c r="E2442" s="12" t="s">
        <v>110</v>
      </c>
      <c r="F2442" s="12" t="s">
        <v>114</v>
      </c>
      <c r="G2442" s="12" t="s">
        <v>20</v>
      </c>
      <c r="H2442" s="12">
        <v>31</v>
      </c>
      <c r="I2442" s="12">
        <v>1</v>
      </c>
      <c r="J2442" s="12">
        <v>344.01838709700002</v>
      </c>
      <c r="K2442" s="12">
        <v>10664.57</v>
      </c>
      <c r="L2442" s="12">
        <v>344.24</v>
      </c>
      <c r="M2442" s="12">
        <v>10671.44</v>
      </c>
      <c r="N2442" s="12">
        <v>6.87</v>
      </c>
    </row>
    <row r="2443" spans="1:14" x14ac:dyDescent="0.3">
      <c r="A2443" s="12" t="s">
        <v>94</v>
      </c>
      <c r="B2443" s="12" t="s">
        <v>191</v>
      </c>
      <c r="C2443" s="12" t="s">
        <v>123</v>
      </c>
      <c r="D2443" s="12" t="s">
        <v>200</v>
      </c>
      <c r="E2443" s="12" t="s">
        <v>110</v>
      </c>
      <c r="F2443" s="12" t="s">
        <v>114</v>
      </c>
      <c r="G2443" s="12" t="s">
        <v>22</v>
      </c>
      <c r="H2443" s="12">
        <v>83</v>
      </c>
      <c r="I2443" s="12">
        <v>1</v>
      </c>
      <c r="J2443" s="12">
        <v>60.662999999999997</v>
      </c>
      <c r="K2443" s="12">
        <v>5035.0290000000005</v>
      </c>
      <c r="L2443" s="12">
        <v>77.63</v>
      </c>
      <c r="M2443" s="12">
        <v>6443.29</v>
      </c>
      <c r="N2443" s="12">
        <v>1408.261</v>
      </c>
    </row>
    <row r="2444" spans="1:14" x14ac:dyDescent="0.3">
      <c r="A2444" s="12" t="s">
        <v>94</v>
      </c>
      <c r="B2444" s="12" t="s">
        <v>191</v>
      </c>
      <c r="C2444" s="12" t="s">
        <v>123</v>
      </c>
      <c r="D2444" s="12" t="s">
        <v>200</v>
      </c>
      <c r="E2444" s="12" t="s">
        <v>110</v>
      </c>
      <c r="F2444" s="12" t="s">
        <v>114</v>
      </c>
      <c r="G2444" s="12" t="s">
        <v>37</v>
      </c>
      <c r="H2444" s="12">
        <v>15</v>
      </c>
      <c r="I2444" s="12">
        <v>1</v>
      </c>
      <c r="J2444" s="12">
        <v>173.02166666700001</v>
      </c>
      <c r="K2444" s="12">
        <v>2595.3249999999998</v>
      </c>
      <c r="L2444" s="12">
        <v>172.95</v>
      </c>
      <c r="M2444" s="12">
        <v>2594.25</v>
      </c>
      <c r="N2444" s="12">
        <v>-1.075</v>
      </c>
    </row>
    <row r="2445" spans="1:14" x14ac:dyDescent="0.3">
      <c r="A2445" s="12" t="s">
        <v>94</v>
      </c>
      <c r="B2445" s="12" t="s">
        <v>191</v>
      </c>
      <c r="C2445" s="12" t="s">
        <v>123</v>
      </c>
      <c r="D2445" s="12" t="s">
        <v>200</v>
      </c>
      <c r="E2445" s="12" t="s">
        <v>110</v>
      </c>
      <c r="F2445" s="12" t="s">
        <v>114</v>
      </c>
      <c r="G2445" s="12" t="s">
        <v>24</v>
      </c>
      <c r="H2445" s="12">
        <v>50</v>
      </c>
      <c r="I2445" s="12">
        <v>1</v>
      </c>
      <c r="J2445" s="12">
        <v>80.665750000000003</v>
      </c>
      <c r="K2445" s="12">
        <v>4033.2874999999999</v>
      </c>
      <c r="L2445" s="12">
        <v>90.84</v>
      </c>
      <c r="M2445" s="12">
        <v>4542</v>
      </c>
      <c r="N2445" s="12">
        <v>508.71249999999998</v>
      </c>
    </row>
    <row r="2446" spans="1:14" x14ac:dyDescent="0.3">
      <c r="A2446" s="12" t="s">
        <v>94</v>
      </c>
      <c r="B2446" s="12" t="s">
        <v>191</v>
      </c>
      <c r="C2446" s="12" t="s">
        <v>123</v>
      </c>
      <c r="D2446" s="12" t="s">
        <v>200</v>
      </c>
      <c r="E2446" s="12" t="s">
        <v>110</v>
      </c>
      <c r="F2446" s="12" t="s">
        <v>114</v>
      </c>
      <c r="G2446" s="12" t="s">
        <v>70</v>
      </c>
      <c r="H2446" s="12">
        <v>25</v>
      </c>
      <c r="I2446" s="12">
        <v>1</v>
      </c>
      <c r="J2446" s="12">
        <v>195.59</v>
      </c>
      <c r="K2446" s="12">
        <v>4889.75</v>
      </c>
      <c r="L2446" s="12">
        <v>202.26</v>
      </c>
      <c r="M2446" s="12">
        <v>5056.5</v>
      </c>
      <c r="N2446" s="12">
        <v>166.75</v>
      </c>
    </row>
    <row r="2447" spans="1:14" x14ac:dyDescent="0.3">
      <c r="A2447" s="12" t="s">
        <v>94</v>
      </c>
      <c r="B2447" s="12" t="s">
        <v>191</v>
      </c>
      <c r="C2447" s="12" t="s">
        <v>123</v>
      </c>
      <c r="D2447" s="12" t="s">
        <v>200</v>
      </c>
      <c r="E2447" s="12" t="s">
        <v>110</v>
      </c>
      <c r="F2447" s="12" t="s">
        <v>114</v>
      </c>
      <c r="G2447" s="12" t="s">
        <v>49</v>
      </c>
      <c r="H2447" s="12">
        <v>10</v>
      </c>
      <c r="I2447" s="12">
        <v>1</v>
      </c>
      <c r="J2447" s="12">
        <v>760.73800000000006</v>
      </c>
      <c r="K2447" s="12">
        <v>7607.38</v>
      </c>
      <c r="L2447" s="12">
        <v>905.38</v>
      </c>
      <c r="M2447" s="12">
        <v>9053.7999999999993</v>
      </c>
      <c r="N2447" s="12">
        <v>1446.42</v>
      </c>
    </row>
    <row r="2448" spans="1:14" x14ac:dyDescent="0.3">
      <c r="A2448" s="12" t="s">
        <v>94</v>
      </c>
      <c r="B2448" s="12" t="s">
        <v>191</v>
      </c>
      <c r="C2448" s="12" t="s">
        <v>123</v>
      </c>
      <c r="D2448" s="12" t="s">
        <v>200</v>
      </c>
      <c r="E2448" s="12" t="s">
        <v>110</v>
      </c>
      <c r="F2448" s="12" t="s">
        <v>114</v>
      </c>
      <c r="G2448" s="12" t="s">
        <v>27</v>
      </c>
      <c r="H2448" s="12">
        <v>30</v>
      </c>
      <c r="I2448" s="12">
        <v>1</v>
      </c>
      <c r="J2448" s="12">
        <v>482.186666667</v>
      </c>
      <c r="K2448" s="12">
        <v>14465.6</v>
      </c>
      <c r="L2448" s="12">
        <v>504.22</v>
      </c>
      <c r="M2448" s="12">
        <v>15126.6</v>
      </c>
      <c r="N2448" s="12">
        <v>661</v>
      </c>
    </row>
    <row r="2449" spans="1:14" x14ac:dyDescent="0.3">
      <c r="A2449" s="12" t="s">
        <v>94</v>
      </c>
      <c r="B2449" s="12" t="s">
        <v>191</v>
      </c>
      <c r="C2449" s="12" t="s">
        <v>123</v>
      </c>
      <c r="D2449" s="12" t="s">
        <v>200</v>
      </c>
      <c r="E2449" s="12" t="s">
        <v>110</v>
      </c>
      <c r="F2449" s="12" t="s">
        <v>114</v>
      </c>
      <c r="G2449" s="12" t="s">
        <v>28</v>
      </c>
      <c r="H2449" s="12">
        <v>49</v>
      </c>
      <c r="I2449" s="12">
        <v>1</v>
      </c>
      <c r="J2449" s="12">
        <v>381.51555185699999</v>
      </c>
      <c r="K2449" s="12">
        <v>18694.262041000002</v>
      </c>
      <c r="L2449" s="12">
        <v>446.95</v>
      </c>
      <c r="M2449" s="12">
        <v>21900.55</v>
      </c>
      <c r="N2449" s="12">
        <v>3206.2879589999998</v>
      </c>
    </row>
    <row r="2450" spans="1:14" x14ac:dyDescent="0.3">
      <c r="A2450" s="12" t="s">
        <v>94</v>
      </c>
      <c r="B2450" s="12" t="s">
        <v>191</v>
      </c>
      <c r="C2450" s="12" t="s">
        <v>123</v>
      </c>
      <c r="D2450" s="12" t="s">
        <v>200</v>
      </c>
      <c r="E2450" s="12" t="s">
        <v>110</v>
      </c>
      <c r="F2450" s="12" t="s">
        <v>114</v>
      </c>
      <c r="G2450" s="12" t="s">
        <v>55</v>
      </c>
      <c r="H2450" s="12">
        <v>80</v>
      </c>
      <c r="I2450" s="12">
        <v>1</v>
      </c>
      <c r="J2450" s="12">
        <v>121.50275000000001</v>
      </c>
      <c r="K2450" s="12">
        <v>9720.2199999999993</v>
      </c>
      <c r="L2450" s="12">
        <v>131.53</v>
      </c>
      <c r="M2450" s="12">
        <v>10522.4</v>
      </c>
      <c r="N2450" s="12">
        <v>802.18</v>
      </c>
    </row>
    <row r="2451" spans="1:14" x14ac:dyDescent="0.3">
      <c r="A2451" s="12" t="s">
        <v>94</v>
      </c>
      <c r="B2451" s="12" t="s">
        <v>191</v>
      </c>
      <c r="C2451" s="12" t="s">
        <v>123</v>
      </c>
      <c r="D2451" s="12" t="s">
        <v>200</v>
      </c>
      <c r="E2451" s="12" t="s">
        <v>110</v>
      </c>
      <c r="F2451" s="12" t="s">
        <v>114</v>
      </c>
      <c r="G2451" s="12" t="s">
        <v>50</v>
      </c>
      <c r="H2451" s="12">
        <v>7</v>
      </c>
      <c r="I2451" s="12">
        <v>1</v>
      </c>
      <c r="J2451" s="12">
        <v>739.34285714299995</v>
      </c>
      <c r="K2451" s="12">
        <v>5175.3999999999996</v>
      </c>
      <c r="L2451" s="12">
        <v>786.67</v>
      </c>
      <c r="M2451" s="12">
        <v>5506.69</v>
      </c>
      <c r="N2451" s="12">
        <v>331.29</v>
      </c>
    </row>
    <row r="2452" spans="1:14" x14ac:dyDescent="0.3">
      <c r="A2452" s="12" t="s">
        <v>94</v>
      </c>
      <c r="B2452" s="12" t="s">
        <v>191</v>
      </c>
      <c r="C2452" s="12" t="s">
        <v>123</v>
      </c>
      <c r="D2452" s="12" t="s">
        <v>200</v>
      </c>
      <c r="E2452" s="12" t="s">
        <v>110</v>
      </c>
      <c r="F2452" s="12" t="s">
        <v>114</v>
      </c>
      <c r="G2452" s="12" t="s">
        <v>71</v>
      </c>
      <c r="H2452" s="12">
        <v>100</v>
      </c>
      <c r="I2452" s="12">
        <v>1</v>
      </c>
      <c r="J2452" s="12">
        <v>126</v>
      </c>
      <c r="K2452" s="12">
        <v>12600</v>
      </c>
      <c r="L2452" s="12">
        <v>123.54</v>
      </c>
      <c r="M2452" s="12">
        <v>12354</v>
      </c>
      <c r="N2452" s="12">
        <v>-246</v>
      </c>
    </row>
    <row r="2453" spans="1:14" x14ac:dyDescent="0.3">
      <c r="A2453" s="12" t="s">
        <v>94</v>
      </c>
      <c r="B2453" s="12" t="s">
        <v>191</v>
      </c>
      <c r="C2453" s="12" t="s">
        <v>123</v>
      </c>
      <c r="D2453" s="12" t="s">
        <v>200</v>
      </c>
      <c r="E2453" s="12" t="s">
        <v>110</v>
      </c>
      <c r="F2453" s="12" t="s">
        <v>114</v>
      </c>
      <c r="G2453" s="12" t="s">
        <v>56</v>
      </c>
      <c r="H2453" s="12">
        <v>50</v>
      </c>
      <c r="I2453" s="12">
        <v>1</v>
      </c>
      <c r="J2453" s="12">
        <v>126.538</v>
      </c>
      <c r="K2453" s="12">
        <v>6326.9</v>
      </c>
      <c r="L2453" s="12">
        <v>142.74</v>
      </c>
      <c r="M2453" s="12">
        <v>7137</v>
      </c>
      <c r="N2453" s="12">
        <v>810.1</v>
      </c>
    </row>
    <row r="2454" spans="1:14" x14ac:dyDescent="0.3">
      <c r="A2454" s="12" t="s">
        <v>94</v>
      </c>
      <c r="B2454" s="12" t="s">
        <v>191</v>
      </c>
      <c r="C2454" s="12" t="s">
        <v>123</v>
      </c>
      <c r="D2454" s="12" t="s">
        <v>200</v>
      </c>
      <c r="E2454" s="12" t="s">
        <v>110</v>
      </c>
      <c r="F2454" s="12" t="s">
        <v>114</v>
      </c>
      <c r="G2454" s="12" t="s">
        <v>72</v>
      </c>
      <c r="H2454" s="12">
        <v>18</v>
      </c>
      <c r="I2454" s="12">
        <v>1</v>
      </c>
      <c r="J2454" s="12">
        <v>266.54000000000002</v>
      </c>
      <c r="K2454" s="12">
        <v>4797.72</v>
      </c>
      <c r="L2454" s="12">
        <v>269.08999999999997</v>
      </c>
      <c r="M2454" s="12">
        <v>4843.62</v>
      </c>
      <c r="N2454" s="12">
        <v>45.9</v>
      </c>
    </row>
    <row r="2455" spans="1:14" x14ac:dyDescent="0.3">
      <c r="A2455" s="12" t="s">
        <v>94</v>
      </c>
      <c r="B2455" s="12" t="s">
        <v>191</v>
      </c>
      <c r="C2455" s="12" t="s">
        <v>123</v>
      </c>
      <c r="D2455" s="12" t="s">
        <v>200</v>
      </c>
      <c r="E2455" s="12" t="s">
        <v>110</v>
      </c>
      <c r="F2455" s="12" t="s">
        <v>114</v>
      </c>
      <c r="G2455" s="12" t="s">
        <v>29</v>
      </c>
      <c r="H2455" s="12">
        <v>15</v>
      </c>
      <c r="I2455" s="12">
        <v>1</v>
      </c>
      <c r="J2455" s="12">
        <v>297.58</v>
      </c>
      <c r="K2455" s="12">
        <v>4463.7</v>
      </c>
      <c r="L2455" s="12">
        <v>339.01</v>
      </c>
      <c r="M2455" s="12">
        <v>5085.1499999999996</v>
      </c>
      <c r="N2455" s="12">
        <v>621.45000000000005</v>
      </c>
    </row>
    <row r="2456" spans="1:14" x14ac:dyDescent="0.3">
      <c r="A2456" s="12" t="s">
        <v>94</v>
      </c>
      <c r="B2456" s="12" t="s">
        <v>191</v>
      </c>
      <c r="C2456" s="12" t="s">
        <v>123</v>
      </c>
      <c r="D2456" s="12" t="s">
        <v>200</v>
      </c>
      <c r="E2456" s="12" t="s">
        <v>110</v>
      </c>
      <c r="F2456" s="12" t="s">
        <v>114</v>
      </c>
      <c r="G2456" s="12" t="s">
        <v>73</v>
      </c>
      <c r="H2456" s="12">
        <v>20</v>
      </c>
      <c r="I2456" s="12">
        <v>1</v>
      </c>
      <c r="J2456" s="12">
        <v>137.78</v>
      </c>
      <c r="K2456" s="12">
        <v>2755.6</v>
      </c>
      <c r="L2456" s="12">
        <v>141.16999999999999</v>
      </c>
      <c r="M2456" s="12">
        <v>2823.4</v>
      </c>
      <c r="N2456" s="12">
        <v>67.8</v>
      </c>
    </row>
    <row r="2457" spans="1:14" x14ac:dyDescent="0.3">
      <c r="A2457" s="12" t="s">
        <v>94</v>
      </c>
      <c r="B2457" s="12" t="s">
        <v>191</v>
      </c>
      <c r="C2457" s="12" t="s">
        <v>123</v>
      </c>
      <c r="D2457" s="12" t="s">
        <v>200</v>
      </c>
      <c r="E2457" s="12" t="s">
        <v>110</v>
      </c>
      <c r="F2457" s="12" t="s">
        <v>114</v>
      </c>
      <c r="G2457" s="12" t="s">
        <v>74</v>
      </c>
      <c r="H2457" s="12">
        <v>10</v>
      </c>
      <c r="I2457" s="12">
        <v>1</v>
      </c>
      <c r="J2457" s="12">
        <v>271.81</v>
      </c>
      <c r="K2457" s="12">
        <v>2718.1</v>
      </c>
      <c r="L2457" s="12">
        <v>254.09</v>
      </c>
      <c r="M2457" s="12">
        <v>2540.9</v>
      </c>
      <c r="N2457" s="12">
        <v>-177.2</v>
      </c>
    </row>
    <row r="2458" spans="1:14" x14ac:dyDescent="0.3">
      <c r="A2458" s="12" t="s">
        <v>94</v>
      </c>
      <c r="B2458" s="12" t="s">
        <v>191</v>
      </c>
      <c r="C2458" s="12" t="s">
        <v>123</v>
      </c>
      <c r="D2458" s="12" t="s">
        <v>200</v>
      </c>
      <c r="E2458" s="12" t="s">
        <v>110</v>
      </c>
      <c r="F2458" s="12" t="s">
        <v>114</v>
      </c>
      <c r="G2458" s="12" t="s">
        <v>39</v>
      </c>
      <c r="H2458" s="12">
        <v>70</v>
      </c>
      <c r="I2458" s="12">
        <v>1</v>
      </c>
      <c r="J2458" s="12">
        <v>186.0625</v>
      </c>
      <c r="K2458" s="12">
        <v>13024.375</v>
      </c>
      <c r="L2458" s="12">
        <v>199.18</v>
      </c>
      <c r="M2458" s="12">
        <v>13942.6</v>
      </c>
      <c r="N2458" s="12">
        <v>918.22500000000002</v>
      </c>
    </row>
    <row r="2459" spans="1:14" x14ac:dyDescent="0.3">
      <c r="A2459" s="12" t="s">
        <v>94</v>
      </c>
      <c r="B2459" s="12" t="s">
        <v>191</v>
      </c>
      <c r="C2459" s="12" t="s">
        <v>123</v>
      </c>
      <c r="D2459" s="12" t="s">
        <v>200</v>
      </c>
      <c r="E2459" s="12" t="s">
        <v>110</v>
      </c>
      <c r="F2459" s="12" t="s">
        <v>114</v>
      </c>
      <c r="G2459" s="12" t="s">
        <v>75</v>
      </c>
      <c r="H2459" s="12">
        <v>5</v>
      </c>
      <c r="I2459" s="12">
        <v>1</v>
      </c>
      <c r="J2459" s="12">
        <v>993.2</v>
      </c>
      <c r="K2459" s="12">
        <v>4966</v>
      </c>
      <c r="L2459" s="12">
        <v>1051.03</v>
      </c>
      <c r="M2459" s="12">
        <v>5255.15</v>
      </c>
      <c r="N2459" s="12">
        <v>289.14999999999998</v>
      </c>
    </row>
    <row r="2460" spans="1:14" x14ac:dyDescent="0.3">
      <c r="A2460" s="12" t="s">
        <v>94</v>
      </c>
      <c r="B2460" s="12" t="s">
        <v>191</v>
      </c>
      <c r="C2460" s="12" t="s">
        <v>123</v>
      </c>
      <c r="D2460" s="12" t="s">
        <v>200</v>
      </c>
      <c r="E2460" s="12" t="s">
        <v>110</v>
      </c>
      <c r="F2460" s="12" t="s">
        <v>114</v>
      </c>
      <c r="G2460" s="12" t="s">
        <v>76</v>
      </c>
      <c r="H2460" s="12">
        <v>45</v>
      </c>
      <c r="I2460" s="12">
        <v>1</v>
      </c>
      <c r="J2460" s="12">
        <v>108.005</v>
      </c>
      <c r="K2460" s="12">
        <v>4860.2250000000004</v>
      </c>
      <c r="L2460" s="12">
        <v>100.39</v>
      </c>
      <c r="M2460" s="12">
        <v>4517.55</v>
      </c>
      <c r="N2460" s="12">
        <v>-342.67500000000001</v>
      </c>
    </row>
    <row r="2461" spans="1:14" x14ac:dyDescent="0.3">
      <c r="A2461" s="12" t="s">
        <v>94</v>
      </c>
      <c r="B2461" s="12" t="s">
        <v>191</v>
      </c>
      <c r="C2461" s="12" t="s">
        <v>123</v>
      </c>
      <c r="D2461" s="12" t="s">
        <v>200</v>
      </c>
      <c r="E2461" s="12" t="s">
        <v>110</v>
      </c>
      <c r="F2461" s="12" t="s">
        <v>114</v>
      </c>
      <c r="G2461" s="12" t="s">
        <v>51</v>
      </c>
      <c r="H2461" s="12">
        <v>10</v>
      </c>
      <c r="I2461" s="12">
        <v>1</v>
      </c>
      <c r="J2461" s="12">
        <v>840.09</v>
      </c>
      <c r="K2461" s="12">
        <v>8400.9</v>
      </c>
      <c r="L2461" s="12">
        <v>819.35</v>
      </c>
      <c r="M2461" s="12">
        <v>8193.5</v>
      </c>
      <c r="N2461" s="12">
        <v>-207.4</v>
      </c>
    </row>
    <row r="2462" spans="1:14" x14ac:dyDescent="0.3">
      <c r="A2462" s="12" t="s">
        <v>94</v>
      </c>
      <c r="B2462" s="12" t="s">
        <v>191</v>
      </c>
      <c r="C2462" s="12" t="s">
        <v>123</v>
      </c>
      <c r="D2462" s="12" t="s">
        <v>200</v>
      </c>
      <c r="E2462" s="12" t="s">
        <v>110</v>
      </c>
      <c r="F2462" s="12" t="s">
        <v>114</v>
      </c>
      <c r="G2462" s="12" t="s">
        <v>77</v>
      </c>
      <c r="H2462" s="12">
        <v>20</v>
      </c>
      <c r="I2462" s="12">
        <v>1</v>
      </c>
      <c r="J2462" s="12">
        <v>180.33</v>
      </c>
      <c r="K2462" s="12">
        <v>3606.6</v>
      </c>
      <c r="L2462" s="12">
        <v>197.88</v>
      </c>
      <c r="M2462" s="12">
        <v>3957.6</v>
      </c>
      <c r="N2462" s="12">
        <v>351</v>
      </c>
    </row>
    <row r="2463" spans="1:14" x14ac:dyDescent="0.3">
      <c r="A2463" s="12" t="s">
        <v>94</v>
      </c>
      <c r="B2463" s="12" t="s">
        <v>191</v>
      </c>
      <c r="C2463" s="12" t="s">
        <v>123</v>
      </c>
      <c r="D2463" s="12" t="s">
        <v>200</v>
      </c>
      <c r="E2463" s="12" t="s">
        <v>110</v>
      </c>
      <c r="F2463" s="12" t="s">
        <v>114</v>
      </c>
      <c r="G2463" s="12" t="s">
        <v>78</v>
      </c>
      <c r="H2463" s="12">
        <v>30</v>
      </c>
      <c r="I2463" s="12">
        <v>1</v>
      </c>
      <c r="J2463" s="12">
        <v>193.56</v>
      </c>
      <c r="K2463" s="12">
        <v>5806.8</v>
      </c>
      <c r="L2463" s="12">
        <v>194.53</v>
      </c>
      <c r="M2463" s="12">
        <v>5835.9</v>
      </c>
      <c r="N2463" s="12">
        <v>29.1</v>
      </c>
    </row>
    <row r="2464" spans="1:14" x14ac:dyDescent="0.3">
      <c r="A2464" s="12" t="s">
        <v>94</v>
      </c>
      <c r="B2464" s="12" t="s">
        <v>191</v>
      </c>
      <c r="C2464" s="12" t="s">
        <v>123</v>
      </c>
      <c r="D2464" s="12" t="s">
        <v>200</v>
      </c>
      <c r="E2464" s="12" t="s">
        <v>110</v>
      </c>
      <c r="F2464" s="12" t="s">
        <v>114</v>
      </c>
      <c r="G2464" s="12" t="s">
        <v>32</v>
      </c>
      <c r="H2464" s="12">
        <v>70</v>
      </c>
      <c r="I2464" s="12">
        <v>1</v>
      </c>
      <c r="J2464" s="12">
        <v>66.2</v>
      </c>
      <c r="K2464" s="12">
        <v>4634</v>
      </c>
      <c r="L2464" s="12">
        <v>72.680000000000007</v>
      </c>
      <c r="M2464" s="12">
        <v>5087.6000000000004</v>
      </c>
      <c r="N2464" s="12">
        <v>453.6</v>
      </c>
    </row>
    <row r="2465" spans="1:17" x14ac:dyDescent="0.3">
      <c r="A2465" s="12" t="s">
        <v>94</v>
      </c>
      <c r="B2465" s="12" t="s">
        <v>191</v>
      </c>
      <c r="C2465" s="12" t="s">
        <v>123</v>
      </c>
      <c r="D2465" s="12" t="s">
        <v>200</v>
      </c>
      <c r="E2465" s="12" t="s">
        <v>110</v>
      </c>
      <c r="F2465" s="12" t="s">
        <v>114</v>
      </c>
      <c r="G2465" s="12" t="s">
        <v>61</v>
      </c>
      <c r="H2465" s="12">
        <v>100</v>
      </c>
      <c r="I2465" s="12">
        <v>1</v>
      </c>
      <c r="J2465" s="12">
        <v>94.38</v>
      </c>
      <c r="K2465" s="12">
        <v>9438</v>
      </c>
      <c r="L2465" s="12">
        <v>91.15</v>
      </c>
      <c r="M2465" s="12">
        <v>9115</v>
      </c>
      <c r="N2465" s="12">
        <v>-323</v>
      </c>
    </row>
    <row r="2466" spans="1:17" x14ac:dyDescent="0.3">
      <c r="A2466" s="12" t="s">
        <v>94</v>
      </c>
      <c r="B2466" s="12" t="s">
        <v>191</v>
      </c>
      <c r="C2466" s="12" t="s">
        <v>123</v>
      </c>
      <c r="D2466" s="12" t="s">
        <v>200</v>
      </c>
      <c r="E2466" s="12" t="s">
        <v>110</v>
      </c>
      <c r="F2466" s="12" t="s">
        <v>114</v>
      </c>
      <c r="G2466" s="12" t="s">
        <v>62</v>
      </c>
      <c r="H2466" s="12">
        <v>200</v>
      </c>
      <c r="I2466" s="12">
        <v>1</v>
      </c>
      <c r="J2466" s="12">
        <v>41.474350000000001</v>
      </c>
      <c r="K2466" s="12">
        <v>8294.8700000000008</v>
      </c>
      <c r="L2466" s="12">
        <v>41.11</v>
      </c>
      <c r="M2466" s="12">
        <v>8222</v>
      </c>
      <c r="N2466" s="12">
        <v>-72.87</v>
      </c>
    </row>
    <row r="2467" spans="1:17" x14ac:dyDescent="0.3">
      <c r="A2467" s="12" t="s">
        <v>94</v>
      </c>
      <c r="B2467" s="12" t="s">
        <v>191</v>
      </c>
      <c r="C2467" s="12" t="s">
        <v>123</v>
      </c>
      <c r="D2467" s="12" t="s">
        <v>200</v>
      </c>
      <c r="E2467" s="12" t="s">
        <v>110</v>
      </c>
      <c r="F2467" s="12" t="s">
        <v>114</v>
      </c>
      <c r="G2467" s="12" t="s">
        <v>41</v>
      </c>
      <c r="H2467" s="12">
        <v>1100</v>
      </c>
      <c r="I2467" s="12">
        <v>1</v>
      </c>
      <c r="J2467" s="12">
        <v>42.154090908999997</v>
      </c>
      <c r="K2467" s="12">
        <v>46369.5</v>
      </c>
      <c r="L2467" s="12">
        <v>45.75</v>
      </c>
      <c r="M2467" s="12">
        <v>50325</v>
      </c>
      <c r="N2467" s="12">
        <v>3955.5</v>
      </c>
      <c r="O2467" s="12" t="s">
        <v>555</v>
      </c>
    </row>
    <row r="2468" spans="1:17" x14ac:dyDescent="0.3">
      <c r="A2468" s="12" t="s">
        <v>94</v>
      </c>
      <c r="B2468" s="12" t="s">
        <v>191</v>
      </c>
      <c r="C2468" s="12" t="s">
        <v>123</v>
      </c>
      <c r="D2468" s="12" t="s">
        <v>200</v>
      </c>
      <c r="E2468" s="12" t="s">
        <v>110</v>
      </c>
      <c r="F2468" s="12" t="s">
        <v>114</v>
      </c>
      <c r="G2468" s="12" t="s">
        <v>79</v>
      </c>
      <c r="H2468" s="12">
        <v>80</v>
      </c>
      <c r="I2468" s="12">
        <v>1</v>
      </c>
      <c r="J2468" s="12">
        <v>121.06</v>
      </c>
      <c r="K2468" s="12">
        <v>9684.7999999999993</v>
      </c>
      <c r="L2468" s="12">
        <v>121.87</v>
      </c>
      <c r="M2468" s="12">
        <v>9749.6</v>
      </c>
      <c r="N2468" s="12">
        <v>64.8</v>
      </c>
      <c r="O2468" s="12" t="s">
        <v>555</v>
      </c>
    </row>
    <row r="2469" spans="1:17" x14ac:dyDescent="0.3">
      <c r="A2469" s="12" t="s">
        <v>94</v>
      </c>
      <c r="B2469" s="12" t="s">
        <v>191</v>
      </c>
      <c r="C2469" s="12" t="s">
        <v>123</v>
      </c>
      <c r="D2469" s="12" t="s">
        <v>200</v>
      </c>
      <c r="E2469" s="12" t="s">
        <v>110</v>
      </c>
      <c r="F2469" s="12" t="s">
        <v>114</v>
      </c>
      <c r="G2469" s="12" t="s">
        <v>42</v>
      </c>
      <c r="H2469" s="12">
        <v>150</v>
      </c>
      <c r="I2469" s="12">
        <v>1</v>
      </c>
      <c r="J2469" s="12">
        <v>199.912666667</v>
      </c>
      <c r="K2469" s="12">
        <v>29986.9</v>
      </c>
      <c r="L2469" s="12">
        <v>226.23</v>
      </c>
      <c r="M2469" s="12">
        <v>33934.5</v>
      </c>
      <c r="N2469" s="12">
        <v>3947.6</v>
      </c>
    </row>
    <row r="2470" spans="1:17" x14ac:dyDescent="0.3">
      <c r="A2470" s="12" t="s">
        <v>94</v>
      </c>
      <c r="B2470" s="12" t="s">
        <v>191</v>
      </c>
      <c r="C2470" s="12" t="s">
        <v>123</v>
      </c>
      <c r="D2470" s="12" t="s">
        <v>200</v>
      </c>
      <c r="E2470" s="12" t="s">
        <v>110</v>
      </c>
      <c r="F2470" s="12" t="s">
        <v>114</v>
      </c>
      <c r="G2470" s="12" t="s">
        <v>43</v>
      </c>
      <c r="H2470" s="12">
        <v>230</v>
      </c>
      <c r="I2470" s="12">
        <v>1</v>
      </c>
      <c r="J2470" s="12">
        <v>67.007826086999998</v>
      </c>
      <c r="K2470" s="12">
        <v>15411.8</v>
      </c>
      <c r="L2470" s="12">
        <v>68.14</v>
      </c>
      <c r="M2470" s="12">
        <v>15672.2</v>
      </c>
      <c r="N2470" s="12">
        <v>260.39999999999998</v>
      </c>
    </row>
    <row r="2471" spans="1:17" x14ac:dyDescent="0.3">
      <c r="A2471" s="12" t="s">
        <v>94</v>
      </c>
      <c r="B2471" s="12" t="s">
        <v>191</v>
      </c>
      <c r="C2471" s="12" t="s">
        <v>123</v>
      </c>
      <c r="D2471" s="12" t="s">
        <v>200</v>
      </c>
      <c r="E2471" s="12" t="s">
        <v>110</v>
      </c>
      <c r="F2471" s="12" t="s">
        <v>114</v>
      </c>
      <c r="G2471" s="12" t="s">
        <v>44</v>
      </c>
      <c r="H2471" s="12">
        <v>60</v>
      </c>
      <c r="I2471" s="12">
        <v>1</v>
      </c>
      <c r="J2471" s="12">
        <v>143.160833333</v>
      </c>
      <c r="K2471" s="12">
        <v>8589.65</v>
      </c>
      <c r="L2471" s="12">
        <v>145.75</v>
      </c>
      <c r="M2471" s="12">
        <v>8745</v>
      </c>
      <c r="N2471" s="12">
        <v>155.35</v>
      </c>
    </row>
    <row r="2472" spans="1:17" x14ac:dyDescent="0.3">
      <c r="A2472" s="12" t="s">
        <v>94</v>
      </c>
      <c r="B2472" s="12" t="s">
        <v>191</v>
      </c>
      <c r="C2472" s="12" t="s">
        <v>123</v>
      </c>
      <c r="D2472" s="12" t="s">
        <v>200</v>
      </c>
      <c r="E2472" s="12" t="s">
        <v>110</v>
      </c>
      <c r="F2472" s="12" t="s">
        <v>114</v>
      </c>
      <c r="G2472" s="12" t="s">
        <v>35</v>
      </c>
      <c r="H2472" s="12">
        <v>50</v>
      </c>
      <c r="I2472" s="12">
        <v>1</v>
      </c>
      <c r="J2472" s="12">
        <v>118.5</v>
      </c>
      <c r="K2472" s="12">
        <v>5925</v>
      </c>
      <c r="L2472" s="12">
        <v>115.12</v>
      </c>
      <c r="M2472" s="12">
        <v>5756</v>
      </c>
      <c r="N2472" s="12">
        <v>-169</v>
      </c>
    </row>
    <row r="2473" spans="1:17" x14ac:dyDescent="0.3">
      <c r="A2473" s="12" t="s">
        <v>94</v>
      </c>
      <c r="B2473" s="12" t="s">
        <v>191</v>
      </c>
      <c r="C2473" s="12" t="s">
        <v>97</v>
      </c>
      <c r="E2473" s="12" t="s">
        <v>110</v>
      </c>
      <c r="F2473" s="12" t="s">
        <v>114</v>
      </c>
      <c r="K2473" s="12">
        <v>437841.50537500001</v>
      </c>
      <c r="M2473" s="12">
        <v>465468.75</v>
      </c>
      <c r="N2473" s="12">
        <v>27627.244624999999</v>
      </c>
    </row>
    <row r="2474" spans="1:17" x14ac:dyDescent="0.3">
      <c r="A2474" s="12" t="s">
        <v>94</v>
      </c>
      <c r="B2474" s="12" t="s">
        <v>191</v>
      </c>
      <c r="C2474" s="12" t="s">
        <v>120</v>
      </c>
      <c r="D2474" s="12" t="s">
        <v>192</v>
      </c>
      <c r="E2474" s="12" t="s">
        <v>100</v>
      </c>
      <c r="F2474" s="12" t="s">
        <v>181</v>
      </c>
      <c r="G2474" s="12" t="s">
        <v>0</v>
      </c>
      <c r="H2474" s="12" t="s">
        <v>193</v>
      </c>
      <c r="I2474" s="12" t="s">
        <v>194</v>
      </c>
      <c r="J2474" s="12" t="s">
        <v>195</v>
      </c>
      <c r="K2474" s="12" t="s">
        <v>196</v>
      </c>
      <c r="L2474" s="12" t="s">
        <v>197</v>
      </c>
      <c r="M2474" s="12" t="s">
        <v>198</v>
      </c>
      <c r="N2474" s="12" t="s">
        <v>199</v>
      </c>
      <c r="O2474" s="12" t="s">
        <v>165</v>
      </c>
    </row>
    <row r="2475" spans="1:17" x14ac:dyDescent="0.3">
      <c r="A2475" s="12" t="s">
        <v>94</v>
      </c>
      <c r="B2475" s="12" t="s">
        <v>191</v>
      </c>
      <c r="C2475" s="12" t="s">
        <v>123</v>
      </c>
      <c r="D2475" s="12" t="s">
        <v>200</v>
      </c>
      <c r="E2475" s="12" t="s">
        <v>112</v>
      </c>
      <c r="F2475" s="12" t="s">
        <v>114</v>
      </c>
      <c r="G2475" s="12" t="s">
        <v>80</v>
      </c>
      <c r="H2475" s="12">
        <v>-13</v>
      </c>
      <c r="I2475" s="12">
        <v>5</v>
      </c>
      <c r="J2475" s="12">
        <v>5564.1923076920002</v>
      </c>
      <c r="K2475" s="12">
        <v>-361672.5</v>
      </c>
      <c r="L2475" s="12">
        <v>5521.5</v>
      </c>
      <c r="M2475" s="12">
        <v>-358897.5</v>
      </c>
      <c r="N2475" s="12">
        <v>2775</v>
      </c>
    </row>
    <row r="2476" spans="1:17" x14ac:dyDescent="0.3">
      <c r="A2476" s="12" t="s">
        <v>94</v>
      </c>
      <c r="B2476" s="12" t="s">
        <v>191</v>
      </c>
      <c r="C2476" s="12" t="s">
        <v>123</v>
      </c>
      <c r="D2476" s="12" t="s">
        <v>200</v>
      </c>
      <c r="E2476" s="12" t="s">
        <v>112</v>
      </c>
      <c r="F2476" s="12" t="s">
        <v>114</v>
      </c>
      <c r="G2476" s="12" t="s">
        <v>81</v>
      </c>
      <c r="H2476" s="12">
        <v>-2</v>
      </c>
      <c r="I2476" s="12">
        <v>2</v>
      </c>
      <c r="J2476" s="12">
        <v>20199</v>
      </c>
      <c r="K2476" s="12">
        <v>-80796</v>
      </c>
      <c r="L2476" s="12">
        <v>19927.25</v>
      </c>
      <c r="M2476" s="12">
        <v>-79709</v>
      </c>
      <c r="N2476" s="12">
        <v>1087</v>
      </c>
    </row>
    <row r="2477" spans="1:17" x14ac:dyDescent="0.3">
      <c r="A2477" s="12" t="s">
        <v>94</v>
      </c>
      <c r="B2477" s="12" t="s">
        <v>191</v>
      </c>
      <c r="C2477" s="12" t="s">
        <v>97</v>
      </c>
      <c r="E2477" s="12" t="s">
        <v>112</v>
      </c>
      <c r="F2477" s="12" t="s">
        <v>114</v>
      </c>
      <c r="K2477" s="12">
        <v>-442468.5</v>
      </c>
      <c r="M2477" s="12">
        <v>-438606.5</v>
      </c>
      <c r="N2477" s="12">
        <v>3862</v>
      </c>
    </row>
    <row r="2478" spans="1:17" x14ac:dyDescent="0.3">
      <c r="A2478" s="12" t="s">
        <v>94</v>
      </c>
      <c r="B2478" s="12" t="s">
        <v>191</v>
      </c>
      <c r="C2478" s="12" t="s">
        <v>520</v>
      </c>
      <c r="D2478" s="12" t="s">
        <v>847</v>
      </c>
    </row>
    <row r="2479" spans="1:17" x14ac:dyDescent="0.3">
      <c r="A2479" s="12" t="s">
        <v>94</v>
      </c>
      <c r="B2479" s="12" t="s">
        <v>201</v>
      </c>
      <c r="C2479" s="12" t="s">
        <v>120</v>
      </c>
      <c r="D2479" s="12" t="s">
        <v>192</v>
      </c>
      <c r="E2479" s="12" t="s">
        <v>100</v>
      </c>
      <c r="F2479" s="12" t="s">
        <v>181</v>
      </c>
      <c r="G2479" s="12" t="s">
        <v>0</v>
      </c>
      <c r="H2479" s="12" t="s">
        <v>202</v>
      </c>
      <c r="I2479" s="12" t="s">
        <v>193</v>
      </c>
      <c r="J2479" s="12" t="s">
        <v>203</v>
      </c>
      <c r="K2479" s="12" t="s">
        <v>204</v>
      </c>
      <c r="L2479" s="12" t="s">
        <v>205</v>
      </c>
      <c r="M2479" s="12" t="s">
        <v>206</v>
      </c>
      <c r="N2479" s="12" t="s">
        <v>1</v>
      </c>
      <c r="O2479" s="12" t="s">
        <v>207</v>
      </c>
      <c r="P2479" s="12" t="s">
        <v>208</v>
      </c>
      <c r="Q2479" s="12" t="s">
        <v>165</v>
      </c>
    </row>
    <row r="2480" spans="1:17" x14ac:dyDescent="0.3">
      <c r="A2480" s="12" t="s">
        <v>94</v>
      </c>
      <c r="B2480" s="12" t="s">
        <v>201</v>
      </c>
      <c r="C2480" s="12" t="s">
        <v>123</v>
      </c>
      <c r="D2480" s="12" t="s">
        <v>209</v>
      </c>
      <c r="E2480" s="12" t="s">
        <v>110</v>
      </c>
      <c r="F2480" s="12" t="s">
        <v>114</v>
      </c>
      <c r="G2480" s="12" t="s">
        <v>63</v>
      </c>
      <c r="H2480" s="12" t="s">
        <v>848</v>
      </c>
      <c r="I2480" s="12">
        <v>55</v>
      </c>
      <c r="J2480" s="12">
        <v>98.94</v>
      </c>
      <c r="K2480" s="12">
        <v>99.16</v>
      </c>
      <c r="L2480" s="12">
        <v>-5441.7</v>
      </c>
      <c r="M2480" s="12">
        <v>0</v>
      </c>
      <c r="N2480" s="12">
        <v>5441.7</v>
      </c>
      <c r="O2480" s="12">
        <v>0</v>
      </c>
      <c r="P2480" s="12">
        <v>12.1</v>
      </c>
      <c r="Q2480" s="12" t="s">
        <v>211</v>
      </c>
    </row>
    <row r="2481" spans="1:17" x14ac:dyDescent="0.3">
      <c r="A2481" s="12" t="s">
        <v>94</v>
      </c>
      <c r="B2481" s="12" t="s">
        <v>201</v>
      </c>
      <c r="C2481" s="12" t="s">
        <v>213</v>
      </c>
      <c r="E2481" s="12" t="s">
        <v>110</v>
      </c>
      <c r="F2481" s="12" t="s">
        <v>114</v>
      </c>
      <c r="G2481" s="12" t="s">
        <v>63</v>
      </c>
      <c r="I2481" s="12">
        <v>55</v>
      </c>
      <c r="L2481" s="12">
        <v>-5441.7</v>
      </c>
      <c r="M2481" s="12">
        <v>0</v>
      </c>
      <c r="N2481" s="12">
        <v>5441.7</v>
      </c>
      <c r="O2481" s="12">
        <v>0</v>
      </c>
      <c r="P2481" s="12">
        <v>12.1</v>
      </c>
    </row>
    <row r="2482" spans="1:17" x14ac:dyDescent="0.3">
      <c r="A2482" s="12" t="s">
        <v>94</v>
      </c>
      <c r="B2482" s="12" t="s">
        <v>201</v>
      </c>
      <c r="C2482" s="12" t="s">
        <v>123</v>
      </c>
      <c r="D2482" s="12" t="s">
        <v>209</v>
      </c>
      <c r="E2482" s="12" t="s">
        <v>110</v>
      </c>
      <c r="F2482" s="12" t="s">
        <v>114</v>
      </c>
      <c r="G2482" s="12" t="s">
        <v>64</v>
      </c>
      <c r="H2482" s="12" t="s">
        <v>849</v>
      </c>
      <c r="I2482" s="12">
        <v>23</v>
      </c>
      <c r="J2482" s="12">
        <v>232.53</v>
      </c>
      <c r="K2482" s="12">
        <v>235.68</v>
      </c>
      <c r="L2482" s="12">
        <v>-5348.19</v>
      </c>
      <c r="M2482" s="12">
        <v>0</v>
      </c>
      <c r="N2482" s="12">
        <v>5348.19</v>
      </c>
      <c r="O2482" s="12">
        <v>0</v>
      </c>
      <c r="P2482" s="12">
        <v>72.45</v>
      </c>
      <c r="Q2482" s="12" t="s">
        <v>211</v>
      </c>
    </row>
    <row r="2483" spans="1:17" x14ac:dyDescent="0.3">
      <c r="A2483" s="12" t="s">
        <v>94</v>
      </c>
      <c r="B2483" s="12" t="s">
        <v>201</v>
      </c>
      <c r="C2483" s="12" t="s">
        <v>213</v>
      </c>
      <c r="E2483" s="12" t="s">
        <v>110</v>
      </c>
      <c r="F2483" s="12" t="s">
        <v>114</v>
      </c>
      <c r="G2483" s="12" t="s">
        <v>64</v>
      </c>
      <c r="I2483" s="12">
        <v>23</v>
      </c>
      <c r="L2483" s="12">
        <v>-5348.19</v>
      </c>
      <c r="M2483" s="12">
        <v>0</v>
      </c>
      <c r="N2483" s="12">
        <v>5348.19</v>
      </c>
      <c r="O2483" s="12">
        <v>0</v>
      </c>
      <c r="P2483" s="12">
        <v>72.45</v>
      </c>
    </row>
    <row r="2484" spans="1:17" x14ac:dyDescent="0.3">
      <c r="A2484" s="12" t="s">
        <v>94</v>
      </c>
      <c r="B2484" s="12" t="s">
        <v>201</v>
      </c>
      <c r="C2484" s="12" t="s">
        <v>123</v>
      </c>
      <c r="D2484" s="12" t="s">
        <v>209</v>
      </c>
      <c r="E2484" s="12" t="s">
        <v>110</v>
      </c>
      <c r="F2484" s="12" t="s">
        <v>114</v>
      </c>
      <c r="G2484" s="12" t="s">
        <v>45</v>
      </c>
      <c r="H2484" s="12" t="s">
        <v>850</v>
      </c>
      <c r="I2484" s="12">
        <v>-25</v>
      </c>
      <c r="J2484" s="12">
        <v>158.16999999999999</v>
      </c>
      <c r="K2484" s="12">
        <v>158.4</v>
      </c>
      <c r="L2484" s="12">
        <v>3954.25</v>
      </c>
      <c r="M2484" s="12">
        <v>0</v>
      </c>
      <c r="N2484" s="12">
        <v>-4083.32</v>
      </c>
      <c r="O2484" s="12">
        <v>-129.07</v>
      </c>
      <c r="P2484" s="12">
        <v>-5.75</v>
      </c>
      <c r="Q2484" s="12" t="s">
        <v>3</v>
      </c>
    </row>
    <row r="2485" spans="1:17" x14ac:dyDescent="0.3">
      <c r="A2485" s="12" t="s">
        <v>94</v>
      </c>
      <c r="B2485" s="12" t="s">
        <v>201</v>
      </c>
      <c r="C2485" s="12" t="s">
        <v>213</v>
      </c>
      <c r="E2485" s="12" t="s">
        <v>110</v>
      </c>
      <c r="F2485" s="12" t="s">
        <v>114</v>
      </c>
      <c r="G2485" s="12" t="s">
        <v>45</v>
      </c>
      <c r="I2485" s="12">
        <v>-25</v>
      </c>
      <c r="L2485" s="12">
        <v>3954.25</v>
      </c>
      <c r="M2485" s="12">
        <v>0</v>
      </c>
      <c r="N2485" s="12">
        <v>-4083.32</v>
      </c>
      <c r="O2485" s="12">
        <v>-129.07</v>
      </c>
      <c r="P2485" s="12">
        <v>-5.75</v>
      </c>
    </row>
    <row r="2486" spans="1:17" x14ac:dyDescent="0.3">
      <c r="A2486" s="12" t="s">
        <v>94</v>
      </c>
      <c r="B2486" s="12" t="s">
        <v>201</v>
      </c>
      <c r="C2486" s="12" t="s">
        <v>123</v>
      </c>
      <c r="D2486" s="12" t="s">
        <v>209</v>
      </c>
      <c r="E2486" s="12" t="s">
        <v>110</v>
      </c>
      <c r="F2486" s="12" t="s">
        <v>114</v>
      </c>
      <c r="G2486" s="12" t="s">
        <v>4</v>
      </c>
      <c r="H2486" s="12" t="s">
        <v>851</v>
      </c>
      <c r="I2486" s="12">
        <v>22</v>
      </c>
      <c r="J2486" s="12">
        <v>196.56</v>
      </c>
      <c r="K2486" s="12">
        <v>194.26</v>
      </c>
      <c r="L2486" s="12">
        <v>-4324.32</v>
      </c>
      <c r="M2486" s="12">
        <v>0</v>
      </c>
      <c r="N2486" s="12">
        <v>4324.32</v>
      </c>
      <c r="O2486" s="12">
        <v>0</v>
      </c>
      <c r="P2486" s="12">
        <v>-50.6</v>
      </c>
      <c r="Q2486" s="12" t="s">
        <v>211</v>
      </c>
    </row>
    <row r="2487" spans="1:17" x14ac:dyDescent="0.3">
      <c r="A2487" s="12" t="s">
        <v>94</v>
      </c>
      <c r="B2487" s="12" t="s">
        <v>201</v>
      </c>
      <c r="C2487" s="12" t="s">
        <v>123</v>
      </c>
      <c r="D2487" s="12" t="s">
        <v>209</v>
      </c>
      <c r="E2487" s="12" t="s">
        <v>110</v>
      </c>
      <c r="F2487" s="12" t="s">
        <v>114</v>
      </c>
      <c r="G2487" s="12" t="s">
        <v>4</v>
      </c>
      <c r="H2487" s="12" t="s">
        <v>852</v>
      </c>
      <c r="I2487" s="12">
        <v>-22</v>
      </c>
      <c r="J2487" s="12">
        <v>195.5</v>
      </c>
      <c r="K2487" s="12">
        <v>192.78</v>
      </c>
      <c r="L2487" s="12">
        <v>4301</v>
      </c>
      <c r="M2487" s="12">
        <v>0</v>
      </c>
      <c r="N2487" s="12">
        <v>-4324.32</v>
      </c>
      <c r="O2487" s="12">
        <v>-23.32</v>
      </c>
      <c r="P2487" s="12">
        <v>59.84</v>
      </c>
      <c r="Q2487" s="12" t="s">
        <v>3</v>
      </c>
    </row>
    <row r="2488" spans="1:17" x14ac:dyDescent="0.3">
      <c r="A2488" s="12" t="s">
        <v>94</v>
      </c>
      <c r="B2488" s="12" t="s">
        <v>201</v>
      </c>
      <c r="C2488" s="12" t="s">
        <v>213</v>
      </c>
      <c r="E2488" s="12" t="s">
        <v>110</v>
      </c>
      <c r="F2488" s="12" t="s">
        <v>114</v>
      </c>
      <c r="G2488" s="12" t="s">
        <v>4</v>
      </c>
      <c r="I2488" s="12">
        <v>0</v>
      </c>
      <c r="L2488" s="12">
        <v>-23.32</v>
      </c>
      <c r="M2488" s="12">
        <v>0</v>
      </c>
      <c r="N2488" s="12">
        <v>0</v>
      </c>
      <c r="O2488" s="12">
        <v>-23.32</v>
      </c>
      <c r="P2488" s="12">
        <v>9.24</v>
      </c>
    </row>
    <row r="2489" spans="1:17" x14ac:dyDescent="0.3">
      <c r="A2489" s="12" t="s">
        <v>94</v>
      </c>
      <c r="B2489" s="12" t="s">
        <v>201</v>
      </c>
      <c r="C2489" s="12" t="s">
        <v>123</v>
      </c>
      <c r="D2489" s="12" t="s">
        <v>209</v>
      </c>
      <c r="E2489" s="12" t="s">
        <v>110</v>
      </c>
      <c r="F2489" s="12" t="s">
        <v>114</v>
      </c>
      <c r="G2489" s="12" t="s">
        <v>5</v>
      </c>
      <c r="H2489" s="12" t="s">
        <v>853</v>
      </c>
      <c r="I2489" s="12">
        <v>-50</v>
      </c>
      <c r="J2489" s="12">
        <v>183.6</v>
      </c>
      <c r="K2489" s="12">
        <v>184.06</v>
      </c>
      <c r="L2489" s="12">
        <v>9180</v>
      </c>
      <c r="M2489" s="12">
        <v>0</v>
      </c>
      <c r="N2489" s="12">
        <v>-8584.2350000000006</v>
      </c>
      <c r="O2489" s="12">
        <v>595.76499999999999</v>
      </c>
      <c r="P2489" s="12">
        <v>-23</v>
      </c>
      <c r="Q2489" s="12" t="s">
        <v>230</v>
      </c>
    </row>
    <row r="2490" spans="1:17" x14ac:dyDescent="0.3">
      <c r="A2490" s="12" t="s">
        <v>94</v>
      </c>
      <c r="B2490" s="12" t="s">
        <v>201</v>
      </c>
      <c r="C2490" s="12" t="s">
        <v>213</v>
      </c>
      <c r="E2490" s="12" t="s">
        <v>110</v>
      </c>
      <c r="F2490" s="12" t="s">
        <v>114</v>
      </c>
      <c r="G2490" s="12" t="s">
        <v>5</v>
      </c>
      <c r="I2490" s="12">
        <v>-50</v>
      </c>
      <c r="L2490" s="12">
        <v>9180</v>
      </c>
      <c r="M2490" s="12">
        <v>0</v>
      </c>
      <c r="N2490" s="12">
        <v>-8584.2350000000006</v>
      </c>
      <c r="O2490" s="12">
        <v>595.76499999999999</v>
      </c>
      <c r="P2490" s="12">
        <v>-23</v>
      </c>
    </row>
    <row r="2491" spans="1:17" x14ac:dyDescent="0.3">
      <c r="A2491" s="12" t="s">
        <v>94</v>
      </c>
      <c r="B2491" s="12" t="s">
        <v>201</v>
      </c>
      <c r="C2491" s="12" t="s">
        <v>123</v>
      </c>
      <c r="D2491" s="12" t="s">
        <v>209</v>
      </c>
      <c r="E2491" s="12" t="s">
        <v>110</v>
      </c>
      <c r="F2491" s="12" t="s">
        <v>114</v>
      </c>
      <c r="G2491" s="12" t="s">
        <v>65</v>
      </c>
      <c r="H2491" s="12" t="s">
        <v>854</v>
      </c>
      <c r="I2491" s="12">
        <v>35</v>
      </c>
      <c r="J2491" s="12">
        <v>130.33000000000001</v>
      </c>
      <c r="K2491" s="12">
        <v>130.63999999999999</v>
      </c>
      <c r="L2491" s="12">
        <v>-4561.55</v>
      </c>
      <c r="M2491" s="12">
        <v>0</v>
      </c>
      <c r="N2491" s="12">
        <v>4561.55</v>
      </c>
      <c r="O2491" s="12">
        <v>0</v>
      </c>
      <c r="P2491" s="12">
        <v>10.85</v>
      </c>
      <c r="Q2491" s="12" t="s">
        <v>211</v>
      </c>
    </row>
    <row r="2492" spans="1:17" x14ac:dyDescent="0.3">
      <c r="A2492" s="12" t="s">
        <v>94</v>
      </c>
      <c r="B2492" s="12" t="s">
        <v>201</v>
      </c>
      <c r="C2492" s="12" t="s">
        <v>213</v>
      </c>
      <c r="E2492" s="12" t="s">
        <v>110</v>
      </c>
      <c r="F2492" s="12" t="s">
        <v>114</v>
      </c>
      <c r="G2492" s="12" t="s">
        <v>65</v>
      </c>
      <c r="I2492" s="12">
        <v>35</v>
      </c>
      <c r="L2492" s="12">
        <v>-4561.55</v>
      </c>
      <c r="M2492" s="12">
        <v>0</v>
      </c>
      <c r="N2492" s="12">
        <v>4561.55</v>
      </c>
      <c r="O2492" s="12">
        <v>0</v>
      </c>
      <c r="P2492" s="12">
        <v>10.85</v>
      </c>
    </row>
    <row r="2493" spans="1:17" x14ac:dyDescent="0.3">
      <c r="A2493" s="12" t="s">
        <v>94</v>
      </c>
      <c r="B2493" s="12" t="s">
        <v>201</v>
      </c>
      <c r="C2493" s="12" t="s">
        <v>123</v>
      </c>
      <c r="D2493" s="12" t="s">
        <v>209</v>
      </c>
      <c r="E2493" s="12" t="s">
        <v>110</v>
      </c>
      <c r="F2493" s="12" t="s">
        <v>114</v>
      </c>
      <c r="G2493" s="12" t="s">
        <v>58</v>
      </c>
      <c r="H2493" s="12" t="s">
        <v>855</v>
      </c>
      <c r="I2493" s="12">
        <v>-20</v>
      </c>
      <c r="J2493" s="12">
        <v>149</v>
      </c>
      <c r="K2493" s="12">
        <v>155.59</v>
      </c>
      <c r="L2493" s="12">
        <v>2980</v>
      </c>
      <c r="M2493" s="12">
        <v>0</v>
      </c>
      <c r="N2493" s="12">
        <v>-2109.6</v>
      </c>
      <c r="O2493" s="12">
        <v>870.4</v>
      </c>
      <c r="P2493" s="12">
        <v>-131.80000000000001</v>
      </c>
      <c r="Q2493" s="12" t="s">
        <v>3</v>
      </c>
    </row>
    <row r="2494" spans="1:17" x14ac:dyDescent="0.3">
      <c r="A2494" s="12" t="s">
        <v>94</v>
      </c>
      <c r="B2494" s="12" t="s">
        <v>201</v>
      </c>
      <c r="C2494" s="12" t="s">
        <v>213</v>
      </c>
      <c r="E2494" s="12" t="s">
        <v>110</v>
      </c>
      <c r="F2494" s="12" t="s">
        <v>114</v>
      </c>
      <c r="G2494" s="12" t="s">
        <v>58</v>
      </c>
      <c r="I2494" s="12">
        <v>-20</v>
      </c>
      <c r="L2494" s="12">
        <v>2980</v>
      </c>
      <c r="M2494" s="12">
        <v>0</v>
      </c>
      <c r="N2494" s="12">
        <v>-2109.6</v>
      </c>
      <c r="O2494" s="12">
        <v>870.4</v>
      </c>
      <c r="P2494" s="12">
        <v>-131.80000000000001</v>
      </c>
    </row>
    <row r="2495" spans="1:17" x14ac:dyDescent="0.3">
      <c r="A2495" s="12" t="s">
        <v>94</v>
      </c>
      <c r="B2495" s="12" t="s">
        <v>201</v>
      </c>
      <c r="C2495" s="12" t="s">
        <v>123</v>
      </c>
      <c r="D2495" s="12" t="s">
        <v>209</v>
      </c>
      <c r="E2495" s="12" t="s">
        <v>110</v>
      </c>
      <c r="F2495" s="12" t="s">
        <v>114</v>
      </c>
      <c r="G2495" s="12" t="s">
        <v>7</v>
      </c>
      <c r="H2495" s="12" t="s">
        <v>856</v>
      </c>
      <c r="I2495" s="12">
        <v>-3</v>
      </c>
      <c r="J2495" s="12">
        <v>1413</v>
      </c>
      <c r="K2495" s="12">
        <v>1413.09</v>
      </c>
      <c r="L2495" s="12">
        <v>4239</v>
      </c>
      <c r="M2495" s="12">
        <v>0</v>
      </c>
      <c r="N2495" s="12">
        <v>-4134.0450000000001</v>
      </c>
      <c r="O2495" s="12">
        <v>104.955</v>
      </c>
      <c r="P2495" s="12">
        <v>-0.27</v>
      </c>
      <c r="Q2495" s="12" t="s">
        <v>3</v>
      </c>
    </row>
    <row r="2496" spans="1:17" x14ac:dyDescent="0.3">
      <c r="A2496" s="12" t="s">
        <v>94</v>
      </c>
      <c r="B2496" s="12" t="s">
        <v>201</v>
      </c>
      <c r="C2496" s="12" t="s">
        <v>123</v>
      </c>
      <c r="D2496" s="12" t="s">
        <v>209</v>
      </c>
      <c r="E2496" s="12" t="s">
        <v>110</v>
      </c>
      <c r="F2496" s="12" t="s">
        <v>114</v>
      </c>
      <c r="G2496" s="12" t="s">
        <v>7</v>
      </c>
      <c r="H2496" s="12" t="s">
        <v>857</v>
      </c>
      <c r="I2496" s="12">
        <v>2</v>
      </c>
      <c r="J2496" s="12">
        <v>1737</v>
      </c>
      <c r="K2496" s="12">
        <v>1734.56</v>
      </c>
      <c r="L2496" s="12">
        <v>-3474</v>
      </c>
      <c r="M2496" s="12">
        <v>0</v>
      </c>
      <c r="N2496" s="12">
        <v>3474</v>
      </c>
      <c r="O2496" s="12">
        <v>0</v>
      </c>
      <c r="P2496" s="12">
        <v>-4.88</v>
      </c>
      <c r="Q2496" s="12" t="s">
        <v>215</v>
      </c>
    </row>
    <row r="2497" spans="1:17" x14ac:dyDescent="0.3">
      <c r="A2497" s="12" t="s">
        <v>94</v>
      </c>
      <c r="B2497" s="12" t="s">
        <v>201</v>
      </c>
      <c r="C2497" s="12" t="s">
        <v>213</v>
      </c>
      <c r="E2497" s="12" t="s">
        <v>110</v>
      </c>
      <c r="F2497" s="12" t="s">
        <v>114</v>
      </c>
      <c r="G2497" s="12" t="s">
        <v>7</v>
      </c>
      <c r="I2497" s="12">
        <v>-1</v>
      </c>
      <c r="L2497" s="12">
        <v>765</v>
      </c>
      <c r="M2497" s="12">
        <v>0</v>
      </c>
      <c r="N2497" s="12">
        <v>-660.04499999999996</v>
      </c>
      <c r="O2497" s="12">
        <v>104.955</v>
      </c>
      <c r="P2497" s="12">
        <v>-5.15</v>
      </c>
    </row>
    <row r="2498" spans="1:17" x14ac:dyDescent="0.3">
      <c r="A2498" s="12" t="s">
        <v>94</v>
      </c>
      <c r="B2498" s="12" t="s">
        <v>201</v>
      </c>
      <c r="C2498" s="12" t="s">
        <v>123</v>
      </c>
      <c r="D2498" s="12" t="s">
        <v>209</v>
      </c>
      <c r="E2498" s="12" t="s">
        <v>110</v>
      </c>
      <c r="F2498" s="12" t="s">
        <v>114</v>
      </c>
      <c r="G2498" s="12" t="s">
        <v>8</v>
      </c>
      <c r="H2498" s="12" t="s">
        <v>858</v>
      </c>
      <c r="I2498" s="12">
        <v>-100</v>
      </c>
      <c r="J2498" s="12">
        <v>39.49</v>
      </c>
      <c r="K2498" s="12">
        <v>39.51</v>
      </c>
      <c r="L2498" s="12">
        <v>3949</v>
      </c>
      <c r="M2498" s="12">
        <v>0</v>
      </c>
      <c r="N2498" s="12">
        <v>-3218.322482</v>
      </c>
      <c r="O2498" s="12">
        <v>730.67751799999996</v>
      </c>
      <c r="P2498" s="12">
        <v>-2</v>
      </c>
      <c r="Q2498" s="12" t="s">
        <v>3</v>
      </c>
    </row>
    <row r="2499" spans="1:17" x14ac:dyDescent="0.3">
      <c r="A2499" s="12" t="s">
        <v>94</v>
      </c>
      <c r="B2499" s="12" t="s">
        <v>201</v>
      </c>
      <c r="C2499" s="12" t="s">
        <v>213</v>
      </c>
      <c r="E2499" s="12" t="s">
        <v>110</v>
      </c>
      <c r="F2499" s="12" t="s">
        <v>114</v>
      </c>
      <c r="G2499" s="12" t="s">
        <v>8</v>
      </c>
      <c r="I2499" s="12">
        <v>-100</v>
      </c>
      <c r="L2499" s="12">
        <v>3949</v>
      </c>
      <c r="M2499" s="12">
        <v>0</v>
      </c>
      <c r="N2499" s="12">
        <v>-3218.322482</v>
      </c>
      <c r="O2499" s="12">
        <v>730.67751799999996</v>
      </c>
      <c r="P2499" s="12">
        <v>-2</v>
      </c>
    </row>
    <row r="2500" spans="1:17" x14ac:dyDescent="0.3">
      <c r="A2500" s="12" t="s">
        <v>94</v>
      </c>
      <c r="B2500" s="12" t="s">
        <v>201</v>
      </c>
      <c r="C2500" s="12" t="s">
        <v>123</v>
      </c>
      <c r="D2500" s="12" t="s">
        <v>209</v>
      </c>
      <c r="E2500" s="12" t="s">
        <v>110</v>
      </c>
      <c r="F2500" s="12" t="s">
        <v>114</v>
      </c>
      <c r="G2500" s="12" t="s">
        <v>46</v>
      </c>
      <c r="H2500" s="12" t="s">
        <v>859</v>
      </c>
      <c r="I2500" s="12">
        <v>-100</v>
      </c>
      <c r="J2500" s="12">
        <v>329</v>
      </c>
      <c r="K2500" s="12">
        <v>329.13</v>
      </c>
      <c r="L2500" s="12">
        <v>32900</v>
      </c>
      <c r="M2500" s="12">
        <v>0</v>
      </c>
      <c r="N2500" s="12">
        <v>-16302.62</v>
      </c>
      <c r="O2500" s="12">
        <v>-510.62</v>
      </c>
      <c r="P2500" s="12">
        <v>-13</v>
      </c>
      <c r="Q2500" s="12" t="s">
        <v>646</v>
      </c>
    </row>
    <row r="2501" spans="1:17" x14ac:dyDescent="0.3">
      <c r="A2501" s="12" t="s">
        <v>94</v>
      </c>
      <c r="B2501" s="12" t="s">
        <v>201</v>
      </c>
      <c r="C2501" s="12" t="s">
        <v>123</v>
      </c>
      <c r="D2501" s="12" t="s">
        <v>209</v>
      </c>
      <c r="E2501" s="12" t="s">
        <v>110</v>
      </c>
      <c r="F2501" s="12" t="s">
        <v>114</v>
      </c>
      <c r="G2501" s="12" t="s">
        <v>46</v>
      </c>
      <c r="H2501" s="12" t="s">
        <v>860</v>
      </c>
      <c r="I2501" s="12">
        <v>76</v>
      </c>
      <c r="J2501" s="12">
        <v>328.95</v>
      </c>
      <c r="K2501" s="12">
        <v>329.13</v>
      </c>
      <c r="L2501" s="12">
        <v>-25000.2</v>
      </c>
      <c r="M2501" s="12">
        <v>0</v>
      </c>
      <c r="N2501" s="12">
        <v>25004</v>
      </c>
      <c r="O2501" s="12">
        <v>3.8</v>
      </c>
      <c r="P2501" s="12">
        <v>13.68</v>
      </c>
      <c r="Q2501" s="12" t="s">
        <v>3</v>
      </c>
    </row>
    <row r="2502" spans="1:17" x14ac:dyDescent="0.3">
      <c r="A2502" s="12" t="s">
        <v>94</v>
      </c>
      <c r="B2502" s="12" t="s">
        <v>201</v>
      </c>
      <c r="C2502" s="12" t="s">
        <v>213</v>
      </c>
      <c r="E2502" s="12" t="s">
        <v>110</v>
      </c>
      <c r="F2502" s="12" t="s">
        <v>114</v>
      </c>
      <c r="G2502" s="12" t="s">
        <v>46</v>
      </c>
      <c r="I2502" s="12">
        <v>-24</v>
      </c>
      <c r="L2502" s="12">
        <v>7899.8</v>
      </c>
      <c r="M2502" s="12">
        <v>0</v>
      </c>
      <c r="N2502" s="12">
        <v>8701.3799999999992</v>
      </c>
      <c r="O2502" s="12">
        <v>-506.82</v>
      </c>
      <c r="P2502" s="12">
        <v>0.68</v>
      </c>
    </row>
    <row r="2503" spans="1:17" x14ac:dyDescent="0.3">
      <c r="A2503" s="12" t="s">
        <v>94</v>
      </c>
      <c r="B2503" s="12" t="s">
        <v>201</v>
      </c>
      <c r="C2503" s="12" t="s">
        <v>123</v>
      </c>
      <c r="D2503" s="12" t="s">
        <v>209</v>
      </c>
      <c r="E2503" s="12" t="s">
        <v>110</v>
      </c>
      <c r="F2503" s="12" t="s">
        <v>114</v>
      </c>
      <c r="G2503" s="12" t="s">
        <v>66</v>
      </c>
      <c r="H2503" s="12" t="s">
        <v>861</v>
      </c>
      <c r="I2503" s="12">
        <v>65</v>
      </c>
      <c r="J2503" s="12">
        <v>80.03</v>
      </c>
      <c r="K2503" s="12">
        <v>79.87</v>
      </c>
      <c r="L2503" s="12">
        <v>-5201.95</v>
      </c>
      <c r="M2503" s="12">
        <v>0</v>
      </c>
      <c r="N2503" s="12">
        <v>5201.95</v>
      </c>
      <c r="O2503" s="12">
        <v>0</v>
      </c>
      <c r="P2503" s="12">
        <v>-10.4</v>
      </c>
      <c r="Q2503" s="12" t="s">
        <v>215</v>
      </c>
    </row>
    <row r="2504" spans="1:17" x14ac:dyDescent="0.3">
      <c r="A2504" s="12" t="s">
        <v>94</v>
      </c>
      <c r="B2504" s="12" t="s">
        <v>201</v>
      </c>
      <c r="C2504" s="12" t="s">
        <v>213</v>
      </c>
      <c r="E2504" s="12" t="s">
        <v>110</v>
      </c>
      <c r="F2504" s="12" t="s">
        <v>114</v>
      </c>
      <c r="G2504" s="12" t="s">
        <v>66</v>
      </c>
      <c r="I2504" s="12">
        <v>65</v>
      </c>
      <c r="L2504" s="12">
        <v>-5201.95</v>
      </c>
      <c r="M2504" s="12">
        <v>0</v>
      </c>
      <c r="N2504" s="12">
        <v>5201.95</v>
      </c>
      <c r="O2504" s="12">
        <v>0</v>
      </c>
      <c r="P2504" s="12">
        <v>-10.4</v>
      </c>
    </row>
    <row r="2505" spans="1:17" x14ac:dyDescent="0.3">
      <c r="A2505" s="12" t="s">
        <v>94</v>
      </c>
      <c r="B2505" s="12" t="s">
        <v>201</v>
      </c>
      <c r="C2505" s="12" t="s">
        <v>123</v>
      </c>
      <c r="D2505" s="12" t="s">
        <v>209</v>
      </c>
      <c r="E2505" s="12" t="s">
        <v>110</v>
      </c>
      <c r="F2505" s="12" t="s">
        <v>114</v>
      </c>
      <c r="G2505" s="12" t="s">
        <v>67</v>
      </c>
      <c r="H2505" s="12" t="s">
        <v>862</v>
      </c>
      <c r="I2505" s="12">
        <v>20</v>
      </c>
      <c r="J2505" s="12">
        <v>238.26</v>
      </c>
      <c r="K2505" s="12">
        <v>238</v>
      </c>
      <c r="L2505" s="12">
        <v>-4765.2</v>
      </c>
      <c r="M2505" s="12">
        <v>0</v>
      </c>
      <c r="N2505" s="12">
        <v>4765.2</v>
      </c>
      <c r="O2505" s="12">
        <v>0</v>
      </c>
      <c r="P2505" s="12">
        <v>-5.2</v>
      </c>
      <c r="Q2505" s="12" t="s">
        <v>215</v>
      </c>
    </row>
    <row r="2506" spans="1:17" x14ac:dyDescent="0.3">
      <c r="A2506" s="12" t="s">
        <v>94</v>
      </c>
      <c r="B2506" s="12" t="s">
        <v>201</v>
      </c>
      <c r="C2506" s="12" t="s">
        <v>213</v>
      </c>
      <c r="E2506" s="12" t="s">
        <v>110</v>
      </c>
      <c r="F2506" s="12" t="s">
        <v>114</v>
      </c>
      <c r="G2506" s="12" t="s">
        <v>67</v>
      </c>
      <c r="I2506" s="12">
        <v>20</v>
      </c>
      <c r="L2506" s="12">
        <v>-4765.2</v>
      </c>
      <c r="M2506" s="12">
        <v>0</v>
      </c>
      <c r="N2506" s="12">
        <v>4765.2</v>
      </c>
      <c r="O2506" s="12">
        <v>0</v>
      </c>
      <c r="P2506" s="12">
        <v>-5.2</v>
      </c>
    </row>
    <row r="2507" spans="1:17" x14ac:dyDescent="0.3">
      <c r="A2507" s="12" t="s">
        <v>94</v>
      </c>
      <c r="B2507" s="12" t="s">
        <v>201</v>
      </c>
      <c r="C2507" s="12" t="s">
        <v>123</v>
      </c>
      <c r="D2507" s="12" t="s">
        <v>209</v>
      </c>
      <c r="E2507" s="12" t="s">
        <v>110</v>
      </c>
      <c r="F2507" s="12" t="s">
        <v>114</v>
      </c>
      <c r="G2507" s="12" t="s">
        <v>68</v>
      </c>
      <c r="H2507" s="12" t="s">
        <v>863</v>
      </c>
      <c r="I2507" s="12">
        <v>30</v>
      </c>
      <c r="J2507" s="12">
        <v>225</v>
      </c>
      <c r="K2507" s="12">
        <v>225.46</v>
      </c>
      <c r="L2507" s="12">
        <v>-6750</v>
      </c>
      <c r="M2507" s="12">
        <v>0</v>
      </c>
      <c r="N2507" s="12">
        <v>6750</v>
      </c>
      <c r="O2507" s="12">
        <v>0</v>
      </c>
      <c r="P2507" s="12">
        <v>13.8</v>
      </c>
      <c r="Q2507" s="12" t="s">
        <v>215</v>
      </c>
    </row>
    <row r="2508" spans="1:17" x14ac:dyDescent="0.3">
      <c r="A2508" s="12" t="s">
        <v>94</v>
      </c>
      <c r="B2508" s="12" t="s">
        <v>201</v>
      </c>
      <c r="C2508" s="12" t="s">
        <v>213</v>
      </c>
      <c r="E2508" s="12" t="s">
        <v>110</v>
      </c>
      <c r="F2508" s="12" t="s">
        <v>114</v>
      </c>
      <c r="G2508" s="12" t="s">
        <v>68</v>
      </c>
      <c r="I2508" s="12">
        <v>30</v>
      </c>
      <c r="L2508" s="12">
        <v>-6750</v>
      </c>
      <c r="M2508" s="12">
        <v>0</v>
      </c>
      <c r="N2508" s="12">
        <v>6750</v>
      </c>
      <c r="O2508" s="12">
        <v>0</v>
      </c>
      <c r="P2508" s="12">
        <v>13.8</v>
      </c>
    </row>
    <row r="2509" spans="1:17" x14ac:dyDescent="0.3">
      <c r="A2509" s="12" t="s">
        <v>94</v>
      </c>
      <c r="B2509" s="12" t="s">
        <v>201</v>
      </c>
      <c r="C2509" s="12" t="s">
        <v>123</v>
      </c>
      <c r="D2509" s="12" t="s">
        <v>209</v>
      </c>
      <c r="E2509" s="12" t="s">
        <v>110</v>
      </c>
      <c r="F2509" s="12" t="s">
        <v>114</v>
      </c>
      <c r="G2509" s="12" t="s">
        <v>18</v>
      </c>
      <c r="H2509" s="12" t="s">
        <v>864</v>
      </c>
      <c r="I2509" s="12">
        <v>11</v>
      </c>
      <c r="J2509" s="12">
        <v>292.02999999999997</v>
      </c>
      <c r="K2509" s="12">
        <v>292.5</v>
      </c>
      <c r="L2509" s="12">
        <v>-3212.33</v>
      </c>
      <c r="M2509" s="12">
        <v>0</v>
      </c>
      <c r="N2509" s="12">
        <v>3212.33</v>
      </c>
      <c r="O2509" s="12">
        <v>0</v>
      </c>
      <c r="P2509" s="12">
        <v>5.17</v>
      </c>
      <c r="Q2509" s="12" t="s">
        <v>211</v>
      </c>
    </row>
    <row r="2510" spans="1:17" x14ac:dyDescent="0.3">
      <c r="A2510" s="12" t="s">
        <v>94</v>
      </c>
      <c r="B2510" s="12" t="s">
        <v>201</v>
      </c>
      <c r="C2510" s="12" t="s">
        <v>213</v>
      </c>
      <c r="E2510" s="12" t="s">
        <v>110</v>
      </c>
      <c r="F2510" s="12" t="s">
        <v>114</v>
      </c>
      <c r="G2510" s="12" t="s">
        <v>18</v>
      </c>
      <c r="I2510" s="12">
        <v>11</v>
      </c>
      <c r="L2510" s="12">
        <v>-3212.33</v>
      </c>
      <c r="M2510" s="12">
        <v>0</v>
      </c>
      <c r="N2510" s="12">
        <v>3212.33</v>
      </c>
      <c r="O2510" s="12">
        <v>0</v>
      </c>
      <c r="P2510" s="12">
        <v>5.17</v>
      </c>
    </row>
    <row r="2511" spans="1:17" x14ac:dyDescent="0.3">
      <c r="A2511" s="12" t="s">
        <v>94</v>
      </c>
      <c r="B2511" s="12" t="s">
        <v>201</v>
      </c>
      <c r="C2511" s="12" t="s">
        <v>123</v>
      </c>
      <c r="D2511" s="12" t="s">
        <v>209</v>
      </c>
      <c r="E2511" s="12" t="s">
        <v>110</v>
      </c>
      <c r="F2511" s="12" t="s">
        <v>114</v>
      </c>
      <c r="G2511" s="12" t="s">
        <v>48</v>
      </c>
      <c r="H2511" s="12" t="s">
        <v>865</v>
      </c>
      <c r="I2511" s="12">
        <v>-30</v>
      </c>
      <c r="J2511" s="12">
        <v>166.24</v>
      </c>
      <c r="K2511" s="12">
        <v>163.22999999999999</v>
      </c>
      <c r="L2511" s="12">
        <v>4987.2</v>
      </c>
      <c r="M2511" s="12">
        <v>0</v>
      </c>
      <c r="N2511" s="12">
        <v>-4027.3469700000001</v>
      </c>
      <c r="O2511" s="12">
        <v>959.85302999999999</v>
      </c>
      <c r="P2511" s="12">
        <v>90.3</v>
      </c>
      <c r="Q2511" s="12" t="s">
        <v>3</v>
      </c>
    </row>
    <row r="2512" spans="1:17" x14ac:dyDescent="0.3">
      <c r="A2512" s="12" t="s">
        <v>94</v>
      </c>
      <c r="B2512" s="12" t="s">
        <v>201</v>
      </c>
      <c r="C2512" s="12" t="s">
        <v>213</v>
      </c>
      <c r="E2512" s="12" t="s">
        <v>110</v>
      </c>
      <c r="F2512" s="12" t="s">
        <v>114</v>
      </c>
      <c r="G2512" s="12" t="s">
        <v>48</v>
      </c>
      <c r="I2512" s="12">
        <v>-30</v>
      </c>
      <c r="L2512" s="12">
        <v>4987.2</v>
      </c>
      <c r="M2512" s="12">
        <v>0</v>
      </c>
      <c r="N2512" s="12">
        <v>-4027.3469700000001</v>
      </c>
      <c r="O2512" s="12">
        <v>959.85302999999999</v>
      </c>
      <c r="P2512" s="12">
        <v>90.3</v>
      </c>
    </row>
    <row r="2513" spans="1:17" x14ac:dyDescent="0.3">
      <c r="A2513" s="12" t="s">
        <v>94</v>
      </c>
      <c r="B2513" s="12" t="s">
        <v>201</v>
      </c>
      <c r="C2513" s="12" t="s">
        <v>123</v>
      </c>
      <c r="D2513" s="12" t="s">
        <v>209</v>
      </c>
      <c r="E2513" s="12" t="s">
        <v>110</v>
      </c>
      <c r="F2513" s="12" t="s">
        <v>114</v>
      </c>
      <c r="G2513" s="12" t="s">
        <v>54</v>
      </c>
      <c r="H2513" s="12" t="s">
        <v>866</v>
      </c>
      <c r="I2513" s="12">
        <v>-20</v>
      </c>
      <c r="J2513" s="12">
        <v>165</v>
      </c>
      <c r="K2513" s="12">
        <v>162.08000000000001</v>
      </c>
      <c r="L2513" s="12">
        <v>3300</v>
      </c>
      <c r="M2513" s="12">
        <v>0</v>
      </c>
      <c r="N2513" s="12">
        <v>-2771.9429089999999</v>
      </c>
      <c r="O2513" s="12">
        <v>528.05709100000001</v>
      </c>
      <c r="P2513" s="12">
        <v>58.4</v>
      </c>
      <c r="Q2513" s="12" t="s">
        <v>3</v>
      </c>
    </row>
    <row r="2514" spans="1:17" x14ac:dyDescent="0.3">
      <c r="A2514" s="12" t="s">
        <v>94</v>
      </c>
      <c r="B2514" s="12" t="s">
        <v>201</v>
      </c>
      <c r="C2514" s="12" t="s">
        <v>213</v>
      </c>
      <c r="E2514" s="12" t="s">
        <v>110</v>
      </c>
      <c r="F2514" s="12" t="s">
        <v>114</v>
      </c>
      <c r="G2514" s="12" t="s">
        <v>54</v>
      </c>
      <c r="I2514" s="12">
        <v>-20</v>
      </c>
      <c r="L2514" s="12">
        <v>3300</v>
      </c>
      <c r="M2514" s="12">
        <v>0</v>
      </c>
      <c r="N2514" s="12">
        <v>-2771.9429089999999</v>
      </c>
      <c r="O2514" s="12">
        <v>528.05709100000001</v>
      </c>
      <c r="P2514" s="12">
        <v>58.4</v>
      </c>
    </row>
    <row r="2515" spans="1:17" x14ac:dyDescent="0.3">
      <c r="A2515" s="12" t="s">
        <v>94</v>
      </c>
      <c r="B2515" s="12" t="s">
        <v>201</v>
      </c>
      <c r="C2515" s="12" t="s">
        <v>123</v>
      </c>
      <c r="D2515" s="12" t="s">
        <v>209</v>
      </c>
      <c r="E2515" s="12" t="s">
        <v>110</v>
      </c>
      <c r="F2515" s="12" t="s">
        <v>114</v>
      </c>
      <c r="G2515" s="12" t="s">
        <v>19</v>
      </c>
      <c r="H2515" s="12" t="s">
        <v>867</v>
      </c>
      <c r="I2515" s="12">
        <v>-60</v>
      </c>
      <c r="J2515" s="12">
        <v>175.47</v>
      </c>
      <c r="K2515" s="12">
        <v>177.24</v>
      </c>
      <c r="L2515" s="12">
        <v>10528.2</v>
      </c>
      <c r="M2515" s="12">
        <v>0</v>
      </c>
      <c r="N2515" s="12">
        <v>-8831.6274240000002</v>
      </c>
      <c r="O2515" s="12">
        <v>1696.572576</v>
      </c>
      <c r="P2515" s="12">
        <v>-106.2</v>
      </c>
      <c r="Q2515" s="12" t="s">
        <v>230</v>
      </c>
    </row>
    <row r="2516" spans="1:17" x14ac:dyDescent="0.3">
      <c r="A2516" s="12" t="s">
        <v>94</v>
      </c>
      <c r="B2516" s="12" t="s">
        <v>201</v>
      </c>
      <c r="C2516" s="12" t="s">
        <v>213</v>
      </c>
      <c r="E2516" s="12" t="s">
        <v>110</v>
      </c>
      <c r="F2516" s="12" t="s">
        <v>114</v>
      </c>
      <c r="G2516" s="12" t="s">
        <v>19</v>
      </c>
      <c r="I2516" s="12">
        <v>-60</v>
      </c>
      <c r="L2516" s="12">
        <v>10528.2</v>
      </c>
      <c r="M2516" s="12">
        <v>0</v>
      </c>
      <c r="N2516" s="12">
        <v>-8831.6274240000002</v>
      </c>
      <c r="O2516" s="12">
        <v>1696.572576</v>
      </c>
      <c r="P2516" s="12">
        <v>-106.2</v>
      </c>
    </row>
    <row r="2517" spans="1:17" x14ac:dyDescent="0.3">
      <c r="A2517" s="12" t="s">
        <v>94</v>
      </c>
      <c r="B2517" s="12" t="s">
        <v>201</v>
      </c>
      <c r="C2517" s="12" t="s">
        <v>123</v>
      </c>
      <c r="D2517" s="12" t="s">
        <v>209</v>
      </c>
      <c r="E2517" s="12" t="s">
        <v>110</v>
      </c>
      <c r="F2517" s="12" t="s">
        <v>114</v>
      </c>
      <c r="G2517" s="12" t="s">
        <v>69</v>
      </c>
      <c r="H2517" s="12" t="s">
        <v>868</v>
      </c>
      <c r="I2517" s="12">
        <v>15</v>
      </c>
      <c r="J2517" s="12">
        <v>334.95</v>
      </c>
      <c r="K2517" s="12">
        <v>336.91</v>
      </c>
      <c r="L2517" s="12">
        <v>-5024.25</v>
      </c>
      <c r="M2517" s="12">
        <v>0</v>
      </c>
      <c r="N2517" s="12">
        <v>5024.25</v>
      </c>
      <c r="O2517" s="12">
        <v>0</v>
      </c>
      <c r="P2517" s="12">
        <v>29.4</v>
      </c>
      <c r="Q2517" s="12" t="s">
        <v>215</v>
      </c>
    </row>
    <row r="2518" spans="1:17" x14ac:dyDescent="0.3">
      <c r="A2518" s="12" t="s">
        <v>94</v>
      </c>
      <c r="B2518" s="12" t="s">
        <v>201</v>
      </c>
      <c r="C2518" s="12" t="s">
        <v>213</v>
      </c>
      <c r="E2518" s="12" t="s">
        <v>110</v>
      </c>
      <c r="F2518" s="12" t="s">
        <v>114</v>
      </c>
      <c r="G2518" s="12" t="s">
        <v>69</v>
      </c>
      <c r="I2518" s="12">
        <v>15</v>
      </c>
      <c r="L2518" s="12">
        <v>-5024.25</v>
      </c>
      <c r="M2518" s="12">
        <v>0</v>
      </c>
      <c r="N2518" s="12">
        <v>5024.25</v>
      </c>
      <c r="O2518" s="12">
        <v>0</v>
      </c>
      <c r="P2518" s="12">
        <v>29.4</v>
      </c>
    </row>
    <row r="2519" spans="1:17" x14ac:dyDescent="0.3">
      <c r="A2519" s="12" t="s">
        <v>94</v>
      </c>
      <c r="B2519" s="12" t="s">
        <v>201</v>
      </c>
      <c r="C2519" s="12" t="s">
        <v>123</v>
      </c>
      <c r="D2519" s="12" t="s">
        <v>209</v>
      </c>
      <c r="E2519" s="12" t="s">
        <v>110</v>
      </c>
      <c r="F2519" s="12" t="s">
        <v>114</v>
      </c>
      <c r="G2519" s="12" t="s">
        <v>20</v>
      </c>
      <c r="H2519" s="12" t="s">
        <v>869</v>
      </c>
      <c r="I2519" s="12">
        <v>20</v>
      </c>
      <c r="J2519" s="12">
        <v>346.73</v>
      </c>
      <c r="K2519" s="12">
        <v>349.5</v>
      </c>
      <c r="L2519" s="12">
        <v>-6934.6</v>
      </c>
      <c r="M2519" s="12">
        <v>0</v>
      </c>
      <c r="N2519" s="12">
        <v>6934.6</v>
      </c>
      <c r="O2519" s="12">
        <v>0</v>
      </c>
      <c r="P2519" s="12">
        <v>55.4</v>
      </c>
      <c r="Q2519" s="12" t="s">
        <v>215</v>
      </c>
    </row>
    <row r="2520" spans="1:17" x14ac:dyDescent="0.3">
      <c r="A2520" s="12" t="s">
        <v>94</v>
      </c>
      <c r="B2520" s="12" t="s">
        <v>201</v>
      </c>
      <c r="C2520" s="12" t="s">
        <v>213</v>
      </c>
      <c r="E2520" s="12" t="s">
        <v>110</v>
      </c>
      <c r="F2520" s="12" t="s">
        <v>114</v>
      </c>
      <c r="G2520" s="12" t="s">
        <v>20</v>
      </c>
      <c r="I2520" s="12">
        <v>20</v>
      </c>
      <c r="L2520" s="12">
        <v>-6934.6</v>
      </c>
      <c r="M2520" s="12">
        <v>0</v>
      </c>
      <c r="N2520" s="12">
        <v>6934.6</v>
      </c>
      <c r="O2520" s="12">
        <v>0</v>
      </c>
      <c r="P2520" s="12">
        <v>55.4</v>
      </c>
    </row>
    <row r="2521" spans="1:17" x14ac:dyDescent="0.3">
      <c r="A2521" s="12" t="s">
        <v>94</v>
      </c>
      <c r="B2521" s="12" t="s">
        <v>201</v>
      </c>
      <c r="C2521" s="12" t="s">
        <v>123</v>
      </c>
      <c r="D2521" s="12" t="s">
        <v>209</v>
      </c>
      <c r="E2521" s="12" t="s">
        <v>110</v>
      </c>
      <c r="F2521" s="12" t="s">
        <v>114</v>
      </c>
      <c r="G2521" s="12" t="s">
        <v>37</v>
      </c>
      <c r="H2521" s="12" t="s">
        <v>870</v>
      </c>
      <c r="I2521" s="12">
        <v>-15</v>
      </c>
      <c r="J2521" s="12">
        <v>171</v>
      </c>
      <c r="K2521" s="12">
        <v>173.92</v>
      </c>
      <c r="L2521" s="12">
        <v>2565</v>
      </c>
      <c r="M2521" s="12">
        <v>0</v>
      </c>
      <c r="N2521" s="12">
        <v>-2772.6750000000002</v>
      </c>
      <c r="O2521" s="12">
        <v>-207.67500000000001</v>
      </c>
      <c r="P2521" s="12">
        <v>-43.8</v>
      </c>
      <c r="Q2521" s="12" t="s">
        <v>3</v>
      </c>
    </row>
    <row r="2522" spans="1:17" x14ac:dyDescent="0.3">
      <c r="A2522" s="12" t="s">
        <v>94</v>
      </c>
      <c r="B2522" s="12" t="s">
        <v>201</v>
      </c>
      <c r="C2522" s="12" t="s">
        <v>213</v>
      </c>
      <c r="E2522" s="12" t="s">
        <v>110</v>
      </c>
      <c r="F2522" s="12" t="s">
        <v>114</v>
      </c>
      <c r="G2522" s="12" t="s">
        <v>37</v>
      </c>
      <c r="I2522" s="12">
        <v>-15</v>
      </c>
      <c r="L2522" s="12">
        <v>2565</v>
      </c>
      <c r="M2522" s="12">
        <v>0</v>
      </c>
      <c r="N2522" s="12">
        <v>-2772.6750000000002</v>
      </c>
      <c r="O2522" s="12">
        <v>-207.67500000000001</v>
      </c>
      <c r="P2522" s="12">
        <v>-43.8</v>
      </c>
    </row>
    <row r="2523" spans="1:17" x14ac:dyDescent="0.3">
      <c r="A2523" s="12" t="s">
        <v>94</v>
      </c>
      <c r="B2523" s="12" t="s">
        <v>201</v>
      </c>
      <c r="C2523" s="12" t="s">
        <v>123</v>
      </c>
      <c r="D2523" s="12" t="s">
        <v>209</v>
      </c>
      <c r="E2523" s="12" t="s">
        <v>110</v>
      </c>
      <c r="F2523" s="12" t="s">
        <v>114</v>
      </c>
      <c r="G2523" s="12" t="s">
        <v>70</v>
      </c>
      <c r="H2523" s="12" t="s">
        <v>871</v>
      </c>
      <c r="I2523" s="12">
        <v>25</v>
      </c>
      <c r="J2523" s="12">
        <v>195.59</v>
      </c>
      <c r="K2523" s="12">
        <v>196.91</v>
      </c>
      <c r="L2523" s="12">
        <v>-4889.75</v>
      </c>
      <c r="M2523" s="12">
        <v>0</v>
      </c>
      <c r="N2523" s="12">
        <v>4889.75</v>
      </c>
      <c r="O2523" s="12">
        <v>0</v>
      </c>
      <c r="P2523" s="12">
        <v>33</v>
      </c>
      <c r="Q2523" s="12" t="s">
        <v>215</v>
      </c>
    </row>
    <row r="2524" spans="1:17" x14ac:dyDescent="0.3">
      <c r="A2524" s="12" t="s">
        <v>94</v>
      </c>
      <c r="B2524" s="12" t="s">
        <v>201</v>
      </c>
      <c r="C2524" s="12" t="s">
        <v>213</v>
      </c>
      <c r="E2524" s="12" t="s">
        <v>110</v>
      </c>
      <c r="F2524" s="12" t="s">
        <v>114</v>
      </c>
      <c r="G2524" s="12" t="s">
        <v>70</v>
      </c>
      <c r="I2524" s="12">
        <v>25</v>
      </c>
      <c r="L2524" s="12">
        <v>-4889.75</v>
      </c>
      <c r="M2524" s="12">
        <v>0</v>
      </c>
      <c r="N2524" s="12">
        <v>4889.75</v>
      </c>
      <c r="O2524" s="12">
        <v>0</v>
      </c>
      <c r="P2524" s="12">
        <v>33</v>
      </c>
    </row>
    <row r="2525" spans="1:17" x14ac:dyDescent="0.3">
      <c r="A2525" s="12" t="s">
        <v>94</v>
      </c>
      <c r="B2525" s="12" t="s">
        <v>201</v>
      </c>
      <c r="C2525" s="12" t="s">
        <v>123</v>
      </c>
      <c r="D2525" s="12" t="s">
        <v>209</v>
      </c>
      <c r="E2525" s="12" t="s">
        <v>110</v>
      </c>
      <c r="F2525" s="12" t="s">
        <v>114</v>
      </c>
      <c r="G2525" s="12" t="s">
        <v>59</v>
      </c>
      <c r="H2525" s="12" t="s">
        <v>872</v>
      </c>
      <c r="I2525" s="12">
        <v>-30</v>
      </c>
      <c r="J2525" s="12">
        <v>63.91</v>
      </c>
      <c r="K2525" s="12">
        <v>63.92</v>
      </c>
      <c r="L2525" s="12">
        <v>1917.3</v>
      </c>
      <c r="M2525" s="12">
        <v>0</v>
      </c>
      <c r="N2525" s="12">
        <v>-1895.1</v>
      </c>
      <c r="O2525" s="12">
        <v>22.2</v>
      </c>
      <c r="P2525" s="12">
        <v>-0.3</v>
      </c>
      <c r="Q2525" s="12" t="s">
        <v>3</v>
      </c>
    </row>
    <row r="2526" spans="1:17" x14ac:dyDescent="0.3">
      <c r="A2526" s="12" t="s">
        <v>94</v>
      </c>
      <c r="B2526" s="12" t="s">
        <v>201</v>
      </c>
      <c r="C2526" s="12" t="s">
        <v>123</v>
      </c>
      <c r="D2526" s="12" t="s">
        <v>209</v>
      </c>
      <c r="E2526" s="12" t="s">
        <v>110</v>
      </c>
      <c r="F2526" s="12" t="s">
        <v>114</v>
      </c>
      <c r="G2526" s="12" t="s">
        <v>59</v>
      </c>
      <c r="H2526" s="12" t="s">
        <v>873</v>
      </c>
      <c r="I2526" s="12">
        <v>-70</v>
      </c>
      <c r="J2526" s="12">
        <v>62.39</v>
      </c>
      <c r="K2526" s="12">
        <v>62.77</v>
      </c>
      <c r="L2526" s="12">
        <v>4367.3</v>
      </c>
      <c r="M2526" s="12">
        <v>0</v>
      </c>
      <c r="N2526" s="12">
        <v>-4421.8999999999996</v>
      </c>
      <c r="O2526" s="12">
        <v>-54.6</v>
      </c>
      <c r="P2526" s="12">
        <v>-26.6</v>
      </c>
      <c r="Q2526" s="12" t="s">
        <v>3</v>
      </c>
    </row>
    <row r="2527" spans="1:17" x14ac:dyDescent="0.3">
      <c r="A2527" s="12" t="s">
        <v>94</v>
      </c>
      <c r="B2527" s="12" t="s">
        <v>201</v>
      </c>
      <c r="C2527" s="12" t="s">
        <v>213</v>
      </c>
      <c r="E2527" s="12" t="s">
        <v>110</v>
      </c>
      <c r="F2527" s="12" t="s">
        <v>114</v>
      </c>
      <c r="G2527" s="12" t="s">
        <v>59</v>
      </c>
      <c r="I2527" s="12">
        <v>-100</v>
      </c>
      <c r="L2527" s="12">
        <v>6284.6</v>
      </c>
      <c r="M2527" s="12">
        <v>0</v>
      </c>
      <c r="N2527" s="12">
        <v>-6317</v>
      </c>
      <c r="O2527" s="12">
        <v>-32.4</v>
      </c>
      <c r="P2527" s="12">
        <v>-26.9</v>
      </c>
    </row>
    <row r="2528" spans="1:17" x14ac:dyDescent="0.3">
      <c r="A2528" s="12" t="s">
        <v>94</v>
      </c>
      <c r="B2528" s="12" t="s">
        <v>201</v>
      </c>
      <c r="C2528" s="12" t="s">
        <v>123</v>
      </c>
      <c r="D2528" s="12" t="s">
        <v>209</v>
      </c>
      <c r="E2528" s="12" t="s">
        <v>110</v>
      </c>
      <c r="F2528" s="12" t="s">
        <v>114</v>
      </c>
      <c r="G2528" s="12" t="s">
        <v>26</v>
      </c>
      <c r="H2528" s="12" t="s">
        <v>874</v>
      </c>
      <c r="I2528" s="12">
        <v>-20</v>
      </c>
      <c r="J2528" s="12">
        <v>406.88</v>
      </c>
      <c r="K2528" s="12">
        <v>410.11</v>
      </c>
      <c r="L2528" s="12">
        <v>8137.6</v>
      </c>
      <c r="M2528" s="12">
        <v>0</v>
      </c>
      <c r="N2528" s="12">
        <v>-7836.95</v>
      </c>
      <c r="O2528" s="12">
        <v>300.64999999999998</v>
      </c>
      <c r="P2528" s="12">
        <v>-64.599999999999994</v>
      </c>
      <c r="Q2528" s="12" t="s">
        <v>230</v>
      </c>
    </row>
    <row r="2529" spans="1:17" x14ac:dyDescent="0.3">
      <c r="A2529" s="12" t="s">
        <v>94</v>
      </c>
      <c r="B2529" s="12" t="s">
        <v>201</v>
      </c>
      <c r="C2529" s="12" t="s">
        <v>213</v>
      </c>
      <c r="E2529" s="12" t="s">
        <v>110</v>
      </c>
      <c r="F2529" s="12" t="s">
        <v>114</v>
      </c>
      <c r="G2529" s="12" t="s">
        <v>26</v>
      </c>
      <c r="I2529" s="12">
        <v>-20</v>
      </c>
      <c r="L2529" s="12">
        <v>8137.6</v>
      </c>
      <c r="M2529" s="12">
        <v>0</v>
      </c>
      <c r="N2529" s="12">
        <v>-7836.95</v>
      </c>
      <c r="O2529" s="12">
        <v>300.64999999999998</v>
      </c>
      <c r="P2529" s="12">
        <v>-64.599999999999994</v>
      </c>
    </row>
    <row r="2530" spans="1:17" x14ac:dyDescent="0.3">
      <c r="A2530" s="12" t="s">
        <v>94</v>
      </c>
      <c r="B2530" s="12" t="s">
        <v>201</v>
      </c>
      <c r="C2530" s="12" t="s">
        <v>123</v>
      </c>
      <c r="D2530" s="12" t="s">
        <v>209</v>
      </c>
      <c r="E2530" s="12" t="s">
        <v>110</v>
      </c>
      <c r="F2530" s="12" t="s">
        <v>114</v>
      </c>
      <c r="G2530" s="12" t="s">
        <v>27</v>
      </c>
      <c r="H2530" s="12" t="s">
        <v>875</v>
      </c>
      <c r="I2530" s="12">
        <v>-10</v>
      </c>
      <c r="J2530" s="12">
        <v>497.97500000000002</v>
      </c>
      <c r="K2530" s="12">
        <v>506.63</v>
      </c>
      <c r="L2530" s="12">
        <v>4979.75</v>
      </c>
      <c r="M2530" s="12">
        <v>0</v>
      </c>
      <c r="N2530" s="12">
        <v>-3424.0190469999998</v>
      </c>
      <c r="O2530" s="12">
        <v>1555.730953</v>
      </c>
      <c r="P2530" s="12">
        <v>-86.55</v>
      </c>
      <c r="Q2530" s="12" t="s">
        <v>3</v>
      </c>
    </row>
    <row r="2531" spans="1:17" x14ac:dyDescent="0.3">
      <c r="A2531" s="12" t="s">
        <v>94</v>
      </c>
      <c r="B2531" s="12" t="s">
        <v>201</v>
      </c>
      <c r="C2531" s="12" t="s">
        <v>123</v>
      </c>
      <c r="D2531" s="12" t="s">
        <v>209</v>
      </c>
      <c r="E2531" s="12" t="s">
        <v>110</v>
      </c>
      <c r="F2531" s="12" t="s">
        <v>114</v>
      </c>
      <c r="G2531" s="12" t="s">
        <v>27</v>
      </c>
      <c r="H2531" s="12" t="s">
        <v>876</v>
      </c>
      <c r="I2531" s="12">
        <v>-14</v>
      </c>
      <c r="J2531" s="12">
        <v>504</v>
      </c>
      <c r="K2531" s="12">
        <v>506.63</v>
      </c>
      <c r="L2531" s="12">
        <v>7056</v>
      </c>
      <c r="M2531" s="12">
        <v>0</v>
      </c>
      <c r="N2531" s="12">
        <v>-6654.4319050000004</v>
      </c>
      <c r="O2531" s="12">
        <v>401.56809500000003</v>
      </c>
      <c r="P2531" s="12">
        <v>-36.82</v>
      </c>
      <c r="Q2531" s="12" t="s">
        <v>3</v>
      </c>
    </row>
    <row r="2532" spans="1:17" x14ac:dyDescent="0.3">
      <c r="A2532" s="12" t="s">
        <v>94</v>
      </c>
      <c r="B2532" s="12" t="s">
        <v>201</v>
      </c>
      <c r="C2532" s="12" t="s">
        <v>123</v>
      </c>
      <c r="D2532" s="12" t="s">
        <v>209</v>
      </c>
      <c r="E2532" s="12" t="s">
        <v>110</v>
      </c>
      <c r="F2532" s="12" t="s">
        <v>114</v>
      </c>
      <c r="G2532" s="12" t="s">
        <v>27</v>
      </c>
      <c r="H2532" s="12" t="s">
        <v>877</v>
      </c>
      <c r="I2532" s="12">
        <v>10</v>
      </c>
      <c r="J2532" s="12">
        <v>496.9</v>
      </c>
      <c r="K2532" s="12">
        <v>499.49</v>
      </c>
      <c r="L2532" s="12">
        <v>-4969</v>
      </c>
      <c r="M2532" s="12">
        <v>0</v>
      </c>
      <c r="N2532" s="12">
        <v>4969</v>
      </c>
      <c r="O2532" s="12">
        <v>0</v>
      </c>
      <c r="P2532" s="12">
        <v>25.9</v>
      </c>
      <c r="Q2532" s="12" t="s">
        <v>215</v>
      </c>
    </row>
    <row r="2533" spans="1:17" x14ac:dyDescent="0.3">
      <c r="A2533" s="12" t="s">
        <v>94</v>
      </c>
      <c r="B2533" s="12" t="s">
        <v>201</v>
      </c>
      <c r="C2533" s="12" t="s">
        <v>213</v>
      </c>
      <c r="E2533" s="12" t="s">
        <v>110</v>
      </c>
      <c r="F2533" s="12" t="s">
        <v>114</v>
      </c>
      <c r="G2533" s="12" t="s">
        <v>27</v>
      </c>
      <c r="I2533" s="12">
        <v>-14</v>
      </c>
      <c r="L2533" s="12">
        <v>7066.75</v>
      </c>
      <c r="M2533" s="12">
        <v>0</v>
      </c>
      <c r="N2533" s="12">
        <v>-5109.4509520000001</v>
      </c>
      <c r="O2533" s="12">
        <v>1957.2990480000001</v>
      </c>
      <c r="P2533" s="12">
        <v>-97.47</v>
      </c>
    </row>
    <row r="2534" spans="1:17" x14ac:dyDescent="0.3">
      <c r="A2534" s="12" t="s">
        <v>94</v>
      </c>
      <c r="B2534" s="12" t="s">
        <v>201</v>
      </c>
      <c r="C2534" s="12" t="s">
        <v>123</v>
      </c>
      <c r="D2534" s="12" t="s">
        <v>209</v>
      </c>
      <c r="E2534" s="12" t="s">
        <v>110</v>
      </c>
      <c r="F2534" s="12" t="s">
        <v>114</v>
      </c>
      <c r="G2534" s="12" t="s">
        <v>50</v>
      </c>
      <c r="H2534" s="12" t="s">
        <v>878</v>
      </c>
      <c r="I2534" s="12">
        <v>-5</v>
      </c>
      <c r="J2534" s="12">
        <v>728.74</v>
      </c>
      <c r="K2534" s="12">
        <v>725.5</v>
      </c>
      <c r="L2534" s="12">
        <v>3643.7</v>
      </c>
      <c r="M2534" s="12">
        <v>0</v>
      </c>
      <c r="N2534" s="12">
        <v>-3702.3</v>
      </c>
      <c r="O2534" s="12">
        <v>-58.6</v>
      </c>
      <c r="P2534" s="12">
        <v>16.2</v>
      </c>
      <c r="Q2534" s="12" t="s">
        <v>3</v>
      </c>
    </row>
    <row r="2535" spans="1:17" x14ac:dyDescent="0.3">
      <c r="A2535" s="12" t="s">
        <v>94</v>
      </c>
      <c r="B2535" s="12" t="s">
        <v>201</v>
      </c>
      <c r="C2535" s="12" t="s">
        <v>213</v>
      </c>
      <c r="E2535" s="12" t="s">
        <v>110</v>
      </c>
      <c r="F2535" s="12" t="s">
        <v>114</v>
      </c>
      <c r="G2535" s="12" t="s">
        <v>50</v>
      </c>
      <c r="I2535" s="12">
        <v>-5</v>
      </c>
      <c r="L2535" s="12">
        <v>3643.7</v>
      </c>
      <c r="M2535" s="12">
        <v>0</v>
      </c>
      <c r="N2535" s="12">
        <v>-3702.3</v>
      </c>
      <c r="O2535" s="12">
        <v>-58.6</v>
      </c>
      <c r="P2535" s="12">
        <v>16.2</v>
      </c>
    </row>
    <row r="2536" spans="1:17" x14ac:dyDescent="0.3">
      <c r="A2536" s="12" t="s">
        <v>94</v>
      </c>
      <c r="B2536" s="12" t="s">
        <v>201</v>
      </c>
      <c r="C2536" s="12" t="s">
        <v>123</v>
      </c>
      <c r="D2536" s="12" t="s">
        <v>209</v>
      </c>
      <c r="E2536" s="12" t="s">
        <v>110</v>
      </c>
      <c r="F2536" s="12" t="s">
        <v>114</v>
      </c>
      <c r="G2536" s="12" t="s">
        <v>71</v>
      </c>
      <c r="H2536" s="12" t="s">
        <v>879</v>
      </c>
      <c r="I2536" s="12">
        <v>100</v>
      </c>
      <c r="J2536" s="12">
        <v>126</v>
      </c>
      <c r="K2536" s="12">
        <v>126.57</v>
      </c>
      <c r="L2536" s="12">
        <v>-12600</v>
      </c>
      <c r="M2536" s="12">
        <v>0</v>
      </c>
      <c r="N2536" s="12">
        <v>12600</v>
      </c>
      <c r="O2536" s="12">
        <v>0</v>
      </c>
      <c r="P2536" s="12">
        <v>57</v>
      </c>
      <c r="Q2536" s="12" t="s">
        <v>215</v>
      </c>
    </row>
    <row r="2537" spans="1:17" x14ac:dyDescent="0.3">
      <c r="A2537" s="12" t="s">
        <v>94</v>
      </c>
      <c r="B2537" s="12" t="s">
        <v>201</v>
      </c>
      <c r="C2537" s="12" t="s">
        <v>213</v>
      </c>
      <c r="E2537" s="12" t="s">
        <v>110</v>
      </c>
      <c r="F2537" s="12" t="s">
        <v>114</v>
      </c>
      <c r="G2537" s="12" t="s">
        <v>71</v>
      </c>
      <c r="I2537" s="12">
        <v>100</v>
      </c>
      <c r="L2537" s="12">
        <v>-12600</v>
      </c>
      <c r="M2537" s="12">
        <v>0</v>
      </c>
      <c r="N2537" s="12">
        <v>12600</v>
      </c>
      <c r="O2537" s="12">
        <v>0</v>
      </c>
      <c r="P2537" s="12">
        <v>57</v>
      </c>
    </row>
    <row r="2538" spans="1:17" x14ac:dyDescent="0.3">
      <c r="A2538" s="12" t="s">
        <v>94</v>
      </c>
      <c r="B2538" s="12" t="s">
        <v>201</v>
      </c>
      <c r="C2538" s="12" t="s">
        <v>123</v>
      </c>
      <c r="D2538" s="12" t="s">
        <v>209</v>
      </c>
      <c r="E2538" s="12" t="s">
        <v>110</v>
      </c>
      <c r="F2538" s="12" t="s">
        <v>114</v>
      </c>
      <c r="G2538" s="12" t="s">
        <v>72</v>
      </c>
      <c r="H2538" s="12" t="s">
        <v>880</v>
      </c>
      <c r="I2538" s="12">
        <v>18</v>
      </c>
      <c r="J2538" s="12">
        <v>266.54000000000002</v>
      </c>
      <c r="K2538" s="12">
        <v>268.85000000000002</v>
      </c>
      <c r="L2538" s="12">
        <v>-4797.72</v>
      </c>
      <c r="M2538" s="12">
        <v>0</v>
      </c>
      <c r="N2538" s="12">
        <v>4797.72</v>
      </c>
      <c r="O2538" s="12">
        <v>0</v>
      </c>
      <c r="P2538" s="12">
        <v>41.58</v>
      </c>
      <c r="Q2538" s="12" t="s">
        <v>215</v>
      </c>
    </row>
    <row r="2539" spans="1:17" x14ac:dyDescent="0.3">
      <c r="A2539" s="12" t="s">
        <v>94</v>
      </c>
      <c r="B2539" s="12" t="s">
        <v>201</v>
      </c>
      <c r="C2539" s="12" t="s">
        <v>213</v>
      </c>
      <c r="E2539" s="12" t="s">
        <v>110</v>
      </c>
      <c r="F2539" s="12" t="s">
        <v>114</v>
      </c>
      <c r="G2539" s="12" t="s">
        <v>72</v>
      </c>
      <c r="I2539" s="12">
        <v>18</v>
      </c>
      <c r="L2539" s="12">
        <v>-4797.72</v>
      </c>
      <c r="M2539" s="12">
        <v>0</v>
      </c>
      <c r="N2539" s="12">
        <v>4797.72</v>
      </c>
      <c r="O2539" s="12">
        <v>0</v>
      </c>
      <c r="P2539" s="12">
        <v>41.58</v>
      </c>
    </row>
    <row r="2540" spans="1:17" x14ac:dyDescent="0.3">
      <c r="A2540" s="12" t="s">
        <v>94</v>
      </c>
      <c r="B2540" s="12" t="s">
        <v>201</v>
      </c>
      <c r="C2540" s="12" t="s">
        <v>123</v>
      </c>
      <c r="D2540" s="12" t="s">
        <v>209</v>
      </c>
      <c r="E2540" s="12" t="s">
        <v>110</v>
      </c>
      <c r="F2540" s="12" t="s">
        <v>114</v>
      </c>
      <c r="G2540" s="12" t="s">
        <v>57</v>
      </c>
      <c r="H2540" s="12" t="s">
        <v>881</v>
      </c>
      <c r="I2540" s="12">
        <v>-65</v>
      </c>
      <c r="J2540" s="12">
        <v>121.38</v>
      </c>
      <c r="K2540" s="12">
        <v>122.63</v>
      </c>
      <c r="L2540" s="12">
        <v>7889.7</v>
      </c>
      <c r="M2540" s="12">
        <v>0</v>
      </c>
      <c r="N2540" s="12">
        <v>-7893.26</v>
      </c>
      <c r="O2540" s="12">
        <v>-3.56</v>
      </c>
      <c r="P2540" s="12">
        <v>-81.25</v>
      </c>
      <c r="Q2540" s="12" t="s">
        <v>3</v>
      </c>
    </row>
    <row r="2541" spans="1:17" x14ac:dyDescent="0.3">
      <c r="A2541" s="12" t="s">
        <v>94</v>
      </c>
      <c r="B2541" s="12" t="s">
        <v>201</v>
      </c>
      <c r="C2541" s="12" t="s">
        <v>213</v>
      </c>
      <c r="E2541" s="12" t="s">
        <v>110</v>
      </c>
      <c r="F2541" s="12" t="s">
        <v>114</v>
      </c>
      <c r="G2541" s="12" t="s">
        <v>57</v>
      </c>
      <c r="I2541" s="12">
        <v>-65</v>
      </c>
      <c r="L2541" s="12">
        <v>7889.7</v>
      </c>
      <c r="M2541" s="12">
        <v>0</v>
      </c>
      <c r="N2541" s="12">
        <v>-7893.26</v>
      </c>
      <c r="O2541" s="12">
        <v>-3.56</v>
      </c>
      <c r="P2541" s="12">
        <v>-81.25</v>
      </c>
    </row>
    <row r="2542" spans="1:17" x14ac:dyDescent="0.3">
      <c r="A2542" s="12" t="s">
        <v>94</v>
      </c>
      <c r="B2542" s="12" t="s">
        <v>201</v>
      </c>
      <c r="C2542" s="12" t="s">
        <v>123</v>
      </c>
      <c r="D2542" s="12" t="s">
        <v>209</v>
      </c>
      <c r="E2542" s="12" t="s">
        <v>110</v>
      </c>
      <c r="F2542" s="12" t="s">
        <v>114</v>
      </c>
      <c r="G2542" s="12" t="s">
        <v>29</v>
      </c>
      <c r="H2542" s="12" t="s">
        <v>882</v>
      </c>
      <c r="I2542" s="12">
        <v>-15</v>
      </c>
      <c r="J2542" s="12">
        <v>319</v>
      </c>
      <c r="K2542" s="12">
        <v>319.79000000000002</v>
      </c>
      <c r="L2542" s="12">
        <v>4785</v>
      </c>
      <c r="M2542" s="12">
        <v>0</v>
      </c>
      <c r="N2542" s="12">
        <v>-4249.6000000000004</v>
      </c>
      <c r="O2542" s="12">
        <v>535.4</v>
      </c>
      <c r="P2542" s="12">
        <v>-11.85</v>
      </c>
      <c r="Q2542" s="12" t="s">
        <v>3</v>
      </c>
    </row>
    <row r="2543" spans="1:17" x14ac:dyDescent="0.3">
      <c r="A2543" s="12" t="s">
        <v>94</v>
      </c>
      <c r="B2543" s="12" t="s">
        <v>201</v>
      </c>
      <c r="C2543" s="12" t="s">
        <v>213</v>
      </c>
      <c r="E2543" s="12" t="s">
        <v>110</v>
      </c>
      <c r="F2543" s="12" t="s">
        <v>114</v>
      </c>
      <c r="G2543" s="12" t="s">
        <v>29</v>
      </c>
      <c r="I2543" s="12">
        <v>-15</v>
      </c>
      <c r="L2543" s="12">
        <v>4785</v>
      </c>
      <c r="M2543" s="12">
        <v>0</v>
      </c>
      <c r="N2543" s="12">
        <v>-4249.6000000000004</v>
      </c>
      <c r="O2543" s="12">
        <v>535.4</v>
      </c>
      <c r="P2543" s="12">
        <v>-11.85</v>
      </c>
    </row>
    <row r="2544" spans="1:17" x14ac:dyDescent="0.3">
      <c r="A2544" s="12" t="s">
        <v>94</v>
      </c>
      <c r="B2544" s="12" t="s">
        <v>201</v>
      </c>
      <c r="C2544" s="12" t="s">
        <v>123</v>
      </c>
      <c r="D2544" s="12" t="s">
        <v>209</v>
      </c>
      <c r="E2544" s="12" t="s">
        <v>110</v>
      </c>
      <c r="F2544" s="12" t="s">
        <v>114</v>
      </c>
      <c r="G2544" s="12" t="s">
        <v>73</v>
      </c>
      <c r="H2544" s="12" t="s">
        <v>883</v>
      </c>
      <c r="I2544" s="12">
        <v>20</v>
      </c>
      <c r="J2544" s="12">
        <v>137.78</v>
      </c>
      <c r="K2544" s="12">
        <v>137.38999999999999</v>
      </c>
      <c r="L2544" s="12">
        <v>-2755.6</v>
      </c>
      <c r="M2544" s="12">
        <v>0</v>
      </c>
      <c r="N2544" s="12">
        <v>2755.6</v>
      </c>
      <c r="O2544" s="12">
        <v>0</v>
      </c>
      <c r="P2544" s="12">
        <v>-7.8</v>
      </c>
      <c r="Q2544" s="12" t="s">
        <v>215</v>
      </c>
    </row>
    <row r="2545" spans="1:17" x14ac:dyDescent="0.3">
      <c r="A2545" s="12" t="s">
        <v>94</v>
      </c>
      <c r="B2545" s="12" t="s">
        <v>201</v>
      </c>
      <c r="C2545" s="12" t="s">
        <v>213</v>
      </c>
      <c r="E2545" s="12" t="s">
        <v>110</v>
      </c>
      <c r="F2545" s="12" t="s">
        <v>114</v>
      </c>
      <c r="G2545" s="12" t="s">
        <v>73</v>
      </c>
      <c r="I2545" s="12">
        <v>20</v>
      </c>
      <c r="L2545" s="12">
        <v>-2755.6</v>
      </c>
      <c r="M2545" s="12">
        <v>0</v>
      </c>
      <c r="N2545" s="12">
        <v>2755.6</v>
      </c>
      <c r="O2545" s="12">
        <v>0</v>
      </c>
      <c r="P2545" s="12">
        <v>-7.8</v>
      </c>
    </row>
    <row r="2546" spans="1:17" x14ac:dyDescent="0.3">
      <c r="A2546" s="12" t="s">
        <v>94</v>
      </c>
      <c r="B2546" s="12" t="s">
        <v>201</v>
      </c>
      <c r="C2546" s="12" t="s">
        <v>123</v>
      </c>
      <c r="D2546" s="12" t="s">
        <v>209</v>
      </c>
      <c r="E2546" s="12" t="s">
        <v>110</v>
      </c>
      <c r="F2546" s="12" t="s">
        <v>114</v>
      </c>
      <c r="G2546" s="12" t="s">
        <v>74</v>
      </c>
      <c r="H2546" s="12" t="s">
        <v>884</v>
      </c>
      <c r="I2546" s="12">
        <v>20</v>
      </c>
      <c r="J2546" s="12">
        <v>271.81</v>
      </c>
      <c r="K2546" s="12">
        <v>275.93</v>
      </c>
      <c r="L2546" s="12">
        <v>-5436.2</v>
      </c>
      <c r="M2546" s="12">
        <v>0</v>
      </c>
      <c r="N2546" s="12">
        <v>5436.2</v>
      </c>
      <c r="O2546" s="12">
        <v>0</v>
      </c>
      <c r="P2546" s="12">
        <v>82.4</v>
      </c>
      <c r="Q2546" s="12" t="s">
        <v>215</v>
      </c>
    </row>
    <row r="2547" spans="1:17" x14ac:dyDescent="0.3">
      <c r="A2547" s="12" t="s">
        <v>94</v>
      </c>
      <c r="B2547" s="12" t="s">
        <v>201</v>
      </c>
      <c r="C2547" s="12" t="s">
        <v>123</v>
      </c>
      <c r="D2547" s="12" t="s">
        <v>209</v>
      </c>
      <c r="E2547" s="12" t="s">
        <v>110</v>
      </c>
      <c r="F2547" s="12" t="s">
        <v>114</v>
      </c>
      <c r="G2547" s="12" t="s">
        <v>74</v>
      </c>
      <c r="H2547" s="12" t="s">
        <v>885</v>
      </c>
      <c r="I2547" s="12">
        <v>-10</v>
      </c>
      <c r="J2547" s="12">
        <v>281</v>
      </c>
      <c r="K2547" s="12">
        <v>281.2</v>
      </c>
      <c r="L2547" s="12">
        <v>2810</v>
      </c>
      <c r="M2547" s="12">
        <v>0</v>
      </c>
      <c r="N2547" s="12">
        <v>-2718.1</v>
      </c>
      <c r="O2547" s="12">
        <v>91.9</v>
      </c>
      <c r="P2547" s="12">
        <v>-2</v>
      </c>
      <c r="Q2547" s="12" t="s">
        <v>3</v>
      </c>
    </row>
    <row r="2548" spans="1:17" x14ac:dyDescent="0.3">
      <c r="A2548" s="12" t="s">
        <v>94</v>
      </c>
      <c r="B2548" s="12" t="s">
        <v>201</v>
      </c>
      <c r="C2548" s="12" t="s">
        <v>213</v>
      </c>
      <c r="E2548" s="12" t="s">
        <v>110</v>
      </c>
      <c r="F2548" s="12" t="s">
        <v>114</v>
      </c>
      <c r="G2548" s="12" t="s">
        <v>74</v>
      </c>
      <c r="I2548" s="12">
        <v>10</v>
      </c>
      <c r="L2548" s="12">
        <v>-2626.2</v>
      </c>
      <c r="M2548" s="12">
        <v>0</v>
      </c>
      <c r="N2548" s="12">
        <v>2718.1</v>
      </c>
      <c r="O2548" s="12">
        <v>91.9</v>
      </c>
      <c r="P2548" s="12">
        <v>80.400000000000006</v>
      </c>
    </row>
    <row r="2549" spans="1:17" x14ac:dyDescent="0.3">
      <c r="A2549" s="12" t="s">
        <v>94</v>
      </c>
      <c r="B2549" s="12" t="s">
        <v>201</v>
      </c>
      <c r="C2549" s="12" t="s">
        <v>123</v>
      </c>
      <c r="D2549" s="12" t="s">
        <v>209</v>
      </c>
      <c r="E2549" s="12" t="s">
        <v>110</v>
      </c>
      <c r="F2549" s="12" t="s">
        <v>114</v>
      </c>
      <c r="G2549" s="12" t="s">
        <v>39</v>
      </c>
      <c r="H2549" s="12" t="s">
        <v>886</v>
      </c>
      <c r="I2549" s="12">
        <v>20</v>
      </c>
      <c r="J2549" s="12">
        <v>217.76499999999999</v>
      </c>
      <c r="K2549" s="12">
        <v>215.47</v>
      </c>
      <c r="L2549" s="12">
        <v>-4355.3</v>
      </c>
      <c r="M2549" s="12">
        <v>0</v>
      </c>
      <c r="N2549" s="12">
        <v>4355.3</v>
      </c>
      <c r="O2549" s="12">
        <v>0</v>
      </c>
      <c r="P2549" s="12">
        <v>-45.9</v>
      </c>
      <c r="Q2549" s="12" t="s">
        <v>215</v>
      </c>
    </row>
    <row r="2550" spans="1:17" x14ac:dyDescent="0.3">
      <c r="A2550" s="12" t="s">
        <v>94</v>
      </c>
      <c r="B2550" s="12" t="s">
        <v>201</v>
      </c>
      <c r="C2550" s="12" t="s">
        <v>213</v>
      </c>
      <c r="E2550" s="12" t="s">
        <v>110</v>
      </c>
      <c r="F2550" s="12" t="s">
        <v>114</v>
      </c>
      <c r="G2550" s="12" t="s">
        <v>39</v>
      </c>
      <c r="I2550" s="12">
        <v>20</v>
      </c>
      <c r="L2550" s="12">
        <v>-4355.3</v>
      </c>
      <c r="M2550" s="12">
        <v>0</v>
      </c>
      <c r="N2550" s="12">
        <v>4355.3</v>
      </c>
      <c r="O2550" s="12">
        <v>0</v>
      </c>
      <c r="P2550" s="12">
        <v>-45.9</v>
      </c>
    </row>
    <row r="2551" spans="1:17" x14ac:dyDescent="0.3">
      <c r="A2551" s="12" t="s">
        <v>94</v>
      </c>
      <c r="B2551" s="12" t="s">
        <v>201</v>
      </c>
      <c r="C2551" s="12" t="s">
        <v>123</v>
      </c>
      <c r="D2551" s="12" t="s">
        <v>209</v>
      </c>
      <c r="E2551" s="12" t="s">
        <v>110</v>
      </c>
      <c r="F2551" s="12" t="s">
        <v>114</v>
      </c>
      <c r="G2551" s="12" t="s">
        <v>75</v>
      </c>
      <c r="H2551" s="12" t="s">
        <v>887</v>
      </c>
      <c r="I2551" s="12">
        <v>3</v>
      </c>
      <c r="J2551" s="12">
        <v>993.2</v>
      </c>
      <c r="K2551" s="12">
        <v>1000.79</v>
      </c>
      <c r="L2551" s="12">
        <v>-2979.6</v>
      </c>
      <c r="M2551" s="12">
        <v>0</v>
      </c>
      <c r="N2551" s="12">
        <v>2979.6</v>
      </c>
      <c r="O2551" s="12">
        <v>0</v>
      </c>
      <c r="P2551" s="12">
        <v>22.77</v>
      </c>
      <c r="Q2551" s="12" t="s">
        <v>215</v>
      </c>
    </row>
    <row r="2552" spans="1:17" x14ac:dyDescent="0.3">
      <c r="A2552" s="12" t="s">
        <v>94</v>
      </c>
      <c r="B2552" s="12" t="s">
        <v>201</v>
      </c>
      <c r="C2552" s="12" t="s">
        <v>123</v>
      </c>
      <c r="D2552" s="12" t="s">
        <v>209</v>
      </c>
      <c r="E2552" s="12" t="s">
        <v>110</v>
      </c>
      <c r="F2552" s="12" t="s">
        <v>114</v>
      </c>
      <c r="G2552" s="12" t="s">
        <v>75</v>
      </c>
      <c r="H2552" s="12" t="s">
        <v>888</v>
      </c>
      <c r="I2552" s="12">
        <v>2</v>
      </c>
      <c r="J2552" s="12">
        <v>993.2</v>
      </c>
      <c r="K2552" s="12">
        <v>1001.73</v>
      </c>
      <c r="L2552" s="12">
        <v>-1986.4</v>
      </c>
      <c r="M2552" s="12">
        <v>0</v>
      </c>
      <c r="N2552" s="12">
        <v>1986.4</v>
      </c>
      <c r="O2552" s="12">
        <v>0</v>
      </c>
      <c r="P2552" s="12">
        <v>17.059999999999999</v>
      </c>
      <c r="Q2552" s="12" t="s">
        <v>215</v>
      </c>
    </row>
    <row r="2553" spans="1:17" x14ac:dyDescent="0.3">
      <c r="A2553" s="12" t="s">
        <v>94</v>
      </c>
      <c r="B2553" s="12" t="s">
        <v>201</v>
      </c>
      <c r="C2553" s="12" t="s">
        <v>213</v>
      </c>
      <c r="E2553" s="12" t="s">
        <v>110</v>
      </c>
      <c r="F2553" s="12" t="s">
        <v>114</v>
      </c>
      <c r="G2553" s="12" t="s">
        <v>75</v>
      </c>
      <c r="I2553" s="12">
        <v>5</v>
      </c>
      <c r="L2553" s="12">
        <v>-4966</v>
      </c>
      <c r="M2553" s="12">
        <v>0</v>
      </c>
      <c r="N2553" s="12">
        <v>4966</v>
      </c>
      <c r="O2553" s="12">
        <v>0</v>
      </c>
      <c r="P2553" s="12">
        <v>39.83</v>
      </c>
    </row>
    <row r="2554" spans="1:17" x14ac:dyDescent="0.3">
      <c r="A2554" s="12" t="s">
        <v>94</v>
      </c>
      <c r="B2554" s="12" t="s">
        <v>201</v>
      </c>
      <c r="C2554" s="12" t="s">
        <v>123</v>
      </c>
      <c r="D2554" s="12" t="s">
        <v>209</v>
      </c>
      <c r="E2554" s="12" t="s">
        <v>110</v>
      </c>
      <c r="F2554" s="12" t="s">
        <v>114</v>
      </c>
      <c r="G2554" s="12" t="s">
        <v>76</v>
      </c>
      <c r="H2554" s="12" t="s">
        <v>889</v>
      </c>
      <c r="I2554" s="12">
        <v>45</v>
      </c>
      <c r="J2554" s="12">
        <v>108.005</v>
      </c>
      <c r="K2554" s="12">
        <v>108.44</v>
      </c>
      <c r="L2554" s="12">
        <v>-4860.2250000000004</v>
      </c>
      <c r="M2554" s="12">
        <v>0</v>
      </c>
      <c r="N2554" s="12">
        <v>4860.2250000000004</v>
      </c>
      <c r="O2554" s="12">
        <v>0</v>
      </c>
      <c r="P2554" s="12">
        <v>19.574999999999999</v>
      </c>
      <c r="Q2554" s="12" t="s">
        <v>215</v>
      </c>
    </row>
    <row r="2555" spans="1:17" x14ac:dyDescent="0.3">
      <c r="A2555" s="12" t="s">
        <v>94</v>
      </c>
      <c r="B2555" s="12" t="s">
        <v>201</v>
      </c>
      <c r="C2555" s="12" t="s">
        <v>213</v>
      </c>
      <c r="E2555" s="12" t="s">
        <v>110</v>
      </c>
      <c r="F2555" s="12" t="s">
        <v>114</v>
      </c>
      <c r="G2555" s="12" t="s">
        <v>76</v>
      </c>
      <c r="I2555" s="12">
        <v>45</v>
      </c>
      <c r="L2555" s="12">
        <v>-4860.2250000000004</v>
      </c>
      <c r="M2555" s="12">
        <v>0</v>
      </c>
      <c r="N2555" s="12">
        <v>4860.2250000000004</v>
      </c>
      <c r="O2555" s="12">
        <v>0</v>
      </c>
      <c r="P2555" s="12">
        <v>19.574999999999999</v>
      </c>
    </row>
    <row r="2556" spans="1:17" x14ac:dyDescent="0.3">
      <c r="A2556" s="12" t="s">
        <v>94</v>
      </c>
      <c r="B2556" s="12" t="s">
        <v>201</v>
      </c>
      <c r="C2556" s="12" t="s">
        <v>123</v>
      </c>
      <c r="D2556" s="12" t="s">
        <v>209</v>
      </c>
      <c r="E2556" s="12" t="s">
        <v>110</v>
      </c>
      <c r="F2556" s="12" t="s">
        <v>114</v>
      </c>
      <c r="G2556" s="12" t="s">
        <v>51</v>
      </c>
      <c r="H2556" s="12" t="s">
        <v>890</v>
      </c>
      <c r="I2556" s="12">
        <v>-5</v>
      </c>
      <c r="J2556" s="12">
        <v>758.84</v>
      </c>
      <c r="K2556" s="12">
        <v>777.92</v>
      </c>
      <c r="L2556" s="12">
        <v>3794.2</v>
      </c>
      <c r="M2556" s="12">
        <v>0</v>
      </c>
      <c r="N2556" s="12">
        <v>-4450.3</v>
      </c>
      <c r="O2556" s="12">
        <v>-656.1</v>
      </c>
      <c r="P2556" s="12">
        <v>-95.4</v>
      </c>
      <c r="Q2556" s="12" t="s">
        <v>3</v>
      </c>
    </row>
    <row r="2557" spans="1:17" x14ac:dyDescent="0.3">
      <c r="A2557" s="12" t="s">
        <v>94</v>
      </c>
      <c r="B2557" s="12" t="s">
        <v>201</v>
      </c>
      <c r="C2557" s="12" t="s">
        <v>123</v>
      </c>
      <c r="D2557" s="12" t="s">
        <v>209</v>
      </c>
      <c r="E2557" s="12" t="s">
        <v>110</v>
      </c>
      <c r="F2557" s="12" t="s">
        <v>114</v>
      </c>
      <c r="G2557" s="12" t="s">
        <v>51</v>
      </c>
      <c r="H2557" s="12" t="s">
        <v>891</v>
      </c>
      <c r="I2557" s="12">
        <v>5</v>
      </c>
      <c r="J2557" s="12">
        <v>790.12</v>
      </c>
      <c r="K2557" s="12">
        <v>774.74</v>
      </c>
      <c r="L2557" s="12">
        <v>-3950.6</v>
      </c>
      <c r="M2557" s="12">
        <v>0</v>
      </c>
      <c r="N2557" s="12">
        <v>3950.6</v>
      </c>
      <c r="O2557" s="12">
        <v>0</v>
      </c>
      <c r="P2557" s="12">
        <v>-76.900000000000006</v>
      </c>
      <c r="Q2557" s="12" t="s">
        <v>892</v>
      </c>
    </row>
    <row r="2558" spans="1:17" x14ac:dyDescent="0.3">
      <c r="A2558" s="12" t="s">
        <v>94</v>
      </c>
      <c r="B2558" s="12" t="s">
        <v>201</v>
      </c>
      <c r="C2558" s="12" t="s">
        <v>213</v>
      </c>
      <c r="E2558" s="12" t="s">
        <v>110</v>
      </c>
      <c r="F2558" s="12" t="s">
        <v>114</v>
      </c>
      <c r="G2558" s="12" t="s">
        <v>51</v>
      </c>
      <c r="I2558" s="12">
        <v>0</v>
      </c>
      <c r="L2558" s="12">
        <v>-156.4</v>
      </c>
      <c r="M2558" s="12">
        <v>0</v>
      </c>
      <c r="N2558" s="12">
        <v>-499.7</v>
      </c>
      <c r="O2558" s="12">
        <v>-656.1</v>
      </c>
      <c r="P2558" s="12">
        <v>-172.3</v>
      </c>
    </row>
    <row r="2559" spans="1:17" x14ac:dyDescent="0.3">
      <c r="A2559" s="12" t="s">
        <v>94</v>
      </c>
      <c r="B2559" s="12" t="s">
        <v>201</v>
      </c>
      <c r="C2559" s="12" t="s">
        <v>123</v>
      </c>
      <c r="D2559" s="12" t="s">
        <v>209</v>
      </c>
      <c r="E2559" s="12" t="s">
        <v>110</v>
      </c>
      <c r="F2559" s="12" t="s">
        <v>114</v>
      </c>
      <c r="G2559" s="12" t="s">
        <v>77</v>
      </c>
      <c r="H2559" s="12" t="s">
        <v>893</v>
      </c>
      <c r="I2559" s="12">
        <v>20</v>
      </c>
      <c r="J2559" s="12">
        <v>174.82</v>
      </c>
      <c r="K2559" s="12">
        <v>175</v>
      </c>
      <c r="L2559" s="12">
        <v>-3496.4</v>
      </c>
      <c r="M2559" s="12">
        <v>0</v>
      </c>
      <c r="N2559" s="12">
        <v>3496.4</v>
      </c>
      <c r="O2559" s="12">
        <v>0</v>
      </c>
      <c r="P2559" s="12">
        <v>3.6</v>
      </c>
      <c r="Q2559" s="12" t="s">
        <v>215</v>
      </c>
    </row>
    <row r="2560" spans="1:17" x14ac:dyDescent="0.3">
      <c r="A2560" s="12" t="s">
        <v>94</v>
      </c>
      <c r="B2560" s="12" t="s">
        <v>201</v>
      </c>
      <c r="C2560" s="12" t="s">
        <v>123</v>
      </c>
      <c r="D2560" s="12" t="s">
        <v>209</v>
      </c>
      <c r="E2560" s="12" t="s">
        <v>110</v>
      </c>
      <c r="F2560" s="12" t="s">
        <v>114</v>
      </c>
      <c r="G2560" s="12" t="s">
        <v>77</v>
      </c>
      <c r="H2560" s="12" t="s">
        <v>894</v>
      </c>
      <c r="I2560" s="12">
        <v>-10</v>
      </c>
      <c r="J2560" s="12">
        <v>179.61</v>
      </c>
      <c r="K2560" s="12">
        <v>177.29</v>
      </c>
      <c r="L2560" s="12">
        <v>1796.1</v>
      </c>
      <c r="M2560" s="12">
        <v>0</v>
      </c>
      <c r="N2560" s="12">
        <v>-1748.2</v>
      </c>
      <c r="O2560" s="12">
        <v>47.9</v>
      </c>
      <c r="P2560" s="12">
        <v>23.2</v>
      </c>
      <c r="Q2560" s="12" t="s">
        <v>3</v>
      </c>
    </row>
    <row r="2561" spans="1:17" x14ac:dyDescent="0.3">
      <c r="A2561" s="12" t="s">
        <v>94</v>
      </c>
      <c r="B2561" s="12" t="s">
        <v>201</v>
      </c>
      <c r="C2561" s="12" t="s">
        <v>123</v>
      </c>
      <c r="D2561" s="12" t="s">
        <v>209</v>
      </c>
      <c r="E2561" s="12" t="s">
        <v>110</v>
      </c>
      <c r="F2561" s="12" t="s">
        <v>114</v>
      </c>
      <c r="G2561" s="12" t="s">
        <v>77</v>
      </c>
      <c r="H2561" s="12" t="s">
        <v>895</v>
      </c>
      <c r="I2561" s="12">
        <v>10</v>
      </c>
      <c r="J2561" s="12">
        <v>185.84</v>
      </c>
      <c r="K2561" s="12">
        <v>187.44</v>
      </c>
      <c r="L2561" s="12">
        <v>-1858.4</v>
      </c>
      <c r="M2561" s="12">
        <v>0</v>
      </c>
      <c r="N2561" s="12">
        <v>1858.4</v>
      </c>
      <c r="O2561" s="12">
        <v>0</v>
      </c>
      <c r="P2561" s="12">
        <v>16</v>
      </c>
      <c r="Q2561" s="12" t="s">
        <v>215</v>
      </c>
    </row>
    <row r="2562" spans="1:17" x14ac:dyDescent="0.3">
      <c r="A2562" s="12" t="s">
        <v>94</v>
      </c>
      <c r="B2562" s="12" t="s">
        <v>201</v>
      </c>
      <c r="C2562" s="12" t="s">
        <v>213</v>
      </c>
      <c r="E2562" s="12" t="s">
        <v>110</v>
      </c>
      <c r="F2562" s="12" t="s">
        <v>114</v>
      </c>
      <c r="G2562" s="12" t="s">
        <v>77</v>
      </c>
      <c r="I2562" s="12">
        <v>20</v>
      </c>
      <c r="L2562" s="12">
        <v>-3558.7</v>
      </c>
      <c r="M2562" s="12">
        <v>0</v>
      </c>
      <c r="N2562" s="12">
        <v>3606.6</v>
      </c>
      <c r="O2562" s="12">
        <v>47.9</v>
      </c>
      <c r="P2562" s="12">
        <v>42.8</v>
      </c>
    </row>
    <row r="2563" spans="1:17" x14ac:dyDescent="0.3">
      <c r="A2563" s="12" t="s">
        <v>94</v>
      </c>
      <c r="B2563" s="12" t="s">
        <v>201</v>
      </c>
      <c r="C2563" s="12" t="s">
        <v>123</v>
      </c>
      <c r="D2563" s="12" t="s">
        <v>209</v>
      </c>
      <c r="E2563" s="12" t="s">
        <v>110</v>
      </c>
      <c r="F2563" s="12" t="s">
        <v>114</v>
      </c>
      <c r="G2563" s="12" t="s">
        <v>78</v>
      </c>
      <c r="H2563" s="12" t="s">
        <v>896</v>
      </c>
      <c r="I2563" s="12">
        <v>30</v>
      </c>
      <c r="J2563" s="12">
        <v>193.56</v>
      </c>
      <c r="K2563" s="12">
        <v>196.08</v>
      </c>
      <c r="L2563" s="12">
        <v>-5806.8</v>
      </c>
      <c r="M2563" s="12">
        <v>0</v>
      </c>
      <c r="N2563" s="12">
        <v>5806.8</v>
      </c>
      <c r="O2563" s="12">
        <v>0</v>
      </c>
      <c r="P2563" s="12">
        <v>75.599999999999994</v>
      </c>
      <c r="Q2563" s="12" t="s">
        <v>215</v>
      </c>
    </row>
    <row r="2564" spans="1:17" x14ac:dyDescent="0.3">
      <c r="A2564" s="12" t="s">
        <v>94</v>
      </c>
      <c r="B2564" s="12" t="s">
        <v>201</v>
      </c>
      <c r="C2564" s="12" t="s">
        <v>213</v>
      </c>
      <c r="E2564" s="12" t="s">
        <v>110</v>
      </c>
      <c r="F2564" s="12" t="s">
        <v>114</v>
      </c>
      <c r="G2564" s="12" t="s">
        <v>78</v>
      </c>
      <c r="I2564" s="12">
        <v>30</v>
      </c>
      <c r="L2564" s="12">
        <v>-5806.8</v>
      </c>
      <c r="M2564" s="12">
        <v>0</v>
      </c>
      <c r="N2564" s="12">
        <v>5806.8</v>
      </c>
      <c r="O2564" s="12">
        <v>0</v>
      </c>
      <c r="P2564" s="12">
        <v>75.599999999999994</v>
      </c>
    </row>
    <row r="2565" spans="1:17" x14ac:dyDescent="0.3">
      <c r="A2565" s="12" t="s">
        <v>94</v>
      </c>
      <c r="B2565" s="12" t="s">
        <v>201</v>
      </c>
      <c r="C2565" s="12" t="s">
        <v>123</v>
      </c>
      <c r="D2565" s="12" t="s">
        <v>209</v>
      </c>
      <c r="E2565" s="12" t="s">
        <v>110</v>
      </c>
      <c r="F2565" s="12" t="s">
        <v>114</v>
      </c>
      <c r="G2565" s="12" t="s">
        <v>32</v>
      </c>
      <c r="H2565" s="12" t="s">
        <v>897</v>
      </c>
      <c r="I2565" s="12">
        <v>-70</v>
      </c>
      <c r="J2565" s="12">
        <v>64.680499999999995</v>
      </c>
      <c r="K2565" s="12">
        <v>65.819999999999993</v>
      </c>
      <c r="L2565" s="12">
        <v>4527.6350000000002</v>
      </c>
      <c r="M2565" s="12">
        <v>0</v>
      </c>
      <c r="N2565" s="12">
        <v>-4546.608491</v>
      </c>
      <c r="O2565" s="12">
        <v>-18.973490999999999</v>
      </c>
      <c r="P2565" s="12">
        <v>-79.765000000000001</v>
      </c>
      <c r="Q2565" s="12" t="s">
        <v>785</v>
      </c>
    </row>
    <row r="2566" spans="1:17" x14ac:dyDescent="0.3">
      <c r="A2566" s="12" t="s">
        <v>94</v>
      </c>
      <c r="B2566" s="12" t="s">
        <v>201</v>
      </c>
      <c r="C2566" s="12" t="s">
        <v>213</v>
      </c>
      <c r="E2566" s="12" t="s">
        <v>110</v>
      </c>
      <c r="F2566" s="12" t="s">
        <v>114</v>
      </c>
      <c r="G2566" s="12" t="s">
        <v>32</v>
      </c>
      <c r="I2566" s="12">
        <v>-70</v>
      </c>
      <c r="L2566" s="12">
        <v>4527.6350000000002</v>
      </c>
      <c r="M2566" s="12">
        <v>0</v>
      </c>
      <c r="N2566" s="12">
        <v>-4546.608491</v>
      </c>
      <c r="O2566" s="12">
        <v>-18.973490999999999</v>
      </c>
      <c r="P2566" s="12">
        <v>-79.765000000000001</v>
      </c>
    </row>
    <row r="2567" spans="1:17" x14ac:dyDescent="0.3">
      <c r="A2567" s="12" t="s">
        <v>94</v>
      </c>
      <c r="B2567" s="12" t="s">
        <v>201</v>
      </c>
      <c r="C2567" s="12" t="s">
        <v>123</v>
      </c>
      <c r="D2567" s="12" t="s">
        <v>209</v>
      </c>
      <c r="E2567" s="12" t="s">
        <v>110</v>
      </c>
      <c r="F2567" s="12" t="s">
        <v>114</v>
      </c>
      <c r="G2567" s="12" t="s">
        <v>60</v>
      </c>
      <c r="H2567" s="12" t="s">
        <v>898</v>
      </c>
      <c r="I2567" s="12">
        <v>-15</v>
      </c>
      <c r="J2567" s="12">
        <v>486.01</v>
      </c>
      <c r="K2567" s="12">
        <v>482.59</v>
      </c>
      <c r="L2567" s="12">
        <v>7290.15</v>
      </c>
      <c r="M2567" s="12">
        <v>0</v>
      </c>
      <c r="N2567" s="12">
        <v>-7641.45</v>
      </c>
      <c r="O2567" s="12">
        <v>-351.3</v>
      </c>
      <c r="P2567" s="12">
        <v>51.3</v>
      </c>
      <c r="Q2567" s="12" t="s">
        <v>3</v>
      </c>
    </row>
    <row r="2568" spans="1:17" x14ac:dyDescent="0.3">
      <c r="A2568" s="12" t="s">
        <v>94</v>
      </c>
      <c r="B2568" s="12" t="s">
        <v>201</v>
      </c>
      <c r="C2568" s="12" t="s">
        <v>213</v>
      </c>
      <c r="E2568" s="12" t="s">
        <v>110</v>
      </c>
      <c r="F2568" s="12" t="s">
        <v>114</v>
      </c>
      <c r="G2568" s="12" t="s">
        <v>60</v>
      </c>
      <c r="I2568" s="12">
        <v>-15</v>
      </c>
      <c r="L2568" s="12">
        <v>7290.15</v>
      </c>
      <c r="M2568" s="12">
        <v>0</v>
      </c>
      <c r="N2568" s="12">
        <v>-7641.45</v>
      </c>
      <c r="O2568" s="12">
        <v>-351.3</v>
      </c>
      <c r="P2568" s="12">
        <v>51.3</v>
      </c>
    </row>
    <row r="2569" spans="1:17" x14ac:dyDescent="0.3">
      <c r="A2569" s="12" t="s">
        <v>94</v>
      </c>
      <c r="B2569" s="12" t="s">
        <v>201</v>
      </c>
      <c r="C2569" s="12" t="s">
        <v>123</v>
      </c>
      <c r="D2569" s="12" t="s">
        <v>209</v>
      </c>
      <c r="E2569" s="12" t="s">
        <v>110</v>
      </c>
      <c r="F2569" s="12" t="s">
        <v>114</v>
      </c>
      <c r="G2569" s="12" t="s">
        <v>62</v>
      </c>
      <c r="H2569" s="12" t="s">
        <v>899</v>
      </c>
      <c r="I2569" s="12">
        <v>100</v>
      </c>
      <c r="J2569" s="12">
        <v>40.92</v>
      </c>
      <c r="K2569" s="12">
        <v>41.01</v>
      </c>
      <c r="L2569" s="12">
        <v>-4092</v>
      </c>
      <c r="M2569" s="12">
        <v>0</v>
      </c>
      <c r="N2569" s="12">
        <v>4092</v>
      </c>
      <c r="O2569" s="12">
        <v>0</v>
      </c>
      <c r="P2569" s="12">
        <v>9</v>
      </c>
      <c r="Q2569" s="12" t="s">
        <v>215</v>
      </c>
    </row>
    <row r="2570" spans="1:17" x14ac:dyDescent="0.3">
      <c r="A2570" s="12" t="s">
        <v>94</v>
      </c>
      <c r="B2570" s="12" t="s">
        <v>201</v>
      </c>
      <c r="C2570" s="12" t="s">
        <v>213</v>
      </c>
      <c r="E2570" s="12" t="s">
        <v>110</v>
      </c>
      <c r="F2570" s="12" t="s">
        <v>114</v>
      </c>
      <c r="G2570" s="12" t="s">
        <v>62</v>
      </c>
      <c r="I2570" s="12">
        <v>100</v>
      </c>
      <c r="L2570" s="12">
        <v>-4092</v>
      </c>
      <c r="M2570" s="12">
        <v>0</v>
      </c>
      <c r="N2570" s="12">
        <v>4092</v>
      </c>
      <c r="O2570" s="12">
        <v>0</v>
      </c>
      <c r="P2570" s="12">
        <v>9</v>
      </c>
    </row>
    <row r="2571" spans="1:17" x14ac:dyDescent="0.3">
      <c r="A2571" s="12" t="s">
        <v>94</v>
      </c>
      <c r="B2571" s="12" t="s">
        <v>201</v>
      </c>
      <c r="C2571" s="12" t="s">
        <v>123</v>
      </c>
      <c r="D2571" s="12" t="s">
        <v>209</v>
      </c>
      <c r="E2571" s="12" t="s">
        <v>110</v>
      </c>
      <c r="F2571" s="12" t="s">
        <v>114</v>
      </c>
      <c r="G2571" s="12" t="s">
        <v>41</v>
      </c>
      <c r="H2571" s="12" t="s">
        <v>900</v>
      </c>
      <c r="I2571" s="12">
        <v>-500</v>
      </c>
      <c r="J2571" s="12">
        <v>43.401420000000002</v>
      </c>
      <c r="K2571" s="12">
        <v>43.67</v>
      </c>
      <c r="L2571" s="12">
        <v>21700.71</v>
      </c>
      <c r="M2571" s="12">
        <v>0</v>
      </c>
      <c r="N2571" s="12">
        <v>-20744.900000000001</v>
      </c>
      <c r="O2571" s="12">
        <v>955.81</v>
      </c>
      <c r="P2571" s="12">
        <v>-134.29</v>
      </c>
      <c r="Q2571" s="12" t="s">
        <v>230</v>
      </c>
    </row>
    <row r="2572" spans="1:17" x14ac:dyDescent="0.3">
      <c r="A2572" s="12" t="s">
        <v>94</v>
      </c>
      <c r="B2572" s="12" t="s">
        <v>201</v>
      </c>
      <c r="C2572" s="12" t="s">
        <v>213</v>
      </c>
      <c r="E2572" s="12" t="s">
        <v>110</v>
      </c>
      <c r="F2572" s="12" t="s">
        <v>114</v>
      </c>
      <c r="G2572" s="12" t="s">
        <v>41</v>
      </c>
      <c r="I2572" s="12">
        <v>-500</v>
      </c>
      <c r="L2572" s="12">
        <v>21700.71</v>
      </c>
      <c r="M2572" s="12">
        <v>0</v>
      </c>
      <c r="N2572" s="12">
        <v>-20744.900000000001</v>
      </c>
      <c r="O2572" s="12">
        <v>955.81</v>
      </c>
      <c r="P2572" s="12">
        <v>-134.29</v>
      </c>
    </row>
    <row r="2573" spans="1:17" x14ac:dyDescent="0.3">
      <c r="A2573" s="12" t="s">
        <v>94</v>
      </c>
      <c r="B2573" s="12" t="s">
        <v>201</v>
      </c>
      <c r="C2573" s="12" t="s">
        <v>123</v>
      </c>
      <c r="D2573" s="12" t="s">
        <v>209</v>
      </c>
      <c r="E2573" s="12" t="s">
        <v>110</v>
      </c>
      <c r="F2573" s="12" t="s">
        <v>114</v>
      </c>
      <c r="G2573" s="12" t="s">
        <v>79</v>
      </c>
      <c r="H2573" s="12" t="s">
        <v>901</v>
      </c>
      <c r="I2573" s="12">
        <v>80</v>
      </c>
      <c r="J2573" s="12">
        <v>121.06</v>
      </c>
      <c r="K2573" s="12">
        <v>121.15</v>
      </c>
      <c r="L2573" s="12">
        <v>-9684.7999999999993</v>
      </c>
      <c r="M2573" s="12">
        <v>0</v>
      </c>
      <c r="N2573" s="12">
        <v>9684.7999999999993</v>
      </c>
      <c r="O2573" s="12">
        <v>0</v>
      </c>
      <c r="P2573" s="12">
        <v>7.2</v>
      </c>
      <c r="Q2573" s="12" t="s">
        <v>215</v>
      </c>
    </row>
    <row r="2574" spans="1:17" x14ac:dyDescent="0.3">
      <c r="A2574" s="12" t="s">
        <v>94</v>
      </c>
      <c r="B2574" s="12" t="s">
        <v>201</v>
      </c>
      <c r="C2574" s="12" t="s">
        <v>213</v>
      </c>
      <c r="E2574" s="12" t="s">
        <v>110</v>
      </c>
      <c r="F2574" s="12" t="s">
        <v>114</v>
      </c>
      <c r="G2574" s="12" t="s">
        <v>79</v>
      </c>
      <c r="I2574" s="12">
        <v>80</v>
      </c>
      <c r="L2574" s="12">
        <v>-9684.7999999999993</v>
      </c>
      <c r="M2574" s="12">
        <v>0</v>
      </c>
      <c r="N2574" s="12">
        <v>9684.7999999999993</v>
      </c>
      <c r="O2574" s="12">
        <v>0</v>
      </c>
      <c r="P2574" s="12">
        <v>7.2</v>
      </c>
    </row>
    <row r="2575" spans="1:17" x14ac:dyDescent="0.3">
      <c r="A2575" s="12" t="s">
        <v>94</v>
      </c>
      <c r="B2575" s="12" t="s">
        <v>201</v>
      </c>
      <c r="C2575" s="12" t="s">
        <v>123</v>
      </c>
      <c r="D2575" s="12" t="s">
        <v>209</v>
      </c>
      <c r="E2575" s="12" t="s">
        <v>110</v>
      </c>
      <c r="F2575" s="12" t="s">
        <v>114</v>
      </c>
      <c r="G2575" s="12" t="s">
        <v>43</v>
      </c>
      <c r="H2575" s="12" t="s">
        <v>902</v>
      </c>
      <c r="I2575" s="12">
        <v>150</v>
      </c>
      <c r="J2575" s="12">
        <v>70.150000000000006</v>
      </c>
      <c r="K2575" s="12">
        <v>69.95</v>
      </c>
      <c r="L2575" s="12">
        <v>-10522.5</v>
      </c>
      <c r="M2575" s="12">
        <v>0</v>
      </c>
      <c r="N2575" s="12">
        <v>10522.5</v>
      </c>
      <c r="O2575" s="12">
        <v>0</v>
      </c>
      <c r="P2575" s="12">
        <v>-30</v>
      </c>
      <c r="Q2575" s="12" t="s">
        <v>215</v>
      </c>
    </row>
    <row r="2576" spans="1:17" x14ac:dyDescent="0.3">
      <c r="A2576" s="12" t="s">
        <v>94</v>
      </c>
      <c r="B2576" s="12" t="s">
        <v>201</v>
      </c>
      <c r="C2576" s="12" t="s">
        <v>213</v>
      </c>
      <c r="E2576" s="12" t="s">
        <v>110</v>
      </c>
      <c r="F2576" s="12" t="s">
        <v>114</v>
      </c>
      <c r="G2576" s="12" t="s">
        <v>43</v>
      </c>
      <c r="I2576" s="12">
        <v>150</v>
      </c>
      <c r="L2576" s="12">
        <v>-10522.5</v>
      </c>
      <c r="M2576" s="12">
        <v>0</v>
      </c>
      <c r="N2576" s="12">
        <v>10522.5</v>
      </c>
      <c r="O2576" s="12">
        <v>0</v>
      </c>
      <c r="P2576" s="12">
        <v>-30</v>
      </c>
    </row>
    <row r="2577" spans="1:17" x14ac:dyDescent="0.3">
      <c r="A2577" s="12" t="s">
        <v>94</v>
      </c>
      <c r="B2577" s="12" t="s">
        <v>201</v>
      </c>
      <c r="C2577" s="12" t="s">
        <v>123</v>
      </c>
      <c r="D2577" s="12" t="s">
        <v>209</v>
      </c>
      <c r="E2577" s="12" t="s">
        <v>110</v>
      </c>
      <c r="F2577" s="12" t="s">
        <v>114</v>
      </c>
      <c r="G2577" s="12" t="s">
        <v>35</v>
      </c>
      <c r="H2577" s="12" t="s">
        <v>903</v>
      </c>
      <c r="I2577" s="12">
        <v>-50</v>
      </c>
      <c r="J2577" s="12">
        <v>108.91</v>
      </c>
      <c r="K2577" s="12">
        <v>108.36</v>
      </c>
      <c r="L2577" s="12">
        <v>5445.5</v>
      </c>
      <c r="M2577" s="12">
        <v>0</v>
      </c>
      <c r="N2577" s="12">
        <v>-5925</v>
      </c>
      <c r="O2577" s="12">
        <v>-479.5</v>
      </c>
      <c r="P2577" s="12">
        <v>27.5</v>
      </c>
      <c r="Q2577" s="12" t="s">
        <v>3</v>
      </c>
    </row>
    <row r="2578" spans="1:17" x14ac:dyDescent="0.3">
      <c r="A2578" s="12" t="s">
        <v>94</v>
      </c>
      <c r="B2578" s="12" t="s">
        <v>201</v>
      </c>
      <c r="C2578" s="12" t="s">
        <v>213</v>
      </c>
      <c r="E2578" s="12" t="s">
        <v>110</v>
      </c>
      <c r="F2578" s="12" t="s">
        <v>114</v>
      </c>
      <c r="G2578" s="12" t="s">
        <v>35</v>
      </c>
      <c r="I2578" s="12">
        <v>-50</v>
      </c>
      <c r="L2578" s="12">
        <v>5445.5</v>
      </c>
      <c r="M2578" s="12">
        <v>0</v>
      </c>
      <c r="N2578" s="12">
        <v>-5925</v>
      </c>
      <c r="O2578" s="12">
        <v>-479.5</v>
      </c>
      <c r="P2578" s="12">
        <v>27.5</v>
      </c>
    </row>
    <row r="2579" spans="1:17" x14ac:dyDescent="0.3">
      <c r="A2579" s="12" t="s">
        <v>94</v>
      </c>
      <c r="B2579" s="12" t="s">
        <v>201</v>
      </c>
      <c r="C2579" s="12" t="s">
        <v>97</v>
      </c>
      <c r="E2579" s="12" t="s">
        <v>110</v>
      </c>
      <c r="F2579" s="12" t="s">
        <v>114</v>
      </c>
      <c r="L2579" s="12">
        <v>3944.71</v>
      </c>
      <c r="M2579" s="12">
        <v>0</v>
      </c>
      <c r="N2579" s="12">
        <v>20071.210771999999</v>
      </c>
      <c r="O2579" s="12">
        <v>6907.9207720000004</v>
      </c>
      <c r="P2579" s="12">
        <v>-226.65</v>
      </c>
      <c r="Q2579" s="12" t="s">
        <v>257</v>
      </c>
    </row>
    <row r="2580" spans="1:17" x14ac:dyDescent="0.3">
      <c r="A2580" s="12" t="s">
        <v>94</v>
      </c>
      <c r="B2580" s="12" t="s">
        <v>201</v>
      </c>
      <c r="C2580" s="12" t="s">
        <v>120</v>
      </c>
      <c r="D2580" s="12" t="s">
        <v>192</v>
      </c>
      <c r="E2580" s="12" t="s">
        <v>100</v>
      </c>
      <c r="F2580" s="12" t="s">
        <v>181</v>
      </c>
      <c r="G2580" s="12" t="s">
        <v>0</v>
      </c>
      <c r="H2580" s="12" t="s">
        <v>202</v>
      </c>
      <c r="I2580" s="12" t="s">
        <v>193</v>
      </c>
      <c r="J2580" s="12" t="s">
        <v>203</v>
      </c>
      <c r="K2580" s="12" t="s">
        <v>204</v>
      </c>
      <c r="L2580" s="12" t="s">
        <v>258</v>
      </c>
      <c r="M2580" s="12" t="s">
        <v>206</v>
      </c>
      <c r="N2580" s="12" t="s">
        <v>1</v>
      </c>
      <c r="O2580" s="12" t="s">
        <v>207</v>
      </c>
      <c r="P2580" s="12" t="s">
        <v>208</v>
      </c>
      <c r="Q2580" s="12" t="s">
        <v>165</v>
      </c>
    </row>
    <row r="2581" spans="1:17" x14ac:dyDescent="0.3">
      <c r="A2581" s="12" t="s">
        <v>94</v>
      </c>
      <c r="B2581" s="12" t="s">
        <v>201</v>
      </c>
      <c r="C2581" s="12" t="s">
        <v>123</v>
      </c>
      <c r="D2581" s="12" t="s">
        <v>209</v>
      </c>
      <c r="E2581" s="12" t="s">
        <v>112</v>
      </c>
      <c r="F2581" s="12" t="s">
        <v>114</v>
      </c>
      <c r="G2581" s="12" t="s">
        <v>52</v>
      </c>
      <c r="H2581" s="12" t="s">
        <v>904</v>
      </c>
      <c r="I2581" s="12">
        <v>-1</v>
      </c>
      <c r="J2581" s="12">
        <v>5443.75</v>
      </c>
      <c r="K2581" s="12">
        <v>5427.5</v>
      </c>
      <c r="L2581" s="12">
        <v>27218.75</v>
      </c>
      <c r="M2581" s="12">
        <v>0</v>
      </c>
      <c r="N2581" s="12">
        <v>-27218.75</v>
      </c>
      <c r="O2581" s="12">
        <v>0</v>
      </c>
      <c r="P2581" s="12">
        <v>81.25</v>
      </c>
      <c r="Q2581" s="12" t="s">
        <v>215</v>
      </c>
    </row>
    <row r="2582" spans="1:17" x14ac:dyDescent="0.3">
      <c r="A2582" s="12" t="s">
        <v>94</v>
      </c>
      <c r="B2582" s="12" t="s">
        <v>201</v>
      </c>
      <c r="C2582" s="12" t="s">
        <v>123</v>
      </c>
      <c r="D2582" s="12" t="s">
        <v>209</v>
      </c>
      <c r="E2582" s="12" t="s">
        <v>112</v>
      </c>
      <c r="F2582" s="12" t="s">
        <v>114</v>
      </c>
      <c r="G2582" s="12" t="s">
        <v>52</v>
      </c>
      <c r="H2582" s="12" t="s">
        <v>905</v>
      </c>
      <c r="I2582" s="12">
        <v>1</v>
      </c>
      <c r="J2582" s="12">
        <v>5486.5</v>
      </c>
      <c r="K2582" s="12">
        <v>5478.5</v>
      </c>
      <c r="L2582" s="12">
        <v>-27432.5</v>
      </c>
      <c r="M2582" s="12">
        <v>0</v>
      </c>
      <c r="N2582" s="12">
        <v>25778.25</v>
      </c>
      <c r="O2582" s="12">
        <v>-1654.25</v>
      </c>
      <c r="P2582" s="12">
        <v>-40</v>
      </c>
      <c r="Q2582" s="12" t="s">
        <v>3</v>
      </c>
    </row>
    <row r="2583" spans="1:17" x14ac:dyDescent="0.3">
      <c r="A2583" s="12" t="s">
        <v>94</v>
      </c>
      <c r="B2583" s="12" t="s">
        <v>201</v>
      </c>
      <c r="C2583" s="12" t="s">
        <v>123</v>
      </c>
      <c r="D2583" s="12" t="s">
        <v>209</v>
      </c>
      <c r="E2583" s="12" t="s">
        <v>112</v>
      </c>
      <c r="F2583" s="12" t="s">
        <v>114</v>
      </c>
      <c r="G2583" s="12" t="s">
        <v>52</v>
      </c>
      <c r="H2583" s="12" t="s">
        <v>906</v>
      </c>
      <c r="I2583" s="12">
        <v>3</v>
      </c>
      <c r="J2583" s="12">
        <v>5495.25</v>
      </c>
      <c r="K2583" s="12">
        <v>5476.75</v>
      </c>
      <c r="L2583" s="12">
        <v>-82428.75</v>
      </c>
      <c r="M2583" s="12">
        <v>0</v>
      </c>
      <c r="N2583" s="12">
        <v>77004.75</v>
      </c>
      <c r="O2583" s="12">
        <v>-5424</v>
      </c>
      <c r="P2583" s="12">
        <v>-277.5</v>
      </c>
      <c r="Q2583" s="12" t="s">
        <v>3</v>
      </c>
    </row>
    <row r="2584" spans="1:17" x14ac:dyDescent="0.3">
      <c r="A2584" s="12" t="s">
        <v>94</v>
      </c>
      <c r="B2584" s="12" t="s">
        <v>201</v>
      </c>
      <c r="C2584" s="12" t="s">
        <v>123</v>
      </c>
      <c r="D2584" s="12" t="s">
        <v>209</v>
      </c>
      <c r="E2584" s="12" t="s">
        <v>112</v>
      </c>
      <c r="F2584" s="12" t="s">
        <v>114</v>
      </c>
      <c r="G2584" s="12" t="s">
        <v>52</v>
      </c>
      <c r="H2584" s="12" t="s">
        <v>907</v>
      </c>
      <c r="I2584" s="12">
        <v>9</v>
      </c>
      <c r="J2584" s="12">
        <v>5499.25</v>
      </c>
      <c r="K2584" s="12">
        <v>5476.75</v>
      </c>
      <c r="L2584" s="12">
        <v>-247466.25</v>
      </c>
      <c r="M2584" s="12">
        <v>0</v>
      </c>
      <c r="N2584" s="12">
        <v>236164.5</v>
      </c>
      <c r="O2584" s="12">
        <v>-11301.75</v>
      </c>
      <c r="P2584" s="12">
        <v>-1012.5</v>
      </c>
      <c r="Q2584" s="12" t="s">
        <v>3</v>
      </c>
    </row>
    <row r="2585" spans="1:17" x14ac:dyDescent="0.3">
      <c r="A2585" s="12" t="s">
        <v>94</v>
      </c>
      <c r="B2585" s="12" t="s">
        <v>201</v>
      </c>
      <c r="C2585" s="12" t="s">
        <v>213</v>
      </c>
      <c r="E2585" s="12" t="s">
        <v>112</v>
      </c>
      <c r="F2585" s="12" t="s">
        <v>114</v>
      </c>
      <c r="G2585" s="12" t="s">
        <v>52</v>
      </c>
      <c r="I2585" s="12">
        <v>12</v>
      </c>
      <c r="L2585" s="12">
        <v>-330108.75</v>
      </c>
      <c r="M2585" s="12">
        <v>0</v>
      </c>
      <c r="N2585" s="12">
        <v>311728.75</v>
      </c>
      <c r="O2585" s="12">
        <v>-18380</v>
      </c>
      <c r="P2585" s="12">
        <v>-1248.75</v>
      </c>
    </row>
    <row r="2586" spans="1:17" x14ac:dyDescent="0.3">
      <c r="A2586" s="12" t="s">
        <v>94</v>
      </c>
      <c r="B2586" s="12" t="s">
        <v>201</v>
      </c>
      <c r="C2586" s="12" t="s">
        <v>123</v>
      </c>
      <c r="D2586" s="12" t="s">
        <v>209</v>
      </c>
      <c r="E2586" s="12" t="s">
        <v>112</v>
      </c>
      <c r="F2586" s="12" t="s">
        <v>114</v>
      </c>
      <c r="G2586" s="12" t="s">
        <v>80</v>
      </c>
      <c r="H2586" s="12" t="s">
        <v>908</v>
      </c>
      <c r="I2586" s="12">
        <v>-10</v>
      </c>
      <c r="J2586" s="12">
        <v>5564.25</v>
      </c>
      <c r="K2586" s="12">
        <v>5544.5</v>
      </c>
      <c r="L2586" s="12">
        <v>278212.5</v>
      </c>
      <c r="M2586" s="12">
        <v>0</v>
      </c>
      <c r="N2586" s="12">
        <v>-278212.5</v>
      </c>
      <c r="O2586" s="12">
        <v>0</v>
      </c>
      <c r="P2586" s="12">
        <v>987.5</v>
      </c>
      <c r="Q2586" s="12" t="s">
        <v>215</v>
      </c>
    </row>
    <row r="2587" spans="1:17" x14ac:dyDescent="0.3">
      <c r="A2587" s="12" t="s">
        <v>94</v>
      </c>
      <c r="B2587" s="12" t="s">
        <v>201</v>
      </c>
      <c r="C2587" s="12" t="s">
        <v>123</v>
      </c>
      <c r="D2587" s="12" t="s">
        <v>209</v>
      </c>
      <c r="E2587" s="12" t="s">
        <v>112</v>
      </c>
      <c r="F2587" s="12" t="s">
        <v>114</v>
      </c>
      <c r="G2587" s="12" t="s">
        <v>80</v>
      </c>
      <c r="H2587" s="12" t="s">
        <v>909</v>
      </c>
      <c r="I2587" s="12">
        <v>-3</v>
      </c>
      <c r="J2587" s="12">
        <v>5564</v>
      </c>
      <c r="K2587" s="12">
        <v>5544.5</v>
      </c>
      <c r="L2587" s="12">
        <v>83460</v>
      </c>
      <c r="M2587" s="12">
        <v>0</v>
      </c>
      <c r="N2587" s="12">
        <v>-83460</v>
      </c>
      <c r="O2587" s="12">
        <v>0</v>
      </c>
      <c r="P2587" s="12">
        <v>292.5</v>
      </c>
      <c r="Q2587" s="12" t="s">
        <v>215</v>
      </c>
    </row>
    <row r="2588" spans="1:17" x14ac:dyDescent="0.3">
      <c r="A2588" s="12" t="s">
        <v>94</v>
      </c>
      <c r="B2588" s="12" t="s">
        <v>201</v>
      </c>
      <c r="C2588" s="12" t="s">
        <v>213</v>
      </c>
      <c r="E2588" s="12" t="s">
        <v>112</v>
      </c>
      <c r="F2588" s="12" t="s">
        <v>114</v>
      </c>
      <c r="G2588" s="12" t="s">
        <v>80</v>
      </c>
      <c r="I2588" s="12">
        <v>-13</v>
      </c>
      <c r="L2588" s="12">
        <v>361672.5</v>
      </c>
      <c r="M2588" s="12">
        <v>0</v>
      </c>
      <c r="N2588" s="12">
        <v>-361672.5</v>
      </c>
      <c r="O2588" s="12">
        <v>0</v>
      </c>
      <c r="P2588" s="12">
        <v>1280</v>
      </c>
    </row>
    <row r="2589" spans="1:17" x14ac:dyDescent="0.3">
      <c r="A2589" s="12" t="s">
        <v>94</v>
      </c>
      <c r="B2589" s="12" t="s">
        <v>201</v>
      </c>
      <c r="C2589" s="12" t="s">
        <v>123</v>
      </c>
      <c r="D2589" s="12" t="s">
        <v>209</v>
      </c>
      <c r="E2589" s="12" t="s">
        <v>112</v>
      </c>
      <c r="F2589" s="12" t="s">
        <v>114</v>
      </c>
      <c r="G2589" s="12" t="s">
        <v>53</v>
      </c>
      <c r="H2589" s="12" t="s">
        <v>910</v>
      </c>
      <c r="I2589" s="12">
        <v>3</v>
      </c>
      <c r="J2589" s="12">
        <v>19938</v>
      </c>
      <c r="K2589" s="12">
        <v>19763.25</v>
      </c>
      <c r="L2589" s="12">
        <v>-119628</v>
      </c>
      <c r="M2589" s="12">
        <v>0</v>
      </c>
      <c r="N2589" s="12">
        <v>110134</v>
      </c>
      <c r="O2589" s="12">
        <v>-9494</v>
      </c>
      <c r="P2589" s="12">
        <v>-1048.5</v>
      </c>
      <c r="Q2589" s="12" t="s">
        <v>3</v>
      </c>
    </row>
    <row r="2590" spans="1:17" x14ac:dyDescent="0.3">
      <c r="A2590" s="12" t="s">
        <v>94</v>
      </c>
      <c r="B2590" s="12" t="s">
        <v>201</v>
      </c>
      <c r="C2590" s="12" t="s">
        <v>213</v>
      </c>
      <c r="E2590" s="12" t="s">
        <v>112</v>
      </c>
      <c r="F2590" s="12" t="s">
        <v>114</v>
      </c>
      <c r="G2590" s="12" t="s">
        <v>53</v>
      </c>
      <c r="I2590" s="12">
        <v>3</v>
      </c>
      <c r="L2590" s="12">
        <v>-119628</v>
      </c>
      <c r="M2590" s="12">
        <v>0</v>
      </c>
      <c r="N2590" s="12">
        <v>110134</v>
      </c>
      <c r="O2590" s="12">
        <v>-9494</v>
      </c>
      <c r="P2590" s="12">
        <v>-1048.5</v>
      </c>
    </row>
    <row r="2591" spans="1:17" x14ac:dyDescent="0.3">
      <c r="A2591" s="12" t="s">
        <v>94</v>
      </c>
      <c r="B2591" s="12" t="s">
        <v>201</v>
      </c>
      <c r="C2591" s="12" t="s">
        <v>123</v>
      </c>
      <c r="D2591" s="12" t="s">
        <v>209</v>
      </c>
      <c r="E2591" s="12" t="s">
        <v>112</v>
      </c>
      <c r="F2591" s="12" t="s">
        <v>114</v>
      </c>
      <c r="G2591" s="12" t="s">
        <v>81</v>
      </c>
      <c r="H2591" s="12" t="s">
        <v>911</v>
      </c>
      <c r="I2591" s="12">
        <v>-2</v>
      </c>
      <c r="J2591" s="12">
        <v>20199</v>
      </c>
      <c r="K2591" s="12">
        <v>20031.5</v>
      </c>
      <c r="L2591" s="12">
        <v>80796</v>
      </c>
      <c r="M2591" s="12">
        <v>0</v>
      </c>
      <c r="N2591" s="12">
        <v>-80796</v>
      </c>
      <c r="O2591" s="12">
        <v>0</v>
      </c>
      <c r="P2591" s="12">
        <v>670</v>
      </c>
      <c r="Q2591" s="12" t="s">
        <v>211</v>
      </c>
    </row>
    <row r="2592" spans="1:17" x14ac:dyDescent="0.3">
      <c r="A2592" s="12" t="s">
        <v>94</v>
      </c>
      <c r="B2592" s="12" t="s">
        <v>201</v>
      </c>
      <c r="C2592" s="12" t="s">
        <v>213</v>
      </c>
      <c r="E2592" s="12" t="s">
        <v>112</v>
      </c>
      <c r="F2592" s="12" t="s">
        <v>114</v>
      </c>
      <c r="G2592" s="12" t="s">
        <v>81</v>
      </c>
      <c r="I2592" s="12">
        <v>-2</v>
      </c>
      <c r="L2592" s="12">
        <v>80796</v>
      </c>
      <c r="M2592" s="12">
        <v>0</v>
      </c>
      <c r="N2592" s="12">
        <v>-80796</v>
      </c>
      <c r="O2592" s="12">
        <v>0</v>
      </c>
      <c r="P2592" s="12">
        <v>670</v>
      </c>
    </row>
    <row r="2593" spans="1:17" x14ac:dyDescent="0.3">
      <c r="A2593" s="12" t="s">
        <v>94</v>
      </c>
      <c r="B2593" s="12" t="s">
        <v>201</v>
      </c>
      <c r="C2593" s="12" t="s">
        <v>97</v>
      </c>
      <c r="E2593" s="12" t="s">
        <v>112</v>
      </c>
      <c r="F2593" s="12" t="s">
        <v>114</v>
      </c>
      <c r="L2593" s="12">
        <v>-7268.25</v>
      </c>
      <c r="M2593" s="12">
        <v>0</v>
      </c>
      <c r="N2593" s="12">
        <v>-20605.75</v>
      </c>
      <c r="O2593" s="12">
        <v>-27874</v>
      </c>
      <c r="P2593" s="12">
        <v>-347.25</v>
      </c>
      <c r="Q2593" s="12" t="s">
        <v>257</v>
      </c>
    </row>
    <row r="2594" spans="1:17" x14ac:dyDescent="0.3">
      <c r="A2594" s="12" t="s">
        <v>94</v>
      </c>
      <c r="B2594" s="12" t="s">
        <v>746</v>
      </c>
      <c r="C2594" s="12" t="s">
        <v>120</v>
      </c>
      <c r="D2594" s="12" t="s">
        <v>100</v>
      </c>
      <c r="E2594" s="12" t="s">
        <v>181</v>
      </c>
      <c r="F2594" s="12" t="s">
        <v>747</v>
      </c>
      <c r="G2594" s="12" t="s">
        <v>202</v>
      </c>
      <c r="H2594" s="12" t="s">
        <v>269</v>
      </c>
      <c r="I2594" s="12" t="s">
        <v>193</v>
      </c>
      <c r="J2594" s="12" t="s">
        <v>205</v>
      </c>
      <c r="K2594" s="12" t="s">
        <v>198</v>
      </c>
      <c r="L2594" s="12" t="s">
        <v>207</v>
      </c>
      <c r="M2594" s="12" t="s">
        <v>165</v>
      </c>
    </row>
    <row r="2595" spans="1:17" x14ac:dyDescent="0.3">
      <c r="A2595" s="12" t="s">
        <v>94</v>
      </c>
      <c r="B2595" s="12" t="s">
        <v>746</v>
      </c>
      <c r="C2595" s="12" t="s">
        <v>123</v>
      </c>
      <c r="D2595" s="12" t="s">
        <v>110</v>
      </c>
      <c r="E2595" s="12" t="s">
        <v>114</v>
      </c>
      <c r="F2595" s="20">
        <v>45455</v>
      </c>
      <c r="G2595" s="12" t="s">
        <v>912</v>
      </c>
      <c r="H2595" s="12" t="s">
        <v>913</v>
      </c>
      <c r="I2595" s="12">
        <v>-35</v>
      </c>
      <c r="J2595" s="12">
        <v>0</v>
      </c>
      <c r="K2595" s="12">
        <v>0</v>
      </c>
      <c r="L2595" s="12">
        <v>0</v>
      </c>
      <c r="M2595" s="12" t="s">
        <v>403</v>
      </c>
    </row>
    <row r="2596" spans="1:17" x14ac:dyDescent="0.3">
      <c r="A2596" s="12" t="s">
        <v>94</v>
      </c>
      <c r="B2596" s="12" t="s">
        <v>746</v>
      </c>
      <c r="C2596" s="12" t="s">
        <v>123</v>
      </c>
      <c r="D2596" s="12" t="s">
        <v>110</v>
      </c>
      <c r="E2596" s="12" t="s">
        <v>114</v>
      </c>
      <c r="F2596" s="20">
        <v>45455</v>
      </c>
      <c r="G2596" s="12" t="s">
        <v>912</v>
      </c>
      <c r="H2596" s="12" t="s">
        <v>913</v>
      </c>
      <c r="I2596" s="12">
        <v>35</v>
      </c>
      <c r="J2596" s="12">
        <v>0</v>
      </c>
      <c r="K2596" s="12">
        <v>0</v>
      </c>
      <c r="L2596" s="12">
        <v>0</v>
      </c>
    </row>
    <row r="2597" spans="1:17" x14ac:dyDescent="0.3">
      <c r="A2597" s="12" t="s">
        <v>94</v>
      </c>
      <c r="B2597" s="12" t="s">
        <v>746</v>
      </c>
      <c r="C2597" s="12" t="s">
        <v>123</v>
      </c>
      <c r="D2597" s="12" t="s">
        <v>110</v>
      </c>
      <c r="E2597" s="12" t="s">
        <v>114</v>
      </c>
      <c r="F2597" s="20">
        <v>45455</v>
      </c>
      <c r="G2597" s="12" t="s">
        <v>912</v>
      </c>
      <c r="H2597" s="12" t="s">
        <v>913</v>
      </c>
      <c r="I2597" s="12">
        <v>-35</v>
      </c>
      <c r="J2597" s="12">
        <v>0</v>
      </c>
      <c r="K2597" s="12">
        <v>0</v>
      </c>
      <c r="L2597" s="12">
        <v>0</v>
      </c>
      <c r="M2597" s="12" t="s">
        <v>403</v>
      </c>
    </row>
    <row r="2598" spans="1:17" x14ac:dyDescent="0.3">
      <c r="A2598" s="12" t="s">
        <v>94</v>
      </c>
      <c r="B2598" s="12" t="s">
        <v>746</v>
      </c>
      <c r="C2598" s="12" t="s">
        <v>123</v>
      </c>
      <c r="D2598" s="12" t="s">
        <v>110</v>
      </c>
      <c r="E2598" s="12" t="s">
        <v>114</v>
      </c>
      <c r="F2598" s="20">
        <v>45455</v>
      </c>
      <c r="G2598" s="12" t="s">
        <v>912</v>
      </c>
      <c r="H2598" s="12" t="s">
        <v>913</v>
      </c>
      <c r="I2598" s="12">
        <v>35</v>
      </c>
      <c r="J2598" s="12">
        <v>0</v>
      </c>
      <c r="K2598" s="12">
        <v>0</v>
      </c>
      <c r="L2598" s="12">
        <v>0</v>
      </c>
    </row>
    <row r="2599" spans="1:17" x14ac:dyDescent="0.3">
      <c r="A2599" s="12" t="s">
        <v>94</v>
      </c>
      <c r="B2599" s="12" t="s">
        <v>746</v>
      </c>
      <c r="C2599" s="12" t="s">
        <v>123</v>
      </c>
      <c r="D2599" s="12" t="s">
        <v>110</v>
      </c>
      <c r="E2599" s="12" t="s">
        <v>114</v>
      </c>
      <c r="F2599" s="20">
        <v>45455</v>
      </c>
      <c r="G2599" s="12" t="s">
        <v>912</v>
      </c>
      <c r="H2599" s="12" t="s">
        <v>913</v>
      </c>
      <c r="I2599" s="12">
        <v>-35</v>
      </c>
      <c r="J2599" s="12">
        <v>0</v>
      </c>
      <c r="K2599" s="12">
        <v>0</v>
      </c>
      <c r="L2599" s="12">
        <v>0</v>
      </c>
      <c r="M2599" s="12" t="s">
        <v>403</v>
      </c>
    </row>
    <row r="2600" spans="1:17" x14ac:dyDescent="0.3">
      <c r="A2600" s="12" t="s">
        <v>94</v>
      </c>
      <c r="B2600" s="12" t="s">
        <v>746</v>
      </c>
      <c r="C2600" s="12" t="s">
        <v>123</v>
      </c>
      <c r="D2600" s="12" t="s">
        <v>110</v>
      </c>
      <c r="E2600" s="12" t="s">
        <v>114</v>
      </c>
      <c r="F2600" s="20">
        <v>45455</v>
      </c>
      <c r="G2600" s="12" t="s">
        <v>912</v>
      </c>
      <c r="H2600" s="12" t="s">
        <v>913</v>
      </c>
      <c r="I2600" s="12">
        <v>35</v>
      </c>
      <c r="J2600" s="12">
        <v>0</v>
      </c>
      <c r="K2600" s="12">
        <v>0</v>
      </c>
      <c r="L2600" s="12">
        <v>0</v>
      </c>
    </row>
    <row r="2601" spans="1:17" x14ac:dyDescent="0.3">
      <c r="A2601" s="12" t="s">
        <v>94</v>
      </c>
      <c r="B2601" s="12" t="s">
        <v>746</v>
      </c>
      <c r="C2601" s="12" t="s">
        <v>123</v>
      </c>
      <c r="D2601" s="12" t="s">
        <v>110</v>
      </c>
      <c r="E2601" s="12" t="s">
        <v>114</v>
      </c>
      <c r="F2601" s="20">
        <v>45455</v>
      </c>
      <c r="G2601" s="12" t="s">
        <v>912</v>
      </c>
      <c r="H2601" s="12" t="s">
        <v>913</v>
      </c>
      <c r="I2601" s="12">
        <v>-35</v>
      </c>
      <c r="J2601" s="12">
        <v>0</v>
      </c>
      <c r="K2601" s="12">
        <v>0</v>
      </c>
      <c r="L2601" s="12">
        <v>0</v>
      </c>
      <c r="M2601" s="12" t="s">
        <v>403</v>
      </c>
    </row>
    <row r="2602" spans="1:17" x14ac:dyDescent="0.3">
      <c r="A2602" s="12" t="s">
        <v>94</v>
      </c>
      <c r="B2602" s="12" t="s">
        <v>746</v>
      </c>
      <c r="C2602" s="12" t="s">
        <v>123</v>
      </c>
      <c r="D2602" s="12" t="s">
        <v>110</v>
      </c>
      <c r="E2602" s="12" t="s">
        <v>114</v>
      </c>
      <c r="F2602" s="20">
        <v>45455</v>
      </c>
      <c r="G2602" s="12" t="s">
        <v>912</v>
      </c>
      <c r="H2602" s="12" t="s">
        <v>913</v>
      </c>
      <c r="I2602" s="12">
        <v>35</v>
      </c>
      <c r="J2602" s="12">
        <v>0</v>
      </c>
      <c r="K2602" s="12">
        <v>0</v>
      </c>
      <c r="L2602" s="12">
        <v>0</v>
      </c>
    </row>
    <row r="2603" spans="1:17" x14ac:dyDescent="0.3">
      <c r="A2603" s="12" t="s">
        <v>94</v>
      </c>
      <c r="B2603" s="12" t="s">
        <v>746</v>
      </c>
      <c r="C2603" s="12" t="s">
        <v>123</v>
      </c>
      <c r="D2603" s="12" t="s">
        <v>110</v>
      </c>
      <c r="E2603" s="12" t="s">
        <v>114</v>
      </c>
      <c r="F2603" s="20">
        <v>45455</v>
      </c>
      <c r="G2603" s="12" t="s">
        <v>912</v>
      </c>
      <c r="H2603" s="12" t="s">
        <v>913</v>
      </c>
      <c r="I2603" s="12">
        <v>35</v>
      </c>
      <c r="J2603" s="12">
        <v>0</v>
      </c>
      <c r="K2603" s="12">
        <v>0</v>
      </c>
      <c r="L2603" s="12">
        <v>0</v>
      </c>
    </row>
    <row r="2604" spans="1:17" x14ac:dyDescent="0.3">
      <c r="A2604" s="12" t="s">
        <v>94</v>
      </c>
      <c r="B2604" s="12" t="s">
        <v>746</v>
      </c>
      <c r="C2604" s="12" t="s">
        <v>123</v>
      </c>
      <c r="D2604" s="12" t="s">
        <v>110</v>
      </c>
      <c r="E2604" s="12" t="s">
        <v>114</v>
      </c>
      <c r="F2604" s="20">
        <v>45455</v>
      </c>
      <c r="G2604" s="12" t="s">
        <v>912</v>
      </c>
      <c r="H2604" s="12" t="s">
        <v>913</v>
      </c>
      <c r="I2604" s="12">
        <v>35</v>
      </c>
      <c r="J2604" s="12">
        <v>0</v>
      </c>
      <c r="K2604" s="12">
        <v>0</v>
      </c>
      <c r="L2604" s="12">
        <v>0</v>
      </c>
    </row>
    <row r="2605" spans="1:17" x14ac:dyDescent="0.3">
      <c r="A2605" s="12" t="s">
        <v>94</v>
      </c>
      <c r="B2605" s="12" t="s">
        <v>746</v>
      </c>
      <c r="C2605" s="12" t="s">
        <v>123</v>
      </c>
      <c r="D2605" s="12" t="s">
        <v>110</v>
      </c>
      <c r="E2605" s="12" t="s">
        <v>114</v>
      </c>
      <c r="F2605" s="20">
        <v>45455</v>
      </c>
      <c r="G2605" s="12" t="s">
        <v>912</v>
      </c>
      <c r="H2605" s="12" t="s">
        <v>913</v>
      </c>
      <c r="I2605" s="12">
        <v>35</v>
      </c>
      <c r="J2605" s="12">
        <v>0</v>
      </c>
      <c r="K2605" s="12">
        <v>0</v>
      </c>
      <c r="L2605" s="12">
        <v>0</v>
      </c>
    </row>
    <row r="2606" spans="1:17" x14ac:dyDescent="0.3">
      <c r="A2606" s="12" t="s">
        <v>94</v>
      </c>
      <c r="B2606" s="12" t="s">
        <v>746</v>
      </c>
      <c r="C2606" s="12" t="s">
        <v>123</v>
      </c>
      <c r="D2606" s="12" t="s">
        <v>110</v>
      </c>
      <c r="E2606" s="12" t="s">
        <v>114</v>
      </c>
      <c r="F2606" s="20">
        <v>45455</v>
      </c>
      <c r="G2606" s="12" t="s">
        <v>912</v>
      </c>
      <c r="H2606" s="12" t="s">
        <v>913</v>
      </c>
      <c r="I2606" s="12">
        <v>-35</v>
      </c>
      <c r="J2606" s="12">
        <v>0</v>
      </c>
      <c r="K2606" s="12">
        <v>0</v>
      </c>
      <c r="L2606" s="12">
        <v>0</v>
      </c>
      <c r="M2606" s="12" t="s">
        <v>403</v>
      </c>
    </row>
    <row r="2607" spans="1:17" x14ac:dyDescent="0.3">
      <c r="A2607" s="12" t="s">
        <v>94</v>
      </c>
      <c r="B2607" s="12" t="s">
        <v>746</v>
      </c>
      <c r="C2607" s="12" t="s">
        <v>123</v>
      </c>
      <c r="D2607" s="12" t="s">
        <v>110</v>
      </c>
      <c r="E2607" s="12" t="s">
        <v>114</v>
      </c>
      <c r="F2607" s="20">
        <v>45455</v>
      </c>
      <c r="G2607" s="12" t="s">
        <v>912</v>
      </c>
      <c r="H2607" s="12" t="s">
        <v>913</v>
      </c>
      <c r="I2607" s="12">
        <v>-35</v>
      </c>
      <c r="J2607" s="12">
        <v>0</v>
      </c>
      <c r="K2607" s="12">
        <v>0</v>
      </c>
      <c r="L2607" s="12">
        <v>0</v>
      </c>
      <c r="M2607" s="12" t="s">
        <v>403</v>
      </c>
    </row>
    <row r="2608" spans="1:17" x14ac:dyDescent="0.3">
      <c r="A2608" s="12" t="s">
        <v>94</v>
      </c>
      <c r="B2608" s="12" t="s">
        <v>746</v>
      </c>
      <c r="C2608" s="12" t="s">
        <v>123</v>
      </c>
      <c r="D2608" s="12" t="s">
        <v>110</v>
      </c>
      <c r="E2608" s="12" t="s">
        <v>114</v>
      </c>
      <c r="F2608" s="20">
        <v>45455</v>
      </c>
      <c r="G2608" s="12" t="s">
        <v>912</v>
      </c>
      <c r="H2608" s="12" t="s">
        <v>913</v>
      </c>
      <c r="I2608" s="12">
        <v>-35</v>
      </c>
      <c r="J2608" s="12">
        <v>0</v>
      </c>
      <c r="K2608" s="12">
        <v>0</v>
      </c>
      <c r="L2608" s="12">
        <v>0</v>
      </c>
      <c r="M2608" s="12" t="s">
        <v>403</v>
      </c>
    </row>
    <row r="2609" spans="1:13" x14ac:dyDescent="0.3">
      <c r="A2609" s="12" t="s">
        <v>94</v>
      </c>
      <c r="B2609" s="12" t="s">
        <v>746</v>
      </c>
      <c r="C2609" s="12" t="s">
        <v>123</v>
      </c>
      <c r="D2609" s="12" t="s">
        <v>110</v>
      </c>
      <c r="E2609" s="12" t="s">
        <v>114</v>
      </c>
      <c r="F2609" s="20">
        <v>45455</v>
      </c>
      <c r="G2609" s="12" t="s">
        <v>912</v>
      </c>
      <c r="H2609" s="12" t="s">
        <v>913</v>
      </c>
      <c r="I2609" s="12">
        <v>35</v>
      </c>
      <c r="J2609" s="12">
        <v>0</v>
      </c>
      <c r="K2609" s="12">
        <v>0</v>
      </c>
      <c r="L2609" s="12">
        <v>0</v>
      </c>
    </row>
    <row r="2610" spans="1:13" x14ac:dyDescent="0.3">
      <c r="A2610" s="12" t="s">
        <v>94</v>
      </c>
      <c r="B2610" s="12" t="s">
        <v>746</v>
      </c>
      <c r="C2610" s="12" t="s">
        <v>123</v>
      </c>
      <c r="D2610" s="12" t="s">
        <v>110</v>
      </c>
      <c r="E2610" s="12" t="s">
        <v>114</v>
      </c>
      <c r="F2610" s="20">
        <v>45455</v>
      </c>
      <c r="G2610" s="12" t="s">
        <v>912</v>
      </c>
      <c r="H2610" s="12" t="s">
        <v>913</v>
      </c>
      <c r="I2610" s="12">
        <v>-35</v>
      </c>
      <c r="J2610" s="12">
        <v>0</v>
      </c>
      <c r="K2610" s="12">
        <v>0</v>
      </c>
      <c r="L2610" s="12">
        <v>0</v>
      </c>
      <c r="M2610" s="12" t="s">
        <v>403</v>
      </c>
    </row>
    <row r="2611" spans="1:13" x14ac:dyDescent="0.3">
      <c r="A2611" s="12" t="s">
        <v>94</v>
      </c>
      <c r="B2611" s="12" t="s">
        <v>746</v>
      </c>
      <c r="C2611" s="12" t="s">
        <v>123</v>
      </c>
      <c r="D2611" s="12" t="s">
        <v>110</v>
      </c>
      <c r="E2611" s="12" t="s">
        <v>114</v>
      </c>
      <c r="F2611" s="20">
        <v>45455</v>
      </c>
      <c r="G2611" s="12" t="s">
        <v>912</v>
      </c>
      <c r="H2611" s="12" t="s">
        <v>913</v>
      </c>
      <c r="I2611" s="12">
        <v>35</v>
      </c>
      <c r="J2611" s="12">
        <v>0</v>
      </c>
      <c r="K2611" s="12">
        <v>0</v>
      </c>
      <c r="L2611" s="12">
        <v>0</v>
      </c>
    </row>
    <row r="2612" spans="1:13" x14ac:dyDescent="0.3">
      <c r="A2612" s="12" t="s">
        <v>94</v>
      </c>
      <c r="B2612" s="12" t="s">
        <v>746</v>
      </c>
      <c r="C2612" s="12" t="s">
        <v>123</v>
      </c>
      <c r="D2612" s="12" t="s">
        <v>110</v>
      </c>
      <c r="E2612" s="12" t="s">
        <v>114</v>
      </c>
      <c r="F2612" s="20">
        <v>45455</v>
      </c>
      <c r="G2612" s="12" t="s">
        <v>912</v>
      </c>
      <c r="H2612" s="12" t="s">
        <v>913</v>
      </c>
      <c r="I2612" s="12">
        <v>-35</v>
      </c>
      <c r="J2612" s="12">
        <v>0</v>
      </c>
      <c r="K2612" s="12">
        <v>0</v>
      </c>
      <c r="L2612" s="12">
        <v>0</v>
      </c>
      <c r="M2612" s="12" t="s">
        <v>403</v>
      </c>
    </row>
    <row r="2613" spans="1:13" x14ac:dyDescent="0.3">
      <c r="A2613" s="12" t="s">
        <v>94</v>
      </c>
      <c r="B2613" s="12" t="s">
        <v>746</v>
      </c>
      <c r="C2613" s="12" t="s">
        <v>123</v>
      </c>
      <c r="D2613" s="12" t="s">
        <v>110</v>
      </c>
      <c r="E2613" s="12" t="s">
        <v>114</v>
      </c>
      <c r="F2613" s="20">
        <v>45455</v>
      </c>
      <c r="G2613" s="12" t="s">
        <v>912</v>
      </c>
      <c r="H2613" s="12" t="s">
        <v>913</v>
      </c>
      <c r="I2613" s="12">
        <v>35</v>
      </c>
      <c r="J2613" s="12">
        <v>0</v>
      </c>
      <c r="K2613" s="12">
        <v>0</v>
      </c>
      <c r="L2613" s="12">
        <v>0</v>
      </c>
    </row>
    <row r="2614" spans="1:13" x14ac:dyDescent="0.3">
      <c r="A2614" s="12" t="s">
        <v>94</v>
      </c>
      <c r="B2614" s="12" t="s">
        <v>746</v>
      </c>
      <c r="C2614" s="12" t="s">
        <v>123</v>
      </c>
      <c r="D2614" s="12" t="s">
        <v>110</v>
      </c>
      <c r="E2614" s="12" t="s">
        <v>114</v>
      </c>
      <c r="F2614" s="20">
        <v>45455</v>
      </c>
      <c r="G2614" s="12" t="s">
        <v>912</v>
      </c>
      <c r="H2614" s="12" t="s">
        <v>913</v>
      </c>
      <c r="I2614" s="12">
        <v>-35</v>
      </c>
      <c r="J2614" s="12">
        <v>0</v>
      </c>
      <c r="K2614" s="12">
        <v>0</v>
      </c>
      <c r="L2614" s="12">
        <v>0</v>
      </c>
      <c r="M2614" s="12" t="s">
        <v>403</v>
      </c>
    </row>
    <row r="2615" spans="1:13" x14ac:dyDescent="0.3">
      <c r="A2615" s="12" t="s">
        <v>94</v>
      </c>
      <c r="B2615" s="12" t="s">
        <v>746</v>
      </c>
      <c r="C2615" s="12" t="s">
        <v>123</v>
      </c>
      <c r="D2615" s="12" t="s">
        <v>110</v>
      </c>
      <c r="E2615" s="12" t="s">
        <v>114</v>
      </c>
      <c r="F2615" s="20">
        <v>45455</v>
      </c>
      <c r="G2615" s="12" t="s">
        <v>912</v>
      </c>
      <c r="H2615" s="12" t="s">
        <v>913</v>
      </c>
      <c r="I2615" s="12">
        <v>35</v>
      </c>
      <c r="J2615" s="12">
        <v>0</v>
      </c>
      <c r="K2615" s="12">
        <v>0</v>
      </c>
      <c r="L2615" s="12">
        <v>0</v>
      </c>
    </row>
    <row r="2616" spans="1:13" x14ac:dyDescent="0.3">
      <c r="A2616" s="12" t="s">
        <v>94</v>
      </c>
      <c r="B2616" s="12" t="s">
        <v>746</v>
      </c>
      <c r="C2616" s="12" t="s">
        <v>123</v>
      </c>
      <c r="D2616" s="12" t="s">
        <v>110</v>
      </c>
      <c r="E2616" s="12" t="s">
        <v>114</v>
      </c>
      <c r="F2616" s="20">
        <v>45455</v>
      </c>
      <c r="G2616" s="12" t="s">
        <v>912</v>
      </c>
      <c r="H2616" s="12" t="s">
        <v>913</v>
      </c>
      <c r="I2616" s="12">
        <v>-35</v>
      </c>
      <c r="J2616" s="12">
        <v>0</v>
      </c>
      <c r="K2616" s="12">
        <v>0</v>
      </c>
      <c r="L2616" s="12">
        <v>0</v>
      </c>
      <c r="M2616" s="12" t="s">
        <v>403</v>
      </c>
    </row>
    <row r="2617" spans="1:13" x14ac:dyDescent="0.3">
      <c r="A2617" s="12" t="s">
        <v>94</v>
      </c>
      <c r="B2617" s="12" t="s">
        <v>746</v>
      </c>
      <c r="C2617" s="12" t="s">
        <v>123</v>
      </c>
      <c r="D2617" s="12" t="s">
        <v>110</v>
      </c>
      <c r="E2617" s="12" t="s">
        <v>114</v>
      </c>
      <c r="F2617" s="20">
        <v>45455</v>
      </c>
      <c r="G2617" s="12" t="s">
        <v>912</v>
      </c>
      <c r="H2617" s="12" t="s">
        <v>913</v>
      </c>
      <c r="I2617" s="12">
        <v>35</v>
      </c>
      <c r="J2617" s="12">
        <v>0</v>
      </c>
      <c r="K2617" s="12">
        <v>0</v>
      </c>
      <c r="L2617" s="12">
        <v>0</v>
      </c>
    </row>
    <row r="2618" spans="1:13" x14ac:dyDescent="0.3">
      <c r="A2618" s="12" t="s">
        <v>94</v>
      </c>
      <c r="B2618" s="12" t="s">
        <v>746</v>
      </c>
      <c r="C2618" s="12" t="s">
        <v>123</v>
      </c>
      <c r="D2618" s="12" t="s">
        <v>110</v>
      </c>
      <c r="E2618" s="12" t="s">
        <v>114</v>
      </c>
      <c r="F2618" s="20">
        <v>45455</v>
      </c>
      <c r="G2618" s="12" t="s">
        <v>912</v>
      </c>
      <c r="H2618" s="12" t="s">
        <v>913</v>
      </c>
      <c r="I2618" s="12">
        <v>-35</v>
      </c>
      <c r="J2618" s="12">
        <v>0</v>
      </c>
      <c r="K2618" s="12">
        <v>0</v>
      </c>
      <c r="L2618" s="12">
        <v>0</v>
      </c>
      <c r="M2618" s="12" t="s">
        <v>403</v>
      </c>
    </row>
    <row r="2619" spans="1:13" x14ac:dyDescent="0.3">
      <c r="A2619" s="12" t="s">
        <v>94</v>
      </c>
      <c r="B2619" s="12" t="s">
        <v>746</v>
      </c>
      <c r="C2619" s="12" t="s">
        <v>123</v>
      </c>
      <c r="D2619" s="12" t="s">
        <v>110</v>
      </c>
      <c r="E2619" s="12" t="s">
        <v>114</v>
      </c>
      <c r="F2619" s="20">
        <v>45455</v>
      </c>
      <c r="G2619" s="12" t="s">
        <v>912</v>
      </c>
      <c r="H2619" s="12" t="s">
        <v>913</v>
      </c>
      <c r="I2619" s="12">
        <v>35</v>
      </c>
      <c r="J2619" s="12">
        <v>0</v>
      </c>
      <c r="K2619" s="12">
        <v>0</v>
      </c>
      <c r="L2619" s="12">
        <v>0</v>
      </c>
    </row>
    <row r="2620" spans="1:13" x14ac:dyDescent="0.3">
      <c r="A2620" s="12" t="s">
        <v>94</v>
      </c>
      <c r="B2620" s="12" t="s">
        <v>746</v>
      </c>
      <c r="C2620" s="12" t="s">
        <v>123</v>
      </c>
      <c r="D2620" s="12" t="s">
        <v>110</v>
      </c>
      <c r="E2620" s="12" t="s">
        <v>114</v>
      </c>
      <c r="F2620" s="20">
        <v>45455</v>
      </c>
      <c r="G2620" s="12" t="s">
        <v>912</v>
      </c>
      <c r="H2620" s="12" t="s">
        <v>913</v>
      </c>
      <c r="I2620" s="12">
        <v>-35</v>
      </c>
      <c r="J2620" s="12">
        <v>0</v>
      </c>
      <c r="K2620" s="12">
        <v>0</v>
      </c>
      <c r="L2620" s="12">
        <v>0</v>
      </c>
      <c r="M2620" s="12" t="s">
        <v>403</v>
      </c>
    </row>
    <row r="2621" spans="1:13" x14ac:dyDescent="0.3">
      <c r="A2621" s="12" t="s">
        <v>94</v>
      </c>
      <c r="B2621" s="12" t="s">
        <v>746</v>
      </c>
      <c r="C2621" s="12" t="s">
        <v>123</v>
      </c>
      <c r="D2621" s="12" t="s">
        <v>110</v>
      </c>
      <c r="E2621" s="12" t="s">
        <v>114</v>
      </c>
      <c r="F2621" s="20">
        <v>45455</v>
      </c>
      <c r="G2621" s="12" t="s">
        <v>912</v>
      </c>
      <c r="H2621" s="12" t="s">
        <v>913</v>
      </c>
      <c r="I2621" s="12">
        <v>35</v>
      </c>
      <c r="J2621" s="12">
        <v>0</v>
      </c>
      <c r="K2621" s="12">
        <v>0</v>
      </c>
      <c r="L2621" s="12">
        <v>0</v>
      </c>
    </row>
    <row r="2622" spans="1:13" x14ac:dyDescent="0.3">
      <c r="A2622" s="12" t="s">
        <v>94</v>
      </c>
      <c r="B2622" s="12" t="s">
        <v>746</v>
      </c>
      <c r="C2622" s="12" t="s">
        <v>123</v>
      </c>
      <c r="D2622" s="12" t="s">
        <v>110</v>
      </c>
      <c r="E2622" s="12" t="s">
        <v>114</v>
      </c>
      <c r="F2622" s="20">
        <v>45455</v>
      </c>
      <c r="G2622" s="12" t="s">
        <v>912</v>
      </c>
      <c r="H2622" s="12" t="s">
        <v>913</v>
      </c>
      <c r="I2622" s="12">
        <v>-35</v>
      </c>
      <c r="J2622" s="12">
        <v>0</v>
      </c>
      <c r="K2622" s="12">
        <v>0</v>
      </c>
      <c r="L2622" s="12">
        <v>0</v>
      </c>
      <c r="M2622" s="12" t="s">
        <v>403</v>
      </c>
    </row>
    <row r="2623" spans="1:13" x14ac:dyDescent="0.3">
      <c r="A2623" s="12" t="s">
        <v>94</v>
      </c>
      <c r="B2623" s="12" t="s">
        <v>746</v>
      </c>
      <c r="C2623" s="12" t="s">
        <v>123</v>
      </c>
      <c r="D2623" s="12" t="s">
        <v>110</v>
      </c>
      <c r="E2623" s="12" t="s">
        <v>114</v>
      </c>
      <c r="F2623" s="20">
        <v>45455</v>
      </c>
      <c r="G2623" s="12" t="s">
        <v>912</v>
      </c>
      <c r="H2623" s="12" t="s">
        <v>913</v>
      </c>
      <c r="I2623" s="12">
        <v>35</v>
      </c>
      <c r="J2623" s="12">
        <v>0</v>
      </c>
      <c r="K2623" s="12">
        <v>0</v>
      </c>
      <c r="L2623" s="12">
        <v>0</v>
      </c>
    </row>
    <row r="2624" spans="1:13" x14ac:dyDescent="0.3">
      <c r="A2624" s="12" t="s">
        <v>94</v>
      </c>
      <c r="B2624" s="12" t="s">
        <v>746</v>
      </c>
      <c r="C2624" s="12" t="s">
        <v>123</v>
      </c>
      <c r="D2624" s="12" t="s">
        <v>110</v>
      </c>
      <c r="E2624" s="12" t="s">
        <v>114</v>
      </c>
      <c r="F2624" s="20">
        <v>45455</v>
      </c>
      <c r="G2624" s="12" t="s">
        <v>912</v>
      </c>
      <c r="H2624" s="12" t="s">
        <v>913</v>
      </c>
      <c r="I2624" s="12">
        <v>-35</v>
      </c>
      <c r="J2624" s="12">
        <v>0</v>
      </c>
      <c r="K2624" s="12">
        <v>0</v>
      </c>
      <c r="L2624" s="12">
        <v>0</v>
      </c>
      <c r="M2624" s="12" t="s">
        <v>403</v>
      </c>
    </row>
    <row r="2625" spans="1:13" x14ac:dyDescent="0.3">
      <c r="A2625" s="12" t="s">
        <v>94</v>
      </c>
      <c r="B2625" s="12" t="s">
        <v>746</v>
      </c>
      <c r="C2625" s="12" t="s">
        <v>123</v>
      </c>
      <c r="D2625" s="12" t="s">
        <v>110</v>
      </c>
      <c r="E2625" s="12" t="s">
        <v>114</v>
      </c>
      <c r="F2625" s="20">
        <v>45455</v>
      </c>
      <c r="G2625" s="12" t="s">
        <v>912</v>
      </c>
      <c r="H2625" s="12" t="s">
        <v>913</v>
      </c>
      <c r="I2625" s="12">
        <v>35</v>
      </c>
      <c r="J2625" s="12">
        <v>0</v>
      </c>
      <c r="K2625" s="12">
        <v>0</v>
      </c>
      <c r="L2625" s="12">
        <v>0</v>
      </c>
    </row>
    <row r="2626" spans="1:13" x14ac:dyDescent="0.3">
      <c r="A2626" s="12" t="s">
        <v>94</v>
      </c>
      <c r="B2626" s="12" t="s">
        <v>746</v>
      </c>
      <c r="C2626" s="12" t="s">
        <v>123</v>
      </c>
      <c r="D2626" s="12" t="s">
        <v>110</v>
      </c>
      <c r="E2626" s="12" t="s">
        <v>114</v>
      </c>
      <c r="F2626" s="20">
        <v>45455</v>
      </c>
      <c r="G2626" s="12" t="s">
        <v>912</v>
      </c>
      <c r="H2626" s="12" t="s">
        <v>913</v>
      </c>
      <c r="I2626" s="12">
        <v>-35</v>
      </c>
      <c r="J2626" s="12">
        <v>0</v>
      </c>
      <c r="K2626" s="12">
        <v>0</v>
      </c>
      <c r="L2626" s="12">
        <v>0</v>
      </c>
      <c r="M2626" s="12" t="s">
        <v>403</v>
      </c>
    </row>
    <row r="2627" spans="1:13" x14ac:dyDescent="0.3">
      <c r="A2627" s="12" t="s">
        <v>94</v>
      </c>
      <c r="B2627" s="12" t="s">
        <v>746</v>
      </c>
      <c r="C2627" s="12" t="s">
        <v>123</v>
      </c>
      <c r="D2627" s="12" t="s">
        <v>110</v>
      </c>
      <c r="E2627" s="12" t="s">
        <v>114</v>
      </c>
      <c r="F2627" s="20">
        <v>45455</v>
      </c>
      <c r="G2627" s="12" t="s">
        <v>912</v>
      </c>
      <c r="H2627" s="12" t="s">
        <v>913</v>
      </c>
      <c r="I2627" s="12">
        <v>35</v>
      </c>
      <c r="J2627" s="12">
        <v>0</v>
      </c>
      <c r="K2627" s="12">
        <v>0</v>
      </c>
      <c r="L2627" s="12">
        <v>0</v>
      </c>
    </row>
    <row r="2628" spans="1:13" x14ac:dyDescent="0.3">
      <c r="A2628" s="12" t="s">
        <v>94</v>
      </c>
      <c r="B2628" s="12" t="s">
        <v>746</v>
      </c>
      <c r="C2628" s="12" t="s">
        <v>123</v>
      </c>
      <c r="D2628" s="12" t="s">
        <v>110</v>
      </c>
      <c r="E2628" s="12" t="s">
        <v>114</v>
      </c>
      <c r="F2628" s="20">
        <v>45455</v>
      </c>
      <c r="G2628" s="12" t="s">
        <v>912</v>
      </c>
      <c r="H2628" s="12" t="s">
        <v>913</v>
      </c>
      <c r="I2628" s="12">
        <v>-35</v>
      </c>
      <c r="J2628" s="12">
        <v>0</v>
      </c>
      <c r="K2628" s="12">
        <v>0</v>
      </c>
      <c r="L2628" s="12">
        <v>0</v>
      </c>
      <c r="M2628" s="12" t="s">
        <v>403</v>
      </c>
    </row>
    <row r="2629" spans="1:13" x14ac:dyDescent="0.3">
      <c r="A2629" s="12" t="s">
        <v>94</v>
      </c>
      <c r="B2629" s="12" t="s">
        <v>746</v>
      </c>
      <c r="C2629" s="12" t="s">
        <v>123</v>
      </c>
      <c r="D2629" s="12" t="s">
        <v>110</v>
      </c>
      <c r="E2629" s="12" t="s">
        <v>114</v>
      </c>
      <c r="F2629" s="20">
        <v>45455</v>
      </c>
      <c r="G2629" s="12" t="s">
        <v>912</v>
      </c>
      <c r="H2629" s="12" t="s">
        <v>913</v>
      </c>
      <c r="I2629" s="12">
        <v>35</v>
      </c>
      <c r="J2629" s="12">
        <v>0</v>
      </c>
      <c r="K2629" s="12">
        <v>0</v>
      </c>
      <c r="L2629" s="12">
        <v>0</v>
      </c>
    </row>
    <row r="2630" spans="1:13" x14ac:dyDescent="0.3">
      <c r="A2630" s="12" t="s">
        <v>94</v>
      </c>
      <c r="B2630" s="12" t="s">
        <v>746</v>
      </c>
      <c r="C2630" s="12" t="s">
        <v>123</v>
      </c>
      <c r="D2630" s="12" t="s">
        <v>110</v>
      </c>
      <c r="E2630" s="12" t="s">
        <v>114</v>
      </c>
      <c r="F2630" s="20">
        <v>45455</v>
      </c>
      <c r="G2630" s="12" t="s">
        <v>912</v>
      </c>
      <c r="H2630" s="12" t="s">
        <v>913</v>
      </c>
      <c r="I2630" s="12">
        <v>-35</v>
      </c>
      <c r="J2630" s="12">
        <v>0</v>
      </c>
      <c r="K2630" s="12">
        <v>0</v>
      </c>
      <c r="L2630" s="12">
        <v>0</v>
      </c>
      <c r="M2630" s="12" t="s">
        <v>403</v>
      </c>
    </row>
    <row r="2631" spans="1:13" x14ac:dyDescent="0.3">
      <c r="A2631" s="12" t="s">
        <v>94</v>
      </c>
      <c r="B2631" s="12" t="s">
        <v>746</v>
      </c>
      <c r="C2631" s="12" t="s">
        <v>123</v>
      </c>
      <c r="D2631" s="12" t="s">
        <v>110</v>
      </c>
      <c r="E2631" s="12" t="s">
        <v>114</v>
      </c>
      <c r="F2631" s="20">
        <v>45455</v>
      </c>
      <c r="G2631" s="12" t="s">
        <v>912</v>
      </c>
      <c r="H2631" s="12" t="s">
        <v>913</v>
      </c>
      <c r="I2631" s="12">
        <v>35</v>
      </c>
      <c r="J2631" s="12">
        <v>0</v>
      </c>
      <c r="K2631" s="12">
        <v>0</v>
      </c>
      <c r="L2631" s="12">
        <v>0</v>
      </c>
    </row>
    <row r="2632" spans="1:13" x14ac:dyDescent="0.3">
      <c r="A2632" s="12" t="s">
        <v>94</v>
      </c>
      <c r="B2632" s="12" t="s">
        <v>746</v>
      </c>
      <c r="C2632" s="12" t="s">
        <v>123</v>
      </c>
      <c r="D2632" s="12" t="s">
        <v>97</v>
      </c>
      <c r="J2632" s="12">
        <v>0</v>
      </c>
      <c r="K2632" s="12">
        <v>0</v>
      </c>
      <c r="L2632" s="12">
        <v>0</v>
      </c>
    </row>
    <row r="2633" spans="1:13" x14ac:dyDescent="0.3">
      <c r="A2633" s="12" t="s">
        <v>94</v>
      </c>
      <c r="B2633" s="12" t="s">
        <v>157</v>
      </c>
      <c r="C2633" s="12" t="s">
        <v>120</v>
      </c>
      <c r="D2633" s="12" t="s">
        <v>181</v>
      </c>
      <c r="E2633" s="12" t="s">
        <v>268</v>
      </c>
      <c r="F2633" s="12" t="s">
        <v>269</v>
      </c>
      <c r="G2633" s="12" t="s">
        <v>270</v>
      </c>
    </row>
    <row r="2634" spans="1:13" x14ac:dyDescent="0.3">
      <c r="A2634" s="12" t="s">
        <v>94</v>
      </c>
      <c r="B2634" s="12" t="s">
        <v>157</v>
      </c>
      <c r="C2634" s="12" t="s">
        <v>123</v>
      </c>
      <c r="D2634" s="12" t="s">
        <v>114</v>
      </c>
      <c r="E2634" s="20">
        <v>45449</v>
      </c>
      <c r="F2634" s="12" t="s">
        <v>679</v>
      </c>
      <c r="G2634" s="12">
        <v>1</v>
      </c>
    </row>
    <row r="2635" spans="1:13" x14ac:dyDescent="0.3">
      <c r="A2635" s="12" t="s">
        <v>94</v>
      </c>
      <c r="B2635" s="12" t="s">
        <v>157</v>
      </c>
      <c r="C2635" s="12" t="s">
        <v>123</v>
      </c>
      <c r="D2635" s="12" t="s">
        <v>114</v>
      </c>
      <c r="E2635" s="20">
        <v>45450</v>
      </c>
      <c r="F2635" s="12" t="s">
        <v>671</v>
      </c>
      <c r="G2635" s="12">
        <v>17</v>
      </c>
    </row>
    <row r="2636" spans="1:13" x14ac:dyDescent="0.3">
      <c r="A2636" s="12" t="s">
        <v>94</v>
      </c>
      <c r="B2636" s="12" t="s">
        <v>157</v>
      </c>
      <c r="C2636" s="12" t="s">
        <v>123</v>
      </c>
      <c r="D2636" s="12" t="s">
        <v>114</v>
      </c>
      <c r="E2636" s="20">
        <v>45453</v>
      </c>
      <c r="F2636" s="12" t="s">
        <v>914</v>
      </c>
      <c r="G2636" s="12">
        <v>50.1</v>
      </c>
    </row>
    <row r="2637" spans="1:13" x14ac:dyDescent="0.3">
      <c r="A2637" s="12" t="s">
        <v>94</v>
      </c>
      <c r="B2637" s="12" t="s">
        <v>157</v>
      </c>
      <c r="C2637" s="12" t="s">
        <v>123</v>
      </c>
      <c r="D2637" s="12" t="s">
        <v>114</v>
      </c>
      <c r="E2637" s="20">
        <v>45453</v>
      </c>
      <c r="F2637" s="12" t="s">
        <v>915</v>
      </c>
      <c r="G2637" s="12">
        <v>13</v>
      </c>
    </row>
    <row r="2638" spans="1:13" x14ac:dyDescent="0.3">
      <c r="A2638" s="12" t="s">
        <v>94</v>
      </c>
      <c r="B2638" s="12" t="s">
        <v>157</v>
      </c>
      <c r="C2638" s="12" t="s">
        <v>123</v>
      </c>
      <c r="D2638" s="12" t="s">
        <v>114</v>
      </c>
      <c r="E2638" s="20">
        <v>45453</v>
      </c>
      <c r="F2638" s="12" t="s">
        <v>669</v>
      </c>
      <c r="G2638" s="12">
        <v>95</v>
      </c>
    </row>
    <row r="2639" spans="1:13" x14ac:dyDescent="0.3">
      <c r="A2639" s="12" t="s">
        <v>94</v>
      </c>
      <c r="B2639" s="12" t="s">
        <v>157</v>
      </c>
      <c r="C2639" s="12" t="s">
        <v>123</v>
      </c>
      <c r="D2639" s="12" t="s">
        <v>114</v>
      </c>
      <c r="E2639" s="20">
        <v>45456</v>
      </c>
      <c r="F2639" s="12" t="s">
        <v>672</v>
      </c>
      <c r="G2639" s="12">
        <v>24.75</v>
      </c>
    </row>
    <row r="2640" spans="1:13" x14ac:dyDescent="0.3">
      <c r="A2640" s="12" t="s">
        <v>94</v>
      </c>
      <c r="B2640" s="12" t="s">
        <v>157</v>
      </c>
      <c r="C2640" s="12" t="s">
        <v>123</v>
      </c>
      <c r="D2640" s="12" t="s">
        <v>114</v>
      </c>
      <c r="E2640" s="20">
        <v>45456</v>
      </c>
      <c r="F2640" s="12" t="s">
        <v>670</v>
      </c>
      <c r="G2640" s="12">
        <v>36.75</v>
      </c>
    </row>
    <row r="2641" spans="1:8" x14ac:dyDescent="0.3">
      <c r="A2641" s="12" t="s">
        <v>94</v>
      </c>
      <c r="B2641" s="12" t="s">
        <v>157</v>
      </c>
      <c r="C2641" s="12" t="s">
        <v>123</v>
      </c>
      <c r="D2641" s="12" t="s">
        <v>114</v>
      </c>
      <c r="E2641" s="20">
        <v>45460</v>
      </c>
      <c r="F2641" s="12" t="s">
        <v>916</v>
      </c>
      <c r="G2641" s="12">
        <v>24.8</v>
      </c>
    </row>
    <row r="2642" spans="1:8" x14ac:dyDescent="0.3">
      <c r="A2642" s="12" t="s">
        <v>94</v>
      </c>
      <c r="B2642" s="12" t="s">
        <v>157</v>
      </c>
      <c r="C2642" s="12" t="s">
        <v>123</v>
      </c>
      <c r="D2642" s="12" t="s">
        <v>114</v>
      </c>
      <c r="E2642" s="20">
        <v>45463</v>
      </c>
      <c r="F2642" s="12" t="s">
        <v>917</v>
      </c>
      <c r="G2642" s="12">
        <v>42.5</v>
      </c>
    </row>
    <row r="2643" spans="1:8" x14ac:dyDescent="0.3">
      <c r="A2643" s="12" t="s">
        <v>94</v>
      </c>
      <c r="B2643" s="12" t="s">
        <v>157</v>
      </c>
      <c r="C2643" s="12" t="s">
        <v>123</v>
      </c>
      <c r="D2643" s="12" t="s">
        <v>114</v>
      </c>
      <c r="E2643" s="20">
        <v>45468</v>
      </c>
      <c r="F2643" s="12" t="s">
        <v>918</v>
      </c>
      <c r="G2643" s="12">
        <v>31.5</v>
      </c>
    </row>
    <row r="2644" spans="1:8" x14ac:dyDescent="0.3">
      <c r="A2644" s="12" t="s">
        <v>94</v>
      </c>
      <c r="B2644" s="12" t="s">
        <v>157</v>
      </c>
      <c r="C2644" s="12" t="s">
        <v>123</v>
      </c>
      <c r="D2644" s="12" t="s">
        <v>114</v>
      </c>
      <c r="E2644" s="20">
        <v>45469</v>
      </c>
      <c r="F2644" s="12" t="s">
        <v>678</v>
      </c>
      <c r="G2644" s="12">
        <v>22</v>
      </c>
    </row>
    <row r="2645" spans="1:8" x14ac:dyDescent="0.3">
      <c r="A2645" s="12" t="s">
        <v>94</v>
      </c>
      <c r="B2645" s="12" t="s">
        <v>157</v>
      </c>
      <c r="C2645" s="12" t="s">
        <v>123</v>
      </c>
      <c r="D2645" s="12" t="s">
        <v>114</v>
      </c>
      <c r="E2645" s="20">
        <v>45469</v>
      </c>
      <c r="F2645" s="12" t="s">
        <v>919</v>
      </c>
      <c r="G2645" s="12">
        <v>71.48</v>
      </c>
    </row>
    <row r="2646" spans="1:8" x14ac:dyDescent="0.3">
      <c r="A2646" s="12" t="s">
        <v>94</v>
      </c>
      <c r="B2646" s="12" t="s">
        <v>157</v>
      </c>
      <c r="C2646" s="12" t="s">
        <v>123</v>
      </c>
      <c r="D2646" s="12" t="s">
        <v>114</v>
      </c>
      <c r="E2646" s="20">
        <v>45469</v>
      </c>
      <c r="F2646" s="12" t="s">
        <v>920</v>
      </c>
      <c r="G2646" s="12">
        <v>32.56</v>
      </c>
    </row>
    <row r="2647" spans="1:8" x14ac:dyDescent="0.3">
      <c r="A2647" s="12" t="s">
        <v>94</v>
      </c>
      <c r="B2647" s="12" t="s">
        <v>157</v>
      </c>
      <c r="C2647" s="12" t="s">
        <v>123</v>
      </c>
      <c r="D2647" s="12" t="s">
        <v>114</v>
      </c>
      <c r="E2647" s="20">
        <v>45469</v>
      </c>
      <c r="F2647" s="12" t="s">
        <v>921</v>
      </c>
      <c r="G2647" s="12">
        <v>33.700000000000003</v>
      </c>
    </row>
    <row r="2648" spans="1:8" x14ac:dyDescent="0.3">
      <c r="A2648" s="12" t="s">
        <v>94</v>
      </c>
      <c r="B2648" s="12" t="s">
        <v>157</v>
      </c>
      <c r="C2648" s="12" t="s">
        <v>123</v>
      </c>
      <c r="D2648" s="12" t="s">
        <v>114</v>
      </c>
      <c r="E2648" s="20">
        <v>45469</v>
      </c>
      <c r="F2648" s="12" t="s">
        <v>922</v>
      </c>
      <c r="G2648" s="12">
        <v>60</v>
      </c>
    </row>
    <row r="2649" spans="1:8" x14ac:dyDescent="0.3">
      <c r="A2649" s="12" t="s">
        <v>94</v>
      </c>
      <c r="B2649" s="12" t="s">
        <v>157</v>
      </c>
      <c r="C2649" s="12" t="s">
        <v>123</v>
      </c>
      <c r="D2649" s="12" t="s">
        <v>114</v>
      </c>
      <c r="E2649" s="20">
        <v>45469</v>
      </c>
      <c r="F2649" s="12" t="s">
        <v>923</v>
      </c>
      <c r="G2649" s="12">
        <v>127.67</v>
      </c>
    </row>
    <row r="2650" spans="1:8" x14ac:dyDescent="0.3">
      <c r="A2650" s="12" t="s">
        <v>94</v>
      </c>
      <c r="B2650" s="12" t="s">
        <v>157</v>
      </c>
      <c r="C2650" s="12" t="s">
        <v>123</v>
      </c>
      <c r="D2650" s="12" t="s">
        <v>114</v>
      </c>
      <c r="E2650" s="20">
        <v>45469</v>
      </c>
      <c r="F2650" s="12" t="s">
        <v>924</v>
      </c>
      <c r="G2650" s="12">
        <v>34.35</v>
      </c>
    </row>
    <row r="2651" spans="1:8" x14ac:dyDescent="0.3">
      <c r="A2651" s="12" t="s">
        <v>94</v>
      </c>
      <c r="B2651" s="12" t="s">
        <v>157</v>
      </c>
      <c r="C2651" s="12" t="s">
        <v>123</v>
      </c>
      <c r="D2651" s="12" t="s">
        <v>114</v>
      </c>
      <c r="E2651" s="20">
        <v>45471</v>
      </c>
      <c r="F2651" s="12" t="s">
        <v>749</v>
      </c>
      <c r="G2651" s="12">
        <v>26.25</v>
      </c>
    </row>
    <row r="2652" spans="1:8" x14ac:dyDescent="0.3">
      <c r="A2652" s="12" t="s">
        <v>94</v>
      </c>
      <c r="B2652" s="12" t="s">
        <v>157</v>
      </c>
      <c r="C2652" s="12" t="s">
        <v>123</v>
      </c>
      <c r="D2652" s="12" t="s">
        <v>114</v>
      </c>
      <c r="E2652" s="20">
        <v>45471</v>
      </c>
      <c r="F2652" s="12" t="s">
        <v>750</v>
      </c>
      <c r="G2652" s="12">
        <v>93.84</v>
      </c>
    </row>
    <row r="2653" spans="1:8" x14ac:dyDescent="0.3">
      <c r="A2653" s="12" t="s">
        <v>94</v>
      </c>
      <c r="B2653" s="12" t="s">
        <v>157</v>
      </c>
      <c r="C2653" s="12" t="s">
        <v>123</v>
      </c>
      <c r="D2653" s="12" t="s">
        <v>114</v>
      </c>
      <c r="E2653" s="20">
        <v>45471</v>
      </c>
      <c r="F2653" s="12" t="s">
        <v>925</v>
      </c>
      <c r="G2653" s="12">
        <v>103.74</v>
      </c>
    </row>
    <row r="2654" spans="1:8" x14ac:dyDescent="0.3">
      <c r="A2654" s="12" t="s">
        <v>94</v>
      </c>
      <c r="B2654" s="12" t="s">
        <v>157</v>
      </c>
      <c r="C2654" s="12" t="s">
        <v>123</v>
      </c>
      <c r="D2654" s="12" t="s">
        <v>97</v>
      </c>
      <c r="G2654" s="12">
        <v>941.99</v>
      </c>
    </row>
    <row r="2655" spans="1:8" x14ac:dyDescent="0.3">
      <c r="A2655" s="12" t="s">
        <v>94</v>
      </c>
      <c r="B2655" s="12" t="s">
        <v>158</v>
      </c>
      <c r="C2655" s="12" t="s">
        <v>120</v>
      </c>
      <c r="D2655" s="12" t="s">
        <v>181</v>
      </c>
      <c r="E2655" s="12" t="s">
        <v>268</v>
      </c>
      <c r="F2655" s="12" t="s">
        <v>269</v>
      </c>
      <c r="G2655" s="12" t="s">
        <v>270</v>
      </c>
      <c r="H2655" s="12" t="s">
        <v>165</v>
      </c>
    </row>
    <row r="2656" spans="1:8" x14ac:dyDescent="0.3">
      <c r="A2656" s="12" t="s">
        <v>94</v>
      </c>
      <c r="B2656" s="12" t="s">
        <v>158</v>
      </c>
      <c r="C2656" s="12" t="s">
        <v>123</v>
      </c>
      <c r="D2656" s="12" t="s">
        <v>114</v>
      </c>
      <c r="E2656" s="20">
        <v>45449</v>
      </c>
      <c r="F2656" s="12" t="s">
        <v>690</v>
      </c>
      <c r="G2656" s="12">
        <v>-0.25</v>
      </c>
    </row>
    <row r="2657" spans="1:7" x14ac:dyDescent="0.3">
      <c r="A2657" s="12" t="s">
        <v>94</v>
      </c>
      <c r="B2657" s="12" t="s">
        <v>158</v>
      </c>
      <c r="C2657" s="12" t="s">
        <v>123</v>
      </c>
      <c r="D2657" s="12" t="s">
        <v>114</v>
      </c>
      <c r="E2657" s="20">
        <v>45450</v>
      </c>
      <c r="F2657" s="12" t="s">
        <v>682</v>
      </c>
      <c r="G2657" s="12">
        <v>-4.25</v>
      </c>
    </row>
    <row r="2658" spans="1:7" x14ac:dyDescent="0.3">
      <c r="A2658" s="12" t="s">
        <v>94</v>
      </c>
      <c r="B2658" s="12" t="s">
        <v>158</v>
      </c>
      <c r="C2658" s="12" t="s">
        <v>123</v>
      </c>
      <c r="D2658" s="12" t="s">
        <v>114</v>
      </c>
      <c r="E2658" s="20">
        <v>45453</v>
      </c>
      <c r="F2658" s="12" t="s">
        <v>926</v>
      </c>
      <c r="G2658" s="12">
        <v>-12.53</v>
      </c>
    </row>
    <row r="2659" spans="1:7" x14ac:dyDescent="0.3">
      <c r="A2659" s="12" t="s">
        <v>94</v>
      </c>
      <c r="B2659" s="12" t="s">
        <v>158</v>
      </c>
      <c r="C2659" s="12" t="s">
        <v>123</v>
      </c>
      <c r="D2659" s="12" t="s">
        <v>114</v>
      </c>
      <c r="E2659" s="20">
        <v>45453</v>
      </c>
      <c r="F2659" s="12" t="s">
        <v>927</v>
      </c>
      <c r="G2659" s="12">
        <v>-3.25</v>
      </c>
    </row>
    <row r="2660" spans="1:7" x14ac:dyDescent="0.3">
      <c r="A2660" s="12" t="s">
        <v>94</v>
      </c>
      <c r="B2660" s="12" t="s">
        <v>158</v>
      </c>
      <c r="C2660" s="12" t="s">
        <v>123</v>
      </c>
      <c r="D2660" s="12" t="s">
        <v>114</v>
      </c>
      <c r="E2660" s="20">
        <v>45453</v>
      </c>
      <c r="F2660" s="12" t="s">
        <v>680</v>
      </c>
      <c r="G2660" s="12">
        <v>-23.75</v>
      </c>
    </row>
    <row r="2661" spans="1:7" x14ac:dyDescent="0.3">
      <c r="A2661" s="12" t="s">
        <v>94</v>
      </c>
      <c r="B2661" s="12" t="s">
        <v>158</v>
      </c>
      <c r="C2661" s="12" t="s">
        <v>123</v>
      </c>
      <c r="D2661" s="12" t="s">
        <v>114</v>
      </c>
      <c r="E2661" s="20">
        <v>45456</v>
      </c>
      <c r="F2661" s="12" t="s">
        <v>683</v>
      </c>
      <c r="G2661" s="12">
        <v>-6.19</v>
      </c>
    </row>
    <row r="2662" spans="1:7" x14ac:dyDescent="0.3">
      <c r="A2662" s="12" t="s">
        <v>94</v>
      </c>
      <c r="B2662" s="12" t="s">
        <v>158</v>
      </c>
      <c r="C2662" s="12" t="s">
        <v>123</v>
      </c>
      <c r="D2662" s="12" t="s">
        <v>114</v>
      </c>
      <c r="E2662" s="20">
        <v>45456</v>
      </c>
      <c r="F2662" s="12" t="s">
        <v>681</v>
      </c>
      <c r="G2662" s="12">
        <v>-9.19</v>
      </c>
    </row>
    <row r="2663" spans="1:7" x14ac:dyDescent="0.3">
      <c r="A2663" s="12" t="s">
        <v>94</v>
      </c>
      <c r="B2663" s="12" t="s">
        <v>158</v>
      </c>
      <c r="C2663" s="12" t="s">
        <v>123</v>
      </c>
      <c r="D2663" s="12" t="s">
        <v>114</v>
      </c>
      <c r="E2663" s="20">
        <v>45460</v>
      </c>
      <c r="F2663" s="12" t="s">
        <v>928</v>
      </c>
      <c r="G2663" s="12">
        <v>-6.2</v>
      </c>
    </row>
    <row r="2664" spans="1:7" x14ac:dyDescent="0.3">
      <c r="A2664" s="12" t="s">
        <v>94</v>
      </c>
      <c r="B2664" s="12" t="s">
        <v>158</v>
      </c>
      <c r="C2664" s="12" t="s">
        <v>123</v>
      </c>
      <c r="D2664" s="12" t="s">
        <v>114</v>
      </c>
      <c r="E2664" s="20">
        <v>45463</v>
      </c>
      <c r="F2664" s="12" t="s">
        <v>929</v>
      </c>
      <c r="G2664" s="12">
        <v>-10.63</v>
      </c>
    </row>
    <row r="2665" spans="1:7" x14ac:dyDescent="0.3">
      <c r="A2665" s="12" t="s">
        <v>94</v>
      </c>
      <c r="B2665" s="12" t="s">
        <v>158</v>
      </c>
      <c r="C2665" s="12" t="s">
        <v>123</v>
      </c>
      <c r="D2665" s="12" t="s">
        <v>114</v>
      </c>
      <c r="E2665" s="20">
        <v>45468</v>
      </c>
      <c r="F2665" s="12" t="s">
        <v>930</v>
      </c>
      <c r="G2665" s="12">
        <v>-7.88</v>
      </c>
    </row>
    <row r="2666" spans="1:7" x14ac:dyDescent="0.3">
      <c r="A2666" s="12" t="s">
        <v>94</v>
      </c>
      <c r="B2666" s="12" t="s">
        <v>158</v>
      </c>
      <c r="C2666" s="12" t="s">
        <v>123</v>
      </c>
      <c r="D2666" s="12" t="s">
        <v>114</v>
      </c>
      <c r="E2666" s="20">
        <v>45469</v>
      </c>
      <c r="F2666" s="12" t="s">
        <v>689</v>
      </c>
      <c r="G2666" s="12">
        <v>-5.5</v>
      </c>
    </row>
    <row r="2667" spans="1:7" x14ac:dyDescent="0.3">
      <c r="A2667" s="12" t="s">
        <v>94</v>
      </c>
      <c r="B2667" s="12" t="s">
        <v>158</v>
      </c>
      <c r="C2667" s="12" t="s">
        <v>123</v>
      </c>
      <c r="D2667" s="12" t="s">
        <v>114</v>
      </c>
      <c r="E2667" s="20">
        <v>45469</v>
      </c>
      <c r="F2667" s="12" t="s">
        <v>931</v>
      </c>
      <c r="G2667" s="12">
        <v>-17.87</v>
      </c>
    </row>
    <row r="2668" spans="1:7" x14ac:dyDescent="0.3">
      <c r="A2668" s="12" t="s">
        <v>94</v>
      </c>
      <c r="B2668" s="12" t="s">
        <v>158</v>
      </c>
      <c r="C2668" s="12" t="s">
        <v>123</v>
      </c>
      <c r="D2668" s="12" t="s">
        <v>114</v>
      </c>
      <c r="E2668" s="20">
        <v>45469</v>
      </c>
      <c r="F2668" s="12" t="s">
        <v>932</v>
      </c>
      <c r="G2668" s="12">
        <v>-8.14</v>
      </c>
    </row>
    <row r="2669" spans="1:7" x14ac:dyDescent="0.3">
      <c r="A2669" s="12" t="s">
        <v>94</v>
      </c>
      <c r="B2669" s="12" t="s">
        <v>158</v>
      </c>
      <c r="C2669" s="12" t="s">
        <v>123</v>
      </c>
      <c r="D2669" s="12" t="s">
        <v>114</v>
      </c>
      <c r="E2669" s="20">
        <v>45469</v>
      </c>
      <c r="F2669" s="12" t="s">
        <v>933</v>
      </c>
      <c r="G2669" s="12">
        <v>-8.43</v>
      </c>
    </row>
    <row r="2670" spans="1:7" x14ac:dyDescent="0.3">
      <c r="A2670" s="12" t="s">
        <v>94</v>
      </c>
      <c r="B2670" s="12" t="s">
        <v>158</v>
      </c>
      <c r="C2670" s="12" t="s">
        <v>123</v>
      </c>
      <c r="D2670" s="12" t="s">
        <v>114</v>
      </c>
      <c r="E2670" s="20">
        <v>45469</v>
      </c>
      <c r="F2670" s="12" t="s">
        <v>934</v>
      </c>
      <c r="G2670" s="12">
        <v>-15</v>
      </c>
    </row>
    <row r="2671" spans="1:7" x14ac:dyDescent="0.3">
      <c r="A2671" s="12" t="s">
        <v>94</v>
      </c>
      <c r="B2671" s="12" t="s">
        <v>158</v>
      </c>
      <c r="C2671" s="12" t="s">
        <v>123</v>
      </c>
      <c r="D2671" s="12" t="s">
        <v>114</v>
      </c>
      <c r="E2671" s="20">
        <v>45469</v>
      </c>
      <c r="F2671" s="12" t="s">
        <v>935</v>
      </c>
      <c r="G2671" s="12">
        <v>-31.92</v>
      </c>
    </row>
    <row r="2672" spans="1:7" x14ac:dyDescent="0.3">
      <c r="A2672" s="12" t="s">
        <v>94</v>
      </c>
      <c r="B2672" s="12" t="s">
        <v>158</v>
      </c>
      <c r="C2672" s="12" t="s">
        <v>123</v>
      </c>
      <c r="D2672" s="12" t="s">
        <v>114</v>
      </c>
      <c r="E2672" s="20">
        <v>45469</v>
      </c>
      <c r="F2672" s="12" t="s">
        <v>936</v>
      </c>
      <c r="G2672" s="12">
        <v>-8.59</v>
      </c>
    </row>
    <row r="2673" spans="1:16" x14ac:dyDescent="0.3">
      <c r="A2673" s="12" t="s">
        <v>94</v>
      </c>
      <c r="B2673" s="12" t="s">
        <v>158</v>
      </c>
      <c r="C2673" s="12" t="s">
        <v>123</v>
      </c>
      <c r="D2673" s="12" t="s">
        <v>114</v>
      </c>
      <c r="E2673" s="20">
        <v>45471</v>
      </c>
      <c r="F2673" s="12" t="s">
        <v>754</v>
      </c>
      <c r="G2673" s="12">
        <v>-6.56</v>
      </c>
    </row>
    <row r="2674" spans="1:16" x14ac:dyDescent="0.3">
      <c r="A2674" s="12" t="s">
        <v>94</v>
      </c>
      <c r="B2674" s="12" t="s">
        <v>158</v>
      </c>
      <c r="C2674" s="12" t="s">
        <v>123</v>
      </c>
      <c r="D2674" s="12" t="s">
        <v>114</v>
      </c>
      <c r="E2674" s="20">
        <v>45471</v>
      </c>
      <c r="F2674" s="12" t="s">
        <v>755</v>
      </c>
      <c r="G2674" s="12">
        <v>-23.46</v>
      </c>
    </row>
    <row r="2675" spans="1:16" x14ac:dyDescent="0.3">
      <c r="A2675" s="12" t="s">
        <v>94</v>
      </c>
      <c r="B2675" s="12" t="s">
        <v>158</v>
      </c>
      <c r="C2675" s="12" t="s">
        <v>123</v>
      </c>
      <c r="D2675" s="12" t="s">
        <v>114</v>
      </c>
      <c r="E2675" s="20">
        <v>45471</v>
      </c>
      <c r="F2675" s="12" t="s">
        <v>937</v>
      </c>
      <c r="G2675" s="12">
        <v>-25.94</v>
      </c>
    </row>
    <row r="2676" spans="1:16" x14ac:dyDescent="0.3">
      <c r="A2676" s="12" t="s">
        <v>94</v>
      </c>
      <c r="B2676" s="12" t="s">
        <v>158</v>
      </c>
      <c r="C2676" s="12" t="s">
        <v>123</v>
      </c>
      <c r="D2676" s="12" t="s">
        <v>97</v>
      </c>
      <c r="G2676" s="12">
        <v>-235.53</v>
      </c>
    </row>
    <row r="2677" spans="1:16" x14ac:dyDescent="0.3">
      <c r="A2677" s="12" t="s">
        <v>94</v>
      </c>
      <c r="B2677" s="12" t="s">
        <v>160</v>
      </c>
      <c r="C2677" s="12" t="s">
        <v>120</v>
      </c>
      <c r="D2677" s="12" t="s">
        <v>181</v>
      </c>
      <c r="E2677" s="12" t="s">
        <v>268</v>
      </c>
      <c r="F2677" s="12" t="s">
        <v>269</v>
      </c>
      <c r="G2677" s="12" t="s">
        <v>270</v>
      </c>
    </row>
    <row r="2678" spans="1:16" x14ac:dyDescent="0.3">
      <c r="A2678" s="12" t="s">
        <v>94</v>
      </c>
      <c r="B2678" s="12" t="s">
        <v>160</v>
      </c>
      <c r="C2678" s="12" t="s">
        <v>123</v>
      </c>
      <c r="D2678" s="12" t="s">
        <v>114</v>
      </c>
      <c r="E2678" s="20">
        <v>45448</v>
      </c>
      <c r="F2678" s="12" t="s">
        <v>938</v>
      </c>
      <c r="G2678" s="12">
        <v>198.19</v>
      </c>
    </row>
    <row r="2679" spans="1:16" x14ac:dyDescent="0.3">
      <c r="A2679" s="12" t="s">
        <v>94</v>
      </c>
      <c r="B2679" s="12" t="s">
        <v>160</v>
      </c>
      <c r="C2679" s="12" t="s">
        <v>123</v>
      </c>
      <c r="D2679" s="12" t="s">
        <v>114</v>
      </c>
      <c r="E2679" s="20">
        <v>45448</v>
      </c>
      <c r="F2679" s="12" t="s">
        <v>939</v>
      </c>
      <c r="G2679" s="12">
        <v>-1.21</v>
      </c>
    </row>
    <row r="2680" spans="1:16" x14ac:dyDescent="0.3">
      <c r="A2680" s="12" t="s">
        <v>94</v>
      </c>
      <c r="B2680" s="12" t="s">
        <v>160</v>
      </c>
      <c r="C2680" s="12" t="s">
        <v>123</v>
      </c>
      <c r="D2680" s="12" t="s">
        <v>97</v>
      </c>
      <c r="G2680" s="12">
        <v>196.98</v>
      </c>
    </row>
    <row r="2681" spans="1:16" x14ac:dyDescent="0.3">
      <c r="A2681" s="12" t="s">
        <v>94</v>
      </c>
      <c r="B2681" s="12" t="s">
        <v>151</v>
      </c>
      <c r="C2681" s="12" t="s">
        <v>120</v>
      </c>
      <c r="D2681" s="12" t="s">
        <v>181</v>
      </c>
      <c r="E2681" s="12" t="s">
        <v>121</v>
      </c>
      <c r="F2681" s="12" t="s">
        <v>122</v>
      </c>
    </row>
    <row r="2682" spans="1:16" x14ac:dyDescent="0.3">
      <c r="A2682" s="12" t="s">
        <v>94</v>
      </c>
      <c r="B2682" s="12" t="s">
        <v>151</v>
      </c>
      <c r="C2682" s="12" t="s">
        <v>123</v>
      </c>
      <c r="D2682" s="12" t="s">
        <v>184</v>
      </c>
      <c r="E2682" s="12" t="s">
        <v>278</v>
      </c>
      <c r="F2682" s="12">
        <v>193.99</v>
      </c>
    </row>
    <row r="2683" spans="1:16" x14ac:dyDescent="0.3">
      <c r="A2683" s="12" t="s">
        <v>94</v>
      </c>
      <c r="B2683" s="12" t="s">
        <v>151</v>
      </c>
      <c r="C2683" s="12" t="s">
        <v>123</v>
      </c>
      <c r="D2683" s="12" t="s">
        <v>184</v>
      </c>
      <c r="E2683" s="12" t="s">
        <v>279</v>
      </c>
      <c r="F2683" s="12">
        <v>88.28</v>
      </c>
    </row>
    <row r="2684" spans="1:16" x14ac:dyDescent="0.3">
      <c r="A2684" s="12" t="s">
        <v>94</v>
      </c>
      <c r="B2684" s="12" t="s">
        <v>151</v>
      </c>
      <c r="C2684" s="12" t="s">
        <v>123</v>
      </c>
      <c r="D2684" s="12" t="s">
        <v>184</v>
      </c>
      <c r="E2684" s="12" t="s">
        <v>280</v>
      </c>
      <c r="F2684" s="12">
        <v>-196.98</v>
      </c>
    </row>
    <row r="2685" spans="1:16" x14ac:dyDescent="0.3">
      <c r="A2685" s="12" t="s">
        <v>94</v>
      </c>
      <c r="B2685" s="12" t="s">
        <v>151</v>
      </c>
      <c r="C2685" s="12" t="s">
        <v>123</v>
      </c>
      <c r="D2685" s="12" t="s">
        <v>184</v>
      </c>
      <c r="E2685" s="12" t="s">
        <v>281</v>
      </c>
      <c r="F2685" s="12">
        <v>0</v>
      </c>
    </row>
    <row r="2686" spans="1:16" x14ac:dyDescent="0.3">
      <c r="A2686" s="12" t="s">
        <v>94</v>
      </c>
      <c r="B2686" s="12" t="s">
        <v>151</v>
      </c>
      <c r="C2686" s="12" t="s">
        <v>123</v>
      </c>
      <c r="D2686" s="12" t="s">
        <v>184</v>
      </c>
      <c r="E2686" s="12" t="s">
        <v>282</v>
      </c>
      <c r="F2686" s="12">
        <v>85.29</v>
      </c>
    </row>
    <row r="2687" spans="1:16" x14ac:dyDescent="0.3">
      <c r="A2687" s="12" t="s">
        <v>94</v>
      </c>
      <c r="B2687" s="12" t="s">
        <v>159</v>
      </c>
      <c r="C2687" s="12" t="s">
        <v>120</v>
      </c>
      <c r="D2687" s="12" t="s">
        <v>100</v>
      </c>
      <c r="E2687" s="12" t="s">
        <v>181</v>
      </c>
      <c r="F2687" s="12" t="s">
        <v>0</v>
      </c>
      <c r="G2687" s="12" t="s">
        <v>268</v>
      </c>
      <c r="H2687" s="12" t="s">
        <v>283</v>
      </c>
      <c r="I2687" s="12" t="s">
        <v>284</v>
      </c>
      <c r="J2687" s="12" t="s">
        <v>193</v>
      </c>
      <c r="K2687" s="12" t="s">
        <v>285</v>
      </c>
      <c r="L2687" s="12" t="s">
        <v>286</v>
      </c>
      <c r="M2687" s="12" t="s">
        <v>287</v>
      </c>
      <c r="N2687" s="12" t="s">
        <v>288</v>
      </c>
      <c r="O2687" s="12" t="s">
        <v>289</v>
      </c>
      <c r="P2687" s="12" t="s">
        <v>165</v>
      </c>
    </row>
    <row r="2688" spans="1:16" x14ac:dyDescent="0.3">
      <c r="A2688" s="12" t="s">
        <v>94</v>
      </c>
      <c r="B2688" s="12" t="s">
        <v>159</v>
      </c>
      <c r="C2688" s="12" t="s">
        <v>123</v>
      </c>
      <c r="D2688" s="12" t="s">
        <v>290</v>
      </c>
      <c r="O2688" s="12">
        <v>210.06</v>
      </c>
    </row>
    <row r="2689" spans="1:16" x14ac:dyDescent="0.3">
      <c r="A2689" s="12" t="s">
        <v>94</v>
      </c>
      <c r="B2689" s="12" t="s">
        <v>159</v>
      </c>
      <c r="C2689" s="12" t="s">
        <v>123</v>
      </c>
      <c r="D2689" s="12" t="s">
        <v>110</v>
      </c>
      <c r="E2689" s="12" t="s">
        <v>114</v>
      </c>
      <c r="F2689" s="12" t="s">
        <v>4</v>
      </c>
      <c r="G2689" s="20">
        <v>45456</v>
      </c>
      <c r="H2689" s="20">
        <v>45457</v>
      </c>
      <c r="I2689" s="20">
        <v>45485</v>
      </c>
      <c r="J2689" s="12">
        <v>22</v>
      </c>
      <c r="K2689" s="12">
        <v>8.91</v>
      </c>
      <c r="L2689" s="12">
        <v>0</v>
      </c>
      <c r="M2689" s="12">
        <v>1.62</v>
      </c>
      <c r="N2689" s="12">
        <v>35.64</v>
      </c>
      <c r="O2689" s="12">
        <v>26.73</v>
      </c>
      <c r="P2689" s="12" t="s">
        <v>291</v>
      </c>
    </row>
    <row r="2690" spans="1:16" x14ac:dyDescent="0.3">
      <c r="A2690" s="12" t="s">
        <v>94</v>
      </c>
      <c r="B2690" s="12" t="s">
        <v>159</v>
      </c>
      <c r="C2690" s="12" t="s">
        <v>123</v>
      </c>
      <c r="D2690" s="12" t="s">
        <v>110</v>
      </c>
      <c r="E2690" s="12" t="s">
        <v>114</v>
      </c>
      <c r="F2690" s="12" t="s">
        <v>65</v>
      </c>
      <c r="G2690" s="20">
        <v>45460</v>
      </c>
      <c r="H2690" s="20">
        <v>45461</v>
      </c>
      <c r="I2690" s="20">
        <v>45483</v>
      </c>
      <c r="J2690" s="12">
        <v>70</v>
      </c>
      <c r="K2690" s="12">
        <v>1.93</v>
      </c>
      <c r="L2690" s="12">
        <v>0</v>
      </c>
      <c r="M2690" s="12">
        <v>0.11</v>
      </c>
      <c r="N2690" s="12">
        <v>7.7</v>
      </c>
      <c r="O2690" s="12">
        <v>5.77</v>
      </c>
      <c r="P2690" s="12" t="s">
        <v>291</v>
      </c>
    </row>
    <row r="2691" spans="1:16" x14ac:dyDescent="0.3">
      <c r="A2691" s="12" t="s">
        <v>94</v>
      </c>
      <c r="B2691" s="12" t="s">
        <v>159</v>
      </c>
      <c r="C2691" s="12" t="s">
        <v>123</v>
      </c>
      <c r="D2691" s="12" t="s">
        <v>110</v>
      </c>
      <c r="E2691" s="12" t="s">
        <v>114</v>
      </c>
      <c r="F2691" s="12" t="s">
        <v>7</v>
      </c>
      <c r="G2691" s="20">
        <v>45464</v>
      </c>
      <c r="H2691" s="20">
        <v>45467</v>
      </c>
      <c r="I2691" s="20">
        <v>45471</v>
      </c>
      <c r="J2691" s="12">
        <v>5</v>
      </c>
      <c r="K2691" s="12">
        <v>6.56</v>
      </c>
      <c r="L2691" s="12">
        <v>0</v>
      </c>
      <c r="M2691" s="12">
        <v>5.25</v>
      </c>
      <c r="N2691" s="12">
        <v>26.25</v>
      </c>
      <c r="O2691" s="12">
        <v>19.690000000000001</v>
      </c>
      <c r="P2691" s="12" t="s">
        <v>291</v>
      </c>
    </row>
    <row r="2692" spans="1:16" x14ac:dyDescent="0.3">
      <c r="A2692" s="12" t="s">
        <v>94</v>
      </c>
      <c r="B2692" s="12" t="s">
        <v>159</v>
      </c>
      <c r="C2692" s="12" t="s">
        <v>123</v>
      </c>
      <c r="D2692" s="12" t="s">
        <v>110</v>
      </c>
      <c r="E2692" s="12" t="s">
        <v>114</v>
      </c>
      <c r="F2692" s="12" t="s">
        <v>7</v>
      </c>
      <c r="G2692" s="20">
        <v>45471</v>
      </c>
      <c r="H2692" s="20">
        <v>45467</v>
      </c>
      <c r="I2692" s="20">
        <v>45471</v>
      </c>
      <c r="J2692" s="12">
        <v>5</v>
      </c>
      <c r="K2692" s="12">
        <v>-6.56</v>
      </c>
      <c r="L2692" s="12">
        <v>0</v>
      </c>
      <c r="M2692" s="12">
        <v>5.25</v>
      </c>
      <c r="N2692" s="12">
        <v>-26.25</v>
      </c>
      <c r="O2692" s="12">
        <v>-19.690000000000001</v>
      </c>
      <c r="P2692" s="12" t="s">
        <v>292</v>
      </c>
    </row>
    <row r="2693" spans="1:16" x14ac:dyDescent="0.3">
      <c r="A2693" s="12" t="s">
        <v>94</v>
      </c>
      <c r="B2693" s="12" t="s">
        <v>159</v>
      </c>
      <c r="C2693" s="12" t="s">
        <v>123</v>
      </c>
      <c r="D2693" s="12" t="s">
        <v>110</v>
      </c>
      <c r="E2693" s="12" t="s">
        <v>114</v>
      </c>
      <c r="F2693" s="12" t="s">
        <v>8</v>
      </c>
      <c r="G2693" s="20">
        <v>45449</v>
      </c>
      <c r="H2693" s="20">
        <v>45450</v>
      </c>
      <c r="I2693" s="20">
        <v>45471</v>
      </c>
      <c r="J2693" s="12">
        <v>391</v>
      </c>
      <c r="K2693" s="12">
        <v>23.46</v>
      </c>
      <c r="L2693" s="12">
        <v>0</v>
      </c>
      <c r="M2693" s="12">
        <v>0.24</v>
      </c>
      <c r="N2693" s="12">
        <v>93.84</v>
      </c>
      <c r="O2693" s="12">
        <v>70.38</v>
      </c>
      <c r="P2693" s="12" t="s">
        <v>291</v>
      </c>
    </row>
    <row r="2694" spans="1:16" x14ac:dyDescent="0.3">
      <c r="A2694" s="12" t="s">
        <v>94</v>
      </c>
      <c r="B2694" s="12" t="s">
        <v>159</v>
      </c>
      <c r="C2694" s="12" t="s">
        <v>123</v>
      </c>
      <c r="D2694" s="12" t="s">
        <v>110</v>
      </c>
      <c r="E2694" s="12" t="s">
        <v>114</v>
      </c>
      <c r="F2694" s="12" t="s">
        <v>8</v>
      </c>
      <c r="G2694" s="20">
        <v>45471</v>
      </c>
      <c r="H2694" s="20">
        <v>45450</v>
      </c>
      <c r="I2694" s="20">
        <v>45471</v>
      </c>
      <c r="J2694" s="12">
        <v>391</v>
      </c>
      <c r="K2694" s="12">
        <v>-23.46</v>
      </c>
      <c r="L2694" s="12">
        <v>0</v>
      </c>
      <c r="M2694" s="12">
        <v>0.24</v>
      </c>
      <c r="N2694" s="12">
        <v>-93.84</v>
      </c>
      <c r="O2694" s="12">
        <v>-70.38</v>
      </c>
      <c r="P2694" s="12" t="s">
        <v>292</v>
      </c>
    </row>
    <row r="2695" spans="1:16" x14ac:dyDescent="0.3">
      <c r="A2695" s="12" t="s">
        <v>94</v>
      </c>
      <c r="B2695" s="12" t="s">
        <v>159</v>
      </c>
      <c r="C2695" s="12" t="s">
        <v>123</v>
      </c>
      <c r="D2695" s="12" t="s">
        <v>110</v>
      </c>
      <c r="E2695" s="12" t="s">
        <v>114</v>
      </c>
      <c r="F2695" s="12" t="s">
        <v>14</v>
      </c>
      <c r="G2695" s="20">
        <v>45470</v>
      </c>
      <c r="H2695" s="20">
        <v>45471</v>
      </c>
      <c r="I2695" s="20">
        <v>45499</v>
      </c>
      <c r="J2695" s="12">
        <v>30</v>
      </c>
      <c r="K2695" s="12">
        <v>2.0299999999999998</v>
      </c>
      <c r="L2695" s="12">
        <v>0</v>
      </c>
      <c r="M2695" s="12">
        <v>0.27</v>
      </c>
      <c r="N2695" s="12">
        <v>8.1</v>
      </c>
      <c r="O2695" s="12">
        <v>6.07</v>
      </c>
      <c r="P2695" s="12" t="s">
        <v>291</v>
      </c>
    </row>
    <row r="2696" spans="1:16" x14ac:dyDescent="0.3">
      <c r="A2696" s="12" t="s">
        <v>94</v>
      </c>
      <c r="B2696" s="12" t="s">
        <v>159</v>
      </c>
      <c r="C2696" s="12" t="s">
        <v>123</v>
      </c>
      <c r="D2696" s="12" t="s">
        <v>110</v>
      </c>
      <c r="E2696" s="12" t="s">
        <v>114</v>
      </c>
      <c r="F2696" s="12" t="s">
        <v>19</v>
      </c>
      <c r="G2696" s="20">
        <v>45450</v>
      </c>
      <c r="H2696" s="20">
        <v>45453</v>
      </c>
      <c r="I2696" s="20">
        <v>45460</v>
      </c>
      <c r="J2696" s="12">
        <v>124</v>
      </c>
      <c r="K2696" s="12">
        <v>6.2</v>
      </c>
      <c r="L2696" s="12">
        <v>0</v>
      </c>
      <c r="M2696" s="12">
        <v>0.2</v>
      </c>
      <c r="N2696" s="12">
        <v>24.8</v>
      </c>
      <c r="O2696" s="12">
        <v>18.600000000000001</v>
      </c>
      <c r="P2696" s="12" t="s">
        <v>291</v>
      </c>
    </row>
    <row r="2697" spans="1:16" x14ac:dyDescent="0.3">
      <c r="A2697" s="12" t="s">
        <v>94</v>
      </c>
      <c r="B2697" s="12" t="s">
        <v>159</v>
      </c>
      <c r="C2697" s="12" t="s">
        <v>123</v>
      </c>
      <c r="D2697" s="12" t="s">
        <v>110</v>
      </c>
      <c r="E2697" s="12" t="s">
        <v>114</v>
      </c>
      <c r="F2697" s="12" t="s">
        <v>19</v>
      </c>
      <c r="G2697" s="20">
        <v>45460</v>
      </c>
      <c r="H2697" s="20">
        <v>45453</v>
      </c>
      <c r="I2697" s="20">
        <v>45460</v>
      </c>
      <c r="J2697" s="12">
        <v>124</v>
      </c>
      <c r="K2697" s="12">
        <v>-6.2</v>
      </c>
      <c r="L2697" s="12">
        <v>0</v>
      </c>
      <c r="M2697" s="12">
        <v>0.2</v>
      </c>
      <c r="N2697" s="12">
        <v>-24.8</v>
      </c>
      <c r="O2697" s="12">
        <v>-18.600000000000001</v>
      </c>
      <c r="P2697" s="12" t="s">
        <v>292</v>
      </c>
    </row>
    <row r="2698" spans="1:16" x14ac:dyDescent="0.3">
      <c r="A2698" s="12" t="s">
        <v>94</v>
      </c>
      <c r="B2698" s="12" t="s">
        <v>159</v>
      </c>
      <c r="C2698" s="12" t="s">
        <v>123</v>
      </c>
      <c r="D2698" s="12" t="s">
        <v>110</v>
      </c>
      <c r="E2698" s="12" t="s">
        <v>114</v>
      </c>
      <c r="F2698" s="12" t="s">
        <v>69</v>
      </c>
      <c r="G2698" s="20">
        <v>45456</v>
      </c>
      <c r="H2698" s="20">
        <v>45457</v>
      </c>
      <c r="I2698" s="20">
        <v>45471</v>
      </c>
      <c r="J2698" s="12">
        <v>15</v>
      </c>
      <c r="K2698" s="12">
        <v>2.48</v>
      </c>
      <c r="L2698" s="12">
        <v>0</v>
      </c>
      <c r="M2698" s="12">
        <v>0.66</v>
      </c>
      <c r="N2698" s="12">
        <v>9.9</v>
      </c>
      <c r="O2698" s="12">
        <v>7.42</v>
      </c>
      <c r="P2698" s="12" t="s">
        <v>291</v>
      </c>
    </row>
    <row r="2699" spans="1:16" x14ac:dyDescent="0.3">
      <c r="A2699" s="12" t="s">
        <v>94</v>
      </c>
      <c r="B2699" s="12" t="s">
        <v>159</v>
      </c>
      <c r="C2699" s="12" t="s">
        <v>123</v>
      </c>
      <c r="D2699" s="12" t="s">
        <v>110</v>
      </c>
      <c r="E2699" s="12" t="s">
        <v>114</v>
      </c>
      <c r="F2699" s="12" t="s">
        <v>20</v>
      </c>
      <c r="G2699" s="20">
        <v>45456</v>
      </c>
      <c r="H2699" s="20">
        <v>45442</v>
      </c>
      <c r="I2699" s="20">
        <v>45456</v>
      </c>
      <c r="J2699" s="12">
        <v>11</v>
      </c>
      <c r="K2699" s="12">
        <v>-6.19</v>
      </c>
      <c r="L2699" s="12">
        <v>0</v>
      </c>
      <c r="M2699" s="12">
        <v>2.25</v>
      </c>
      <c r="N2699" s="12">
        <v>-24.75</v>
      </c>
      <c r="O2699" s="12">
        <v>-18.559999999999999</v>
      </c>
      <c r="P2699" s="12" t="s">
        <v>292</v>
      </c>
    </row>
    <row r="2700" spans="1:16" x14ac:dyDescent="0.3">
      <c r="A2700" s="12" t="s">
        <v>94</v>
      </c>
      <c r="B2700" s="12" t="s">
        <v>159</v>
      </c>
      <c r="C2700" s="12" t="s">
        <v>123</v>
      </c>
      <c r="D2700" s="12" t="s">
        <v>110</v>
      </c>
      <c r="E2700" s="12" t="s">
        <v>114</v>
      </c>
      <c r="F2700" s="12" t="s">
        <v>37</v>
      </c>
      <c r="G2700" s="20">
        <v>45453</v>
      </c>
      <c r="H2700" s="20">
        <v>45421</v>
      </c>
      <c r="I2700" s="20">
        <v>45453</v>
      </c>
      <c r="J2700" s="12">
        <v>30</v>
      </c>
      <c r="K2700" s="12">
        <v>-12.53</v>
      </c>
      <c r="L2700" s="12">
        <v>0</v>
      </c>
      <c r="M2700" s="12">
        <v>1.67</v>
      </c>
      <c r="N2700" s="12">
        <v>-50.1</v>
      </c>
      <c r="O2700" s="12">
        <v>-37.57</v>
      </c>
      <c r="P2700" s="12" t="s">
        <v>292</v>
      </c>
    </row>
    <row r="2701" spans="1:16" x14ac:dyDescent="0.3">
      <c r="A2701" s="12" t="s">
        <v>94</v>
      </c>
      <c r="B2701" s="12" t="s">
        <v>159</v>
      </c>
      <c r="C2701" s="12" t="s">
        <v>123</v>
      </c>
      <c r="D2701" s="12" t="s">
        <v>110</v>
      </c>
      <c r="E2701" s="12" t="s">
        <v>114</v>
      </c>
      <c r="F2701" s="12" t="s">
        <v>24</v>
      </c>
      <c r="G2701" s="20">
        <v>45449</v>
      </c>
      <c r="H2701" s="20">
        <v>45427</v>
      </c>
      <c r="I2701" s="20">
        <v>45449</v>
      </c>
      <c r="J2701" s="12">
        <v>50</v>
      </c>
      <c r="K2701" s="12">
        <v>-0.25</v>
      </c>
      <c r="L2701" s="12">
        <v>0</v>
      </c>
      <c r="M2701" s="12">
        <v>0.02</v>
      </c>
      <c r="N2701" s="12">
        <v>-1</v>
      </c>
      <c r="O2701" s="12">
        <v>-0.75</v>
      </c>
      <c r="P2701" s="12" t="s">
        <v>292</v>
      </c>
    </row>
    <row r="2702" spans="1:16" x14ac:dyDescent="0.3">
      <c r="A2702" s="12" t="s">
        <v>94</v>
      </c>
      <c r="B2702" s="12" t="s">
        <v>159</v>
      </c>
      <c r="C2702" s="12" t="s">
        <v>123</v>
      </c>
      <c r="D2702" s="12" t="s">
        <v>110</v>
      </c>
      <c r="E2702" s="12" t="s">
        <v>114</v>
      </c>
      <c r="F2702" s="12" t="s">
        <v>59</v>
      </c>
      <c r="G2702" s="20">
        <v>45456</v>
      </c>
      <c r="H2702" s="20">
        <v>45457</v>
      </c>
      <c r="I2702" s="20">
        <v>45474</v>
      </c>
      <c r="J2702" s="12">
        <v>70</v>
      </c>
      <c r="K2702" s="12">
        <v>8.49</v>
      </c>
      <c r="L2702" s="12">
        <v>0</v>
      </c>
      <c r="M2702" s="12">
        <v>0.48499999999999999</v>
      </c>
      <c r="N2702" s="12">
        <v>33.950000000000003</v>
      </c>
      <c r="O2702" s="12">
        <v>25.46</v>
      </c>
      <c r="P2702" s="12" t="s">
        <v>291</v>
      </c>
    </row>
    <row r="2703" spans="1:16" x14ac:dyDescent="0.3">
      <c r="A2703" s="12" t="s">
        <v>94</v>
      </c>
      <c r="B2703" s="12" t="s">
        <v>159</v>
      </c>
      <c r="C2703" s="12" t="s">
        <v>123</v>
      </c>
      <c r="D2703" s="12" t="s">
        <v>110</v>
      </c>
      <c r="E2703" s="12" t="s">
        <v>114</v>
      </c>
      <c r="F2703" s="12" t="s">
        <v>49</v>
      </c>
      <c r="G2703" s="20">
        <v>45453</v>
      </c>
      <c r="H2703" s="20">
        <v>45427</v>
      </c>
      <c r="I2703" s="20">
        <v>45453</v>
      </c>
      <c r="J2703" s="12">
        <v>10</v>
      </c>
      <c r="K2703" s="12">
        <v>-3.25</v>
      </c>
      <c r="L2703" s="12">
        <v>0</v>
      </c>
      <c r="M2703" s="12">
        <v>1.3</v>
      </c>
      <c r="N2703" s="12">
        <v>-13</v>
      </c>
      <c r="O2703" s="12">
        <v>-9.75</v>
      </c>
      <c r="P2703" s="12" t="s">
        <v>292</v>
      </c>
    </row>
    <row r="2704" spans="1:16" x14ac:dyDescent="0.3">
      <c r="A2704" s="12" t="s">
        <v>94</v>
      </c>
      <c r="B2704" s="12" t="s">
        <v>159</v>
      </c>
      <c r="C2704" s="12" t="s">
        <v>123</v>
      </c>
      <c r="D2704" s="12" t="s">
        <v>110</v>
      </c>
      <c r="E2704" s="12" t="s">
        <v>114</v>
      </c>
      <c r="F2704" s="12" t="s">
        <v>26</v>
      </c>
      <c r="G2704" s="20">
        <v>45450</v>
      </c>
      <c r="H2704" s="20">
        <v>45428</v>
      </c>
      <c r="I2704" s="20">
        <v>45450</v>
      </c>
      <c r="J2704" s="12">
        <v>20</v>
      </c>
      <c r="K2704" s="12">
        <v>-4.25</v>
      </c>
      <c r="L2704" s="12">
        <v>0</v>
      </c>
      <c r="M2704" s="12">
        <v>0.85</v>
      </c>
      <c r="N2704" s="12">
        <v>-17</v>
      </c>
      <c r="O2704" s="12">
        <v>-12.75</v>
      </c>
      <c r="P2704" s="12" t="s">
        <v>292</v>
      </c>
    </row>
    <row r="2705" spans="1:16" x14ac:dyDescent="0.3">
      <c r="A2705" s="12" t="s">
        <v>94</v>
      </c>
      <c r="B2705" s="12" t="s">
        <v>159</v>
      </c>
      <c r="C2705" s="12" t="s">
        <v>123</v>
      </c>
      <c r="D2705" s="12" t="s">
        <v>110</v>
      </c>
      <c r="E2705" s="12" t="s">
        <v>114</v>
      </c>
      <c r="F2705" s="12" t="s">
        <v>27</v>
      </c>
      <c r="G2705" s="20">
        <v>45456</v>
      </c>
      <c r="H2705" s="20">
        <v>45457</v>
      </c>
      <c r="I2705" s="20">
        <v>45469</v>
      </c>
      <c r="J2705" s="12">
        <v>44</v>
      </c>
      <c r="K2705" s="12">
        <v>5.5</v>
      </c>
      <c r="L2705" s="12">
        <v>0</v>
      </c>
      <c r="M2705" s="12">
        <v>0.5</v>
      </c>
      <c r="N2705" s="12">
        <v>22</v>
      </c>
      <c r="O2705" s="12">
        <v>16.5</v>
      </c>
      <c r="P2705" s="12" t="s">
        <v>291</v>
      </c>
    </row>
    <row r="2706" spans="1:16" x14ac:dyDescent="0.3">
      <c r="A2706" s="12" t="s">
        <v>94</v>
      </c>
      <c r="B2706" s="12" t="s">
        <v>159</v>
      </c>
      <c r="C2706" s="12" t="s">
        <v>123</v>
      </c>
      <c r="D2706" s="12" t="s">
        <v>110</v>
      </c>
      <c r="E2706" s="12" t="s">
        <v>114</v>
      </c>
      <c r="F2706" s="12" t="s">
        <v>27</v>
      </c>
      <c r="G2706" s="20">
        <v>45469</v>
      </c>
      <c r="H2706" s="20">
        <v>45457</v>
      </c>
      <c r="I2706" s="20">
        <v>45469</v>
      </c>
      <c r="J2706" s="12">
        <v>44</v>
      </c>
      <c r="K2706" s="12">
        <v>-5.5</v>
      </c>
      <c r="L2706" s="12">
        <v>0</v>
      </c>
      <c r="M2706" s="12">
        <v>0.5</v>
      </c>
      <c r="N2706" s="12">
        <v>-22</v>
      </c>
      <c r="O2706" s="12">
        <v>-16.5</v>
      </c>
      <c r="P2706" s="12" t="s">
        <v>292</v>
      </c>
    </row>
    <row r="2707" spans="1:16" x14ac:dyDescent="0.3">
      <c r="A2707" s="12" t="s">
        <v>94</v>
      </c>
      <c r="B2707" s="12" t="s">
        <v>159</v>
      </c>
      <c r="C2707" s="12" t="s">
        <v>123</v>
      </c>
      <c r="D2707" s="12" t="s">
        <v>110</v>
      </c>
      <c r="E2707" s="12" t="s">
        <v>114</v>
      </c>
      <c r="F2707" s="12" t="s">
        <v>28</v>
      </c>
      <c r="G2707" s="20">
        <v>45456</v>
      </c>
      <c r="H2707" s="20">
        <v>45427</v>
      </c>
      <c r="I2707" s="20">
        <v>45456</v>
      </c>
      <c r="J2707" s="12">
        <v>49</v>
      </c>
      <c r="K2707" s="12">
        <v>-9.19</v>
      </c>
      <c r="L2707" s="12">
        <v>0</v>
      </c>
      <c r="M2707" s="12">
        <v>0.75</v>
      </c>
      <c r="N2707" s="12">
        <v>-36.75</v>
      </c>
      <c r="O2707" s="12">
        <v>-27.56</v>
      </c>
      <c r="P2707" s="12" t="s">
        <v>292</v>
      </c>
    </row>
    <row r="2708" spans="1:16" x14ac:dyDescent="0.3">
      <c r="A2708" s="12" t="s">
        <v>94</v>
      </c>
      <c r="B2708" s="12" t="s">
        <v>159</v>
      </c>
      <c r="C2708" s="12" t="s">
        <v>123</v>
      </c>
      <c r="D2708" s="12" t="s">
        <v>110</v>
      </c>
      <c r="E2708" s="12" t="s">
        <v>114</v>
      </c>
      <c r="F2708" s="12" t="s">
        <v>39</v>
      </c>
      <c r="G2708" s="20">
        <v>45463</v>
      </c>
      <c r="H2708" s="20">
        <v>45442</v>
      </c>
      <c r="I2708" s="20">
        <v>45463</v>
      </c>
      <c r="J2708" s="12">
        <v>50</v>
      </c>
      <c r="K2708" s="12">
        <v>-10.63</v>
      </c>
      <c r="L2708" s="12">
        <v>0</v>
      </c>
      <c r="M2708" s="12">
        <v>0.85</v>
      </c>
      <c r="N2708" s="12">
        <v>-42.5</v>
      </c>
      <c r="O2708" s="12">
        <v>-31.87</v>
      </c>
      <c r="P2708" s="12" t="s">
        <v>292</v>
      </c>
    </row>
    <row r="2709" spans="1:16" x14ac:dyDescent="0.3">
      <c r="A2709" s="12" t="s">
        <v>94</v>
      </c>
      <c r="B2709" s="12" t="s">
        <v>159</v>
      </c>
      <c r="C2709" s="12" t="s">
        <v>123</v>
      </c>
      <c r="D2709" s="12" t="s">
        <v>110</v>
      </c>
      <c r="E2709" s="12" t="s">
        <v>114</v>
      </c>
      <c r="F2709" s="12" t="s">
        <v>60</v>
      </c>
      <c r="G2709" s="20">
        <v>45457</v>
      </c>
      <c r="H2709" s="20">
        <v>45460</v>
      </c>
      <c r="I2709" s="20">
        <v>45468</v>
      </c>
      <c r="J2709" s="12">
        <v>15</v>
      </c>
      <c r="K2709" s="12">
        <v>7.88</v>
      </c>
      <c r="L2709" s="12">
        <v>0</v>
      </c>
      <c r="M2709" s="12">
        <v>2.1</v>
      </c>
      <c r="N2709" s="12">
        <v>31.5</v>
      </c>
      <c r="O2709" s="12">
        <v>23.62</v>
      </c>
      <c r="P2709" s="12" t="s">
        <v>291</v>
      </c>
    </row>
    <row r="2710" spans="1:16" x14ac:dyDescent="0.3">
      <c r="A2710" s="12" t="s">
        <v>94</v>
      </c>
      <c r="B2710" s="12" t="s">
        <v>159</v>
      </c>
      <c r="C2710" s="12" t="s">
        <v>123</v>
      </c>
      <c r="D2710" s="12" t="s">
        <v>110</v>
      </c>
      <c r="E2710" s="12" t="s">
        <v>114</v>
      </c>
      <c r="F2710" s="12" t="s">
        <v>60</v>
      </c>
      <c r="G2710" s="20">
        <v>45468</v>
      </c>
      <c r="H2710" s="20">
        <v>45460</v>
      </c>
      <c r="I2710" s="20">
        <v>45468</v>
      </c>
      <c r="J2710" s="12">
        <v>15</v>
      </c>
      <c r="K2710" s="12">
        <v>-7.88</v>
      </c>
      <c r="L2710" s="12">
        <v>0</v>
      </c>
      <c r="M2710" s="12">
        <v>2.1</v>
      </c>
      <c r="N2710" s="12">
        <v>-31.5</v>
      </c>
      <c r="O2710" s="12">
        <v>-23.62</v>
      </c>
      <c r="P2710" s="12" t="s">
        <v>292</v>
      </c>
    </row>
    <row r="2711" spans="1:16" x14ac:dyDescent="0.3">
      <c r="A2711" s="12" t="s">
        <v>94</v>
      </c>
      <c r="B2711" s="12" t="s">
        <v>159</v>
      </c>
      <c r="C2711" s="12" t="s">
        <v>123</v>
      </c>
      <c r="D2711" s="12" t="s">
        <v>110</v>
      </c>
      <c r="E2711" s="12" t="s">
        <v>114</v>
      </c>
      <c r="F2711" s="12" t="s">
        <v>61</v>
      </c>
      <c r="G2711" s="20">
        <v>45464</v>
      </c>
      <c r="H2711" s="20">
        <v>45467</v>
      </c>
      <c r="I2711" s="20">
        <v>45469</v>
      </c>
      <c r="J2711" s="12">
        <v>100</v>
      </c>
      <c r="K2711" s="12">
        <v>17.87</v>
      </c>
      <c r="L2711" s="12">
        <v>0</v>
      </c>
      <c r="M2711" s="12">
        <v>0.714839</v>
      </c>
      <c r="N2711" s="12">
        <v>71.48</v>
      </c>
      <c r="O2711" s="12">
        <v>53.61</v>
      </c>
      <c r="P2711" s="12" t="s">
        <v>291</v>
      </c>
    </row>
    <row r="2712" spans="1:16" x14ac:dyDescent="0.3">
      <c r="A2712" s="12" t="s">
        <v>94</v>
      </c>
      <c r="B2712" s="12" t="s">
        <v>159</v>
      </c>
      <c r="C2712" s="12" t="s">
        <v>123</v>
      </c>
      <c r="D2712" s="12" t="s">
        <v>110</v>
      </c>
      <c r="E2712" s="12" t="s">
        <v>114</v>
      </c>
      <c r="F2712" s="12" t="s">
        <v>61</v>
      </c>
      <c r="G2712" s="20">
        <v>45469</v>
      </c>
      <c r="H2712" s="20">
        <v>45467</v>
      </c>
      <c r="I2712" s="20">
        <v>45469</v>
      </c>
      <c r="J2712" s="12">
        <v>100</v>
      </c>
      <c r="K2712" s="12">
        <v>-17.87</v>
      </c>
      <c r="L2712" s="12">
        <v>0</v>
      </c>
      <c r="M2712" s="12">
        <v>0.714839</v>
      </c>
      <c r="N2712" s="12">
        <v>-71.48</v>
      </c>
      <c r="O2712" s="12">
        <v>-53.61</v>
      </c>
      <c r="P2712" s="12" t="s">
        <v>292</v>
      </c>
    </row>
    <row r="2713" spans="1:16" x14ac:dyDescent="0.3">
      <c r="A2713" s="12" t="s">
        <v>94</v>
      </c>
      <c r="B2713" s="12" t="s">
        <v>159</v>
      </c>
      <c r="C2713" s="12" t="s">
        <v>123</v>
      </c>
      <c r="D2713" s="12" t="s">
        <v>110</v>
      </c>
      <c r="E2713" s="12" t="s">
        <v>114</v>
      </c>
      <c r="F2713" s="12" t="s">
        <v>62</v>
      </c>
      <c r="G2713" s="20">
        <v>45464</v>
      </c>
      <c r="H2713" s="20">
        <v>45467</v>
      </c>
      <c r="I2713" s="20">
        <v>45469</v>
      </c>
      <c r="J2713" s="12">
        <v>200</v>
      </c>
      <c r="K2713" s="12">
        <v>8.14</v>
      </c>
      <c r="L2713" s="12">
        <v>0</v>
      </c>
      <c r="M2713" s="12">
        <v>0.162796</v>
      </c>
      <c r="N2713" s="12">
        <v>32.56</v>
      </c>
      <c r="O2713" s="12">
        <v>24.42</v>
      </c>
      <c r="P2713" s="12" t="s">
        <v>291</v>
      </c>
    </row>
    <row r="2714" spans="1:16" x14ac:dyDescent="0.3">
      <c r="A2714" s="12" t="s">
        <v>94</v>
      </c>
      <c r="B2714" s="12" t="s">
        <v>159</v>
      </c>
      <c r="C2714" s="12" t="s">
        <v>123</v>
      </c>
      <c r="D2714" s="12" t="s">
        <v>110</v>
      </c>
      <c r="E2714" s="12" t="s">
        <v>114</v>
      </c>
      <c r="F2714" s="12" t="s">
        <v>62</v>
      </c>
      <c r="G2714" s="20">
        <v>45469</v>
      </c>
      <c r="H2714" s="20">
        <v>45467</v>
      </c>
      <c r="I2714" s="20">
        <v>45469</v>
      </c>
      <c r="J2714" s="12">
        <v>200</v>
      </c>
      <c r="K2714" s="12">
        <v>-8.14</v>
      </c>
      <c r="L2714" s="12">
        <v>0</v>
      </c>
      <c r="M2714" s="12">
        <v>0.162796</v>
      </c>
      <c r="N2714" s="12">
        <v>-32.56</v>
      </c>
      <c r="O2714" s="12">
        <v>-24.42</v>
      </c>
      <c r="P2714" s="12" t="s">
        <v>292</v>
      </c>
    </row>
    <row r="2715" spans="1:16" x14ac:dyDescent="0.3">
      <c r="A2715" s="12" t="s">
        <v>94</v>
      </c>
      <c r="B2715" s="12" t="s">
        <v>159</v>
      </c>
      <c r="C2715" s="12" t="s">
        <v>123</v>
      </c>
      <c r="D2715" s="12" t="s">
        <v>110</v>
      </c>
      <c r="E2715" s="12" t="s">
        <v>114</v>
      </c>
      <c r="F2715" s="12" t="s">
        <v>41</v>
      </c>
      <c r="G2715" s="20">
        <v>45464</v>
      </c>
      <c r="H2715" s="20">
        <v>45467</v>
      </c>
      <c r="I2715" s="20">
        <v>45471</v>
      </c>
      <c r="J2715" s="12">
        <v>1100</v>
      </c>
      <c r="K2715" s="12">
        <v>25.94</v>
      </c>
      <c r="L2715" s="12">
        <v>0</v>
      </c>
      <c r="M2715" s="12">
        <v>9.4310000000000005E-2</v>
      </c>
      <c r="N2715" s="12">
        <v>103.74</v>
      </c>
      <c r="O2715" s="12">
        <v>77.8</v>
      </c>
      <c r="P2715" s="12" t="s">
        <v>291</v>
      </c>
    </row>
    <row r="2716" spans="1:16" x14ac:dyDescent="0.3">
      <c r="A2716" s="12" t="s">
        <v>94</v>
      </c>
      <c r="B2716" s="12" t="s">
        <v>159</v>
      </c>
      <c r="C2716" s="12" t="s">
        <v>123</v>
      </c>
      <c r="D2716" s="12" t="s">
        <v>110</v>
      </c>
      <c r="E2716" s="12" t="s">
        <v>114</v>
      </c>
      <c r="F2716" s="12" t="s">
        <v>41</v>
      </c>
      <c r="G2716" s="20">
        <v>45471</v>
      </c>
      <c r="H2716" s="20">
        <v>45467</v>
      </c>
      <c r="I2716" s="20">
        <v>45471</v>
      </c>
      <c r="J2716" s="12">
        <v>1100</v>
      </c>
      <c r="K2716" s="12">
        <v>-25.94</v>
      </c>
      <c r="L2716" s="12">
        <v>0</v>
      </c>
      <c r="M2716" s="12">
        <v>9.4310000000000005E-2</v>
      </c>
      <c r="N2716" s="12">
        <v>-103.74</v>
      </c>
      <c r="O2716" s="12">
        <v>-77.8</v>
      </c>
      <c r="P2716" s="12" t="s">
        <v>292</v>
      </c>
    </row>
    <row r="2717" spans="1:16" x14ac:dyDescent="0.3">
      <c r="A2717" s="12" t="s">
        <v>94</v>
      </c>
      <c r="B2717" s="12" t="s">
        <v>159</v>
      </c>
      <c r="C2717" s="12" t="s">
        <v>123</v>
      </c>
      <c r="D2717" s="12" t="s">
        <v>110</v>
      </c>
      <c r="E2717" s="12" t="s">
        <v>114</v>
      </c>
      <c r="F2717" s="12" t="s">
        <v>79</v>
      </c>
      <c r="G2717" s="20">
        <v>45464</v>
      </c>
      <c r="H2717" s="20">
        <v>45467</v>
      </c>
      <c r="I2717" s="20">
        <v>45469</v>
      </c>
      <c r="J2717" s="12">
        <v>80</v>
      </c>
      <c r="K2717" s="12">
        <v>8.43</v>
      </c>
      <c r="L2717" s="12">
        <v>0</v>
      </c>
      <c r="M2717" s="12">
        <v>0.42125899999999999</v>
      </c>
      <c r="N2717" s="12">
        <v>33.700000000000003</v>
      </c>
      <c r="O2717" s="12">
        <v>25.27</v>
      </c>
      <c r="P2717" s="12" t="s">
        <v>291</v>
      </c>
    </row>
    <row r="2718" spans="1:16" x14ac:dyDescent="0.3">
      <c r="A2718" s="12" t="s">
        <v>94</v>
      </c>
      <c r="B2718" s="12" t="s">
        <v>159</v>
      </c>
      <c r="C2718" s="12" t="s">
        <v>123</v>
      </c>
      <c r="D2718" s="12" t="s">
        <v>110</v>
      </c>
      <c r="E2718" s="12" t="s">
        <v>114</v>
      </c>
      <c r="F2718" s="12" t="s">
        <v>79</v>
      </c>
      <c r="G2718" s="20">
        <v>45469</v>
      </c>
      <c r="H2718" s="20">
        <v>45467</v>
      </c>
      <c r="I2718" s="20">
        <v>45469</v>
      </c>
      <c r="J2718" s="12">
        <v>80</v>
      </c>
      <c r="K2718" s="12">
        <v>-8.43</v>
      </c>
      <c r="L2718" s="12">
        <v>0</v>
      </c>
      <c r="M2718" s="12">
        <v>0.42125899999999999</v>
      </c>
      <c r="N2718" s="12">
        <v>-33.700000000000003</v>
      </c>
      <c r="O2718" s="12">
        <v>-25.27</v>
      </c>
      <c r="P2718" s="12" t="s">
        <v>292</v>
      </c>
    </row>
    <row r="2719" spans="1:16" x14ac:dyDescent="0.3">
      <c r="A2719" s="12" t="s">
        <v>94</v>
      </c>
      <c r="B2719" s="12" t="s">
        <v>159</v>
      </c>
      <c r="C2719" s="12" t="s">
        <v>123</v>
      </c>
      <c r="D2719" s="12" t="s">
        <v>110</v>
      </c>
      <c r="E2719" s="12" t="s">
        <v>114</v>
      </c>
      <c r="F2719" s="12" t="s">
        <v>42</v>
      </c>
      <c r="G2719" s="20">
        <v>45464</v>
      </c>
      <c r="H2719" s="20">
        <v>45467</v>
      </c>
      <c r="I2719" s="20">
        <v>45469</v>
      </c>
      <c r="J2719" s="12">
        <v>150</v>
      </c>
      <c r="K2719" s="12">
        <v>15</v>
      </c>
      <c r="L2719" s="12">
        <v>0</v>
      </c>
      <c r="M2719" s="12">
        <v>0.400001</v>
      </c>
      <c r="N2719" s="12">
        <v>60</v>
      </c>
      <c r="O2719" s="12">
        <v>45</v>
      </c>
      <c r="P2719" s="12" t="s">
        <v>291</v>
      </c>
    </row>
    <row r="2720" spans="1:16" x14ac:dyDescent="0.3">
      <c r="A2720" s="12" t="s">
        <v>94</v>
      </c>
      <c r="B2720" s="12" t="s">
        <v>159</v>
      </c>
      <c r="C2720" s="12" t="s">
        <v>123</v>
      </c>
      <c r="D2720" s="12" t="s">
        <v>110</v>
      </c>
      <c r="E2720" s="12" t="s">
        <v>114</v>
      </c>
      <c r="F2720" s="12" t="s">
        <v>42</v>
      </c>
      <c r="G2720" s="20">
        <v>45469</v>
      </c>
      <c r="H2720" s="20">
        <v>45467</v>
      </c>
      <c r="I2720" s="20">
        <v>45469</v>
      </c>
      <c r="J2720" s="12">
        <v>150</v>
      </c>
      <c r="K2720" s="12">
        <v>-15</v>
      </c>
      <c r="L2720" s="12">
        <v>0</v>
      </c>
      <c r="M2720" s="12">
        <v>0.400001</v>
      </c>
      <c r="N2720" s="12">
        <v>-60</v>
      </c>
      <c r="O2720" s="12">
        <v>-45</v>
      </c>
      <c r="P2720" s="12" t="s">
        <v>292</v>
      </c>
    </row>
    <row r="2721" spans="1:16" x14ac:dyDescent="0.3">
      <c r="A2721" s="12" t="s">
        <v>94</v>
      </c>
      <c r="B2721" s="12" t="s">
        <v>159</v>
      </c>
      <c r="C2721" s="12" t="s">
        <v>123</v>
      </c>
      <c r="D2721" s="12" t="s">
        <v>110</v>
      </c>
      <c r="E2721" s="12" t="s">
        <v>114</v>
      </c>
      <c r="F2721" s="12" t="s">
        <v>43</v>
      </c>
      <c r="G2721" s="20">
        <v>45464</v>
      </c>
      <c r="H2721" s="20">
        <v>45467</v>
      </c>
      <c r="I2721" s="20">
        <v>45469</v>
      </c>
      <c r="J2721" s="12">
        <v>230</v>
      </c>
      <c r="K2721" s="12">
        <v>31.92</v>
      </c>
      <c r="L2721" s="12">
        <v>0</v>
      </c>
      <c r="M2721" s="12">
        <v>0.55507499999999999</v>
      </c>
      <c r="N2721" s="12">
        <v>127.67</v>
      </c>
      <c r="O2721" s="12">
        <v>95.75</v>
      </c>
      <c r="P2721" s="12" t="s">
        <v>291</v>
      </c>
    </row>
    <row r="2722" spans="1:16" x14ac:dyDescent="0.3">
      <c r="A2722" s="12" t="s">
        <v>94</v>
      </c>
      <c r="B2722" s="12" t="s">
        <v>159</v>
      </c>
      <c r="C2722" s="12" t="s">
        <v>123</v>
      </c>
      <c r="D2722" s="12" t="s">
        <v>110</v>
      </c>
      <c r="E2722" s="12" t="s">
        <v>114</v>
      </c>
      <c r="F2722" s="12" t="s">
        <v>43</v>
      </c>
      <c r="G2722" s="20">
        <v>45469</v>
      </c>
      <c r="H2722" s="20">
        <v>45467</v>
      </c>
      <c r="I2722" s="20">
        <v>45469</v>
      </c>
      <c r="J2722" s="12">
        <v>230</v>
      </c>
      <c r="K2722" s="12">
        <v>-31.92</v>
      </c>
      <c r="L2722" s="12">
        <v>0</v>
      </c>
      <c r="M2722" s="12">
        <v>0.55507499999999999</v>
      </c>
      <c r="N2722" s="12">
        <v>-127.67</v>
      </c>
      <c r="O2722" s="12">
        <v>-95.75</v>
      </c>
      <c r="P2722" s="12" t="s">
        <v>292</v>
      </c>
    </row>
    <row r="2723" spans="1:16" x14ac:dyDescent="0.3">
      <c r="A2723" s="12" t="s">
        <v>94</v>
      </c>
      <c r="B2723" s="12" t="s">
        <v>159</v>
      </c>
      <c r="C2723" s="12" t="s">
        <v>123</v>
      </c>
      <c r="D2723" s="12" t="s">
        <v>110</v>
      </c>
      <c r="E2723" s="12" t="s">
        <v>114</v>
      </c>
      <c r="F2723" s="12" t="s">
        <v>44</v>
      </c>
      <c r="G2723" s="20">
        <v>45464</v>
      </c>
      <c r="H2723" s="20">
        <v>45467</v>
      </c>
      <c r="I2723" s="20">
        <v>45469</v>
      </c>
      <c r="J2723" s="12">
        <v>60</v>
      </c>
      <c r="K2723" s="12">
        <v>8.59</v>
      </c>
      <c r="L2723" s="12">
        <v>0</v>
      </c>
      <c r="M2723" s="12">
        <v>0.57253299999999996</v>
      </c>
      <c r="N2723" s="12">
        <v>34.35</v>
      </c>
      <c r="O2723" s="12">
        <v>25.76</v>
      </c>
      <c r="P2723" s="12" t="s">
        <v>291</v>
      </c>
    </row>
    <row r="2724" spans="1:16" x14ac:dyDescent="0.3">
      <c r="A2724" s="12" t="s">
        <v>94</v>
      </c>
      <c r="B2724" s="12" t="s">
        <v>159</v>
      </c>
      <c r="C2724" s="12" t="s">
        <v>123</v>
      </c>
      <c r="D2724" s="12" t="s">
        <v>110</v>
      </c>
      <c r="E2724" s="12" t="s">
        <v>114</v>
      </c>
      <c r="F2724" s="12" t="s">
        <v>44</v>
      </c>
      <c r="G2724" s="20">
        <v>45469</v>
      </c>
      <c r="H2724" s="20">
        <v>45467</v>
      </c>
      <c r="I2724" s="20">
        <v>45469</v>
      </c>
      <c r="J2724" s="12">
        <v>60</v>
      </c>
      <c r="K2724" s="12">
        <v>-8.59</v>
      </c>
      <c r="L2724" s="12">
        <v>0</v>
      </c>
      <c r="M2724" s="12">
        <v>0.57253299999999996</v>
      </c>
      <c r="N2724" s="12">
        <v>-34.35</v>
      </c>
      <c r="O2724" s="12">
        <v>-25.76</v>
      </c>
      <c r="P2724" s="12" t="s">
        <v>292</v>
      </c>
    </row>
    <row r="2725" spans="1:16" x14ac:dyDescent="0.3">
      <c r="A2725" s="12" t="s">
        <v>94</v>
      </c>
      <c r="B2725" s="12" t="s">
        <v>159</v>
      </c>
      <c r="C2725" s="12" t="s">
        <v>123</v>
      </c>
      <c r="D2725" s="12" t="s">
        <v>110</v>
      </c>
      <c r="E2725" s="12" t="s">
        <v>114</v>
      </c>
      <c r="F2725" s="12" t="s">
        <v>35</v>
      </c>
      <c r="G2725" s="20">
        <v>45453</v>
      </c>
      <c r="H2725" s="20">
        <v>45426</v>
      </c>
      <c r="I2725" s="20">
        <v>45453</v>
      </c>
      <c r="J2725" s="12">
        <v>100</v>
      </c>
      <c r="K2725" s="12">
        <v>-23.75</v>
      </c>
      <c r="L2725" s="12">
        <v>0</v>
      </c>
      <c r="M2725" s="12">
        <v>0.95</v>
      </c>
      <c r="N2725" s="12">
        <v>-95</v>
      </c>
      <c r="O2725" s="12">
        <v>-71.25</v>
      </c>
      <c r="P2725" s="12" t="s">
        <v>292</v>
      </c>
    </row>
    <row r="2726" spans="1:16" x14ac:dyDescent="0.3">
      <c r="A2726" s="12" t="s">
        <v>94</v>
      </c>
      <c r="B2726" s="12" t="s">
        <v>159</v>
      </c>
      <c r="C2726" s="12" t="s">
        <v>123</v>
      </c>
      <c r="D2726" s="12" t="s">
        <v>97</v>
      </c>
      <c r="K2726" s="12">
        <v>-46.2</v>
      </c>
      <c r="L2726" s="12">
        <v>0</v>
      </c>
      <c r="N2726" s="12">
        <v>-184.81</v>
      </c>
      <c r="O2726" s="12">
        <v>-138.61000000000001</v>
      </c>
    </row>
    <row r="2727" spans="1:16" x14ac:dyDescent="0.3">
      <c r="A2727" s="12" t="s">
        <v>94</v>
      </c>
      <c r="B2727" s="12" t="s">
        <v>159</v>
      </c>
      <c r="C2727" s="12" t="s">
        <v>123</v>
      </c>
      <c r="D2727" s="12" t="s">
        <v>293</v>
      </c>
      <c r="O2727" s="12">
        <v>71.45</v>
      </c>
    </row>
    <row r="2728" spans="1:16" x14ac:dyDescent="0.3">
      <c r="A2728" s="12" t="s">
        <v>94</v>
      </c>
      <c r="B2728" s="12" t="s">
        <v>294</v>
      </c>
      <c r="C2728" s="12" t="s">
        <v>120</v>
      </c>
      <c r="D2728" s="12" t="s">
        <v>100</v>
      </c>
      <c r="E2728" s="12" t="s">
        <v>0</v>
      </c>
      <c r="F2728" s="12" t="s">
        <v>269</v>
      </c>
      <c r="G2728" s="12" t="s">
        <v>295</v>
      </c>
      <c r="H2728" s="12" t="s">
        <v>296</v>
      </c>
      <c r="I2728" s="12" t="s">
        <v>297</v>
      </c>
      <c r="J2728" s="12" t="s">
        <v>298</v>
      </c>
      <c r="K2728" s="12" t="s">
        <v>299</v>
      </c>
      <c r="L2728" s="12" t="s">
        <v>165</v>
      </c>
    </row>
    <row r="2729" spans="1:16" x14ac:dyDescent="0.3">
      <c r="A2729" s="12" t="s">
        <v>94</v>
      </c>
      <c r="B2729" s="12" t="s">
        <v>294</v>
      </c>
      <c r="C2729" s="12" t="s">
        <v>123</v>
      </c>
      <c r="D2729" s="12" t="s">
        <v>110</v>
      </c>
      <c r="E2729" s="12" t="s">
        <v>2</v>
      </c>
      <c r="F2729" s="12" t="s">
        <v>300</v>
      </c>
      <c r="G2729" s="12">
        <v>265598</v>
      </c>
      <c r="H2729" s="12" t="s">
        <v>301</v>
      </c>
      <c r="I2729" s="12" t="s">
        <v>302</v>
      </c>
      <c r="J2729" s="12">
        <v>1</v>
      </c>
      <c r="K2729" s="12" t="s">
        <v>303</v>
      </c>
    </row>
    <row r="2730" spans="1:16" x14ac:dyDescent="0.3">
      <c r="A2730" s="12" t="s">
        <v>94</v>
      </c>
      <c r="B2730" s="12" t="s">
        <v>294</v>
      </c>
      <c r="C2730" s="12" t="s">
        <v>123</v>
      </c>
      <c r="D2730" s="12" t="s">
        <v>110</v>
      </c>
      <c r="E2730" s="12" t="s">
        <v>63</v>
      </c>
      <c r="F2730" s="12" t="s">
        <v>940</v>
      </c>
      <c r="G2730" s="12">
        <v>10763362</v>
      </c>
      <c r="H2730" s="12" t="s">
        <v>941</v>
      </c>
      <c r="I2730" s="12" t="s">
        <v>302</v>
      </c>
      <c r="J2730" s="12">
        <v>1</v>
      </c>
      <c r="K2730" s="12" t="s">
        <v>303</v>
      </c>
    </row>
    <row r="2731" spans="1:16" x14ac:dyDescent="0.3">
      <c r="A2731" s="12" t="s">
        <v>94</v>
      </c>
      <c r="B2731" s="12" t="s">
        <v>294</v>
      </c>
      <c r="C2731" s="12" t="s">
        <v>123</v>
      </c>
      <c r="D2731" s="12" t="s">
        <v>110</v>
      </c>
      <c r="E2731" s="12" t="s">
        <v>64</v>
      </c>
      <c r="F2731" s="12" t="s">
        <v>942</v>
      </c>
      <c r="G2731" s="12">
        <v>4157</v>
      </c>
      <c r="H2731" s="12" t="s">
        <v>943</v>
      </c>
      <c r="I2731" s="12" t="s">
        <v>302</v>
      </c>
      <c r="J2731" s="12">
        <v>1</v>
      </c>
      <c r="K2731" s="12" t="s">
        <v>303</v>
      </c>
    </row>
    <row r="2732" spans="1:16" x14ac:dyDescent="0.3">
      <c r="A2732" s="12" t="s">
        <v>94</v>
      </c>
      <c r="B2732" s="12" t="s">
        <v>294</v>
      </c>
      <c r="C2732" s="12" t="s">
        <v>123</v>
      </c>
      <c r="D2732" s="12" t="s">
        <v>110</v>
      </c>
      <c r="E2732" s="12" t="s">
        <v>45</v>
      </c>
      <c r="F2732" s="12" t="s">
        <v>692</v>
      </c>
      <c r="G2732" s="12">
        <v>4391</v>
      </c>
      <c r="H2732" s="12" t="s">
        <v>693</v>
      </c>
      <c r="I2732" s="12" t="s">
        <v>302</v>
      </c>
      <c r="J2732" s="12">
        <v>1</v>
      </c>
      <c r="K2732" s="12" t="s">
        <v>303</v>
      </c>
    </row>
    <row r="2733" spans="1:16" x14ac:dyDescent="0.3">
      <c r="A2733" s="12" t="s">
        <v>94</v>
      </c>
      <c r="B2733" s="12" t="s">
        <v>294</v>
      </c>
      <c r="C2733" s="12" t="s">
        <v>123</v>
      </c>
      <c r="D2733" s="12" t="s">
        <v>110</v>
      </c>
      <c r="E2733" s="12" t="s">
        <v>4</v>
      </c>
      <c r="F2733" s="12" t="s">
        <v>304</v>
      </c>
      <c r="G2733" s="12">
        <v>99831145</v>
      </c>
      <c r="H2733" s="12" t="s">
        <v>305</v>
      </c>
      <c r="I2733" s="12" t="s">
        <v>306</v>
      </c>
      <c r="J2733" s="12">
        <v>1</v>
      </c>
      <c r="K2733" s="12" t="s">
        <v>307</v>
      </c>
    </row>
    <row r="2734" spans="1:16" x14ac:dyDescent="0.3">
      <c r="A2734" s="12" t="s">
        <v>94</v>
      </c>
      <c r="B2734" s="12" t="s">
        <v>294</v>
      </c>
      <c r="C2734" s="12" t="s">
        <v>123</v>
      </c>
      <c r="D2734" s="12" t="s">
        <v>110</v>
      </c>
      <c r="E2734" s="12" t="s">
        <v>5</v>
      </c>
      <c r="F2734" s="12" t="s">
        <v>308</v>
      </c>
      <c r="G2734" s="12">
        <v>3691937</v>
      </c>
      <c r="H2734" s="12" t="s">
        <v>309</v>
      </c>
      <c r="I2734" s="12" t="s">
        <v>302</v>
      </c>
      <c r="J2734" s="12">
        <v>1</v>
      </c>
      <c r="K2734" s="12" t="s">
        <v>303</v>
      </c>
    </row>
    <row r="2735" spans="1:16" x14ac:dyDescent="0.3">
      <c r="A2735" s="12" t="s">
        <v>94</v>
      </c>
      <c r="B2735" s="12" t="s">
        <v>294</v>
      </c>
      <c r="C2735" s="12" t="s">
        <v>123</v>
      </c>
      <c r="D2735" s="12" t="s">
        <v>110</v>
      </c>
      <c r="E2735" s="12" t="s">
        <v>65</v>
      </c>
      <c r="F2735" s="12" t="s">
        <v>944</v>
      </c>
      <c r="G2735" s="12">
        <v>4493</v>
      </c>
      <c r="H2735" s="12" t="s">
        <v>945</v>
      </c>
      <c r="I2735" s="12" t="s">
        <v>306</v>
      </c>
      <c r="J2735" s="12">
        <v>1</v>
      </c>
      <c r="K2735" s="12" t="s">
        <v>303</v>
      </c>
    </row>
    <row r="2736" spans="1:16" x14ac:dyDescent="0.3">
      <c r="A2736" s="12" t="s">
        <v>94</v>
      </c>
      <c r="B2736" s="12" t="s">
        <v>294</v>
      </c>
      <c r="C2736" s="12" t="s">
        <v>123</v>
      </c>
      <c r="D2736" s="12" t="s">
        <v>110</v>
      </c>
      <c r="E2736" s="12" t="s">
        <v>58</v>
      </c>
      <c r="F2736" s="12" t="s">
        <v>834</v>
      </c>
      <c r="G2736" s="12">
        <v>653400472</v>
      </c>
      <c r="H2736" s="12" t="s">
        <v>835</v>
      </c>
      <c r="I2736" s="12" t="s">
        <v>302</v>
      </c>
      <c r="J2736" s="12">
        <v>1</v>
      </c>
      <c r="K2736" s="12" t="s">
        <v>382</v>
      </c>
    </row>
    <row r="2737" spans="1:11" x14ac:dyDescent="0.3">
      <c r="A2737" s="12" t="s">
        <v>94</v>
      </c>
      <c r="B2737" s="12" t="s">
        <v>294</v>
      </c>
      <c r="C2737" s="12" t="s">
        <v>123</v>
      </c>
      <c r="D2737" s="12" t="s">
        <v>110</v>
      </c>
      <c r="E2737" s="12" t="s">
        <v>7</v>
      </c>
      <c r="F2737" s="12" t="s">
        <v>312</v>
      </c>
      <c r="G2737" s="12">
        <v>313130367</v>
      </c>
      <c r="H2737" s="12" t="s">
        <v>313</v>
      </c>
      <c r="I2737" s="12" t="s">
        <v>302</v>
      </c>
      <c r="J2737" s="12">
        <v>1</v>
      </c>
      <c r="K2737" s="12" t="s">
        <v>303</v>
      </c>
    </row>
    <row r="2738" spans="1:11" x14ac:dyDescent="0.3">
      <c r="A2738" s="12" t="s">
        <v>94</v>
      </c>
      <c r="B2738" s="12" t="s">
        <v>294</v>
      </c>
      <c r="C2738" s="12" t="s">
        <v>123</v>
      </c>
      <c r="D2738" s="12" t="s">
        <v>110</v>
      </c>
      <c r="E2738" s="12" t="s">
        <v>8</v>
      </c>
      <c r="F2738" s="12" t="s">
        <v>314</v>
      </c>
      <c r="G2738" s="12">
        <v>10098</v>
      </c>
      <c r="H2738" s="12" t="s">
        <v>315</v>
      </c>
      <c r="I2738" s="12" t="s">
        <v>306</v>
      </c>
      <c r="J2738" s="12">
        <v>1</v>
      </c>
      <c r="K2738" s="12" t="s">
        <v>303</v>
      </c>
    </row>
    <row r="2739" spans="1:11" x14ac:dyDescent="0.3">
      <c r="A2739" s="12" t="s">
        <v>94</v>
      </c>
      <c r="B2739" s="12" t="s">
        <v>294</v>
      </c>
      <c r="C2739" s="12" t="s">
        <v>123</v>
      </c>
      <c r="D2739" s="12" t="s">
        <v>110</v>
      </c>
      <c r="E2739" s="12" t="s">
        <v>3</v>
      </c>
      <c r="F2739" s="12" t="s">
        <v>318</v>
      </c>
      <c r="G2739" s="12">
        <v>87335484</v>
      </c>
      <c r="H2739" s="12" t="s">
        <v>319</v>
      </c>
      <c r="I2739" s="12" t="s">
        <v>306</v>
      </c>
      <c r="J2739" s="12">
        <v>1</v>
      </c>
      <c r="K2739" s="12" t="s">
        <v>303</v>
      </c>
    </row>
    <row r="2740" spans="1:11" x14ac:dyDescent="0.3">
      <c r="A2740" s="12" t="s">
        <v>94</v>
      </c>
      <c r="B2740" s="12" t="s">
        <v>294</v>
      </c>
      <c r="C2740" s="12" t="s">
        <v>123</v>
      </c>
      <c r="D2740" s="12" t="s">
        <v>110</v>
      </c>
      <c r="E2740" s="12" t="s">
        <v>46</v>
      </c>
      <c r="F2740" s="12" t="s">
        <v>694</v>
      </c>
      <c r="G2740" s="12">
        <v>5437</v>
      </c>
      <c r="H2740" s="12" t="s">
        <v>695</v>
      </c>
      <c r="I2740" s="12" t="s">
        <v>306</v>
      </c>
      <c r="J2740" s="12">
        <v>1</v>
      </c>
      <c r="K2740" s="12" t="s">
        <v>303</v>
      </c>
    </row>
    <row r="2741" spans="1:11" x14ac:dyDescent="0.3">
      <c r="A2741" s="12" t="s">
        <v>94</v>
      </c>
      <c r="B2741" s="12" t="s">
        <v>294</v>
      </c>
      <c r="C2741" s="12" t="s">
        <v>123</v>
      </c>
      <c r="D2741" s="12" t="s">
        <v>110</v>
      </c>
      <c r="E2741" s="12" t="s">
        <v>11</v>
      </c>
      <c r="F2741" s="12" t="s">
        <v>322</v>
      </c>
      <c r="G2741" s="12">
        <v>272997</v>
      </c>
      <c r="H2741" s="12" t="s">
        <v>323</v>
      </c>
      <c r="I2741" s="12" t="s">
        <v>302</v>
      </c>
      <c r="J2741" s="12">
        <v>1</v>
      </c>
      <c r="K2741" s="12" t="s">
        <v>303</v>
      </c>
    </row>
    <row r="2742" spans="1:11" x14ac:dyDescent="0.3">
      <c r="A2742" s="12" t="s">
        <v>94</v>
      </c>
      <c r="B2742" s="12" t="s">
        <v>294</v>
      </c>
      <c r="C2742" s="12" t="s">
        <v>123</v>
      </c>
      <c r="D2742" s="12" t="s">
        <v>110</v>
      </c>
      <c r="E2742" s="12" t="s">
        <v>66</v>
      </c>
      <c r="F2742" s="12" t="s">
        <v>946</v>
      </c>
      <c r="G2742" s="12">
        <v>365921621</v>
      </c>
      <c r="H2742" s="12" t="s">
        <v>947</v>
      </c>
      <c r="I2742" s="12" t="s">
        <v>306</v>
      </c>
      <c r="J2742" s="12">
        <v>1</v>
      </c>
      <c r="K2742" s="12" t="s">
        <v>303</v>
      </c>
    </row>
    <row r="2743" spans="1:11" x14ac:dyDescent="0.3">
      <c r="A2743" s="12" t="s">
        <v>94</v>
      </c>
      <c r="B2743" s="12" t="s">
        <v>294</v>
      </c>
      <c r="C2743" s="12" t="s">
        <v>123</v>
      </c>
      <c r="D2743" s="12" t="s">
        <v>110</v>
      </c>
      <c r="E2743" s="12" t="s">
        <v>14</v>
      </c>
      <c r="F2743" s="12" t="s">
        <v>328</v>
      </c>
      <c r="G2743" s="12">
        <v>6442</v>
      </c>
      <c r="H2743" s="12" t="s">
        <v>329</v>
      </c>
      <c r="I2743" s="12" t="s">
        <v>306</v>
      </c>
      <c r="J2743" s="12">
        <v>1</v>
      </c>
      <c r="K2743" s="12" t="s">
        <v>303</v>
      </c>
    </row>
    <row r="2744" spans="1:11" x14ac:dyDescent="0.3">
      <c r="A2744" s="12" t="s">
        <v>94</v>
      </c>
      <c r="B2744" s="12" t="s">
        <v>294</v>
      </c>
      <c r="C2744" s="12" t="s">
        <v>123</v>
      </c>
      <c r="D2744" s="12" t="s">
        <v>110</v>
      </c>
      <c r="E2744" s="12" t="s">
        <v>67</v>
      </c>
      <c r="F2744" s="12" t="s">
        <v>948</v>
      </c>
      <c r="G2744" s="12">
        <v>6682</v>
      </c>
      <c r="H2744" s="12" t="s">
        <v>949</v>
      </c>
      <c r="I2744" s="12" t="s">
        <v>306</v>
      </c>
      <c r="J2744" s="12">
        <v>1</v>
      </c>
      <c r="K2744" s="12" t="s">
        <v>303</v>
      </c>
    </row>
    <row r="2745" spans="1:11" x14ac:dyDescent="0.3">
      <c r="A2745" s="12" t="s">
        <v>94</v>
      </c>
      <c r="B2745" s="12" t="s">
        <v>294</v>
      </c>
      <c r="C2745" s="12" t="s">
        <v>123</v>
      </c>
      <c r="D2745" s="12" t="s">
        <v>110</v>
      </c>
      <c r="E2745" s="12" t="s">
        <v>68</v>
      </c>
      <c r="F2745" s="12" t="s">
        <v>950</v>
      </c>
      <c r="G2745" s="12">
        <v>41622169</v>
      </c>
      <c r="H2745" s="12" t="s">
        <v>951</v>
      </c>
      <c r="I2745" s="12" t="s">
        <v>302</v>
      </c>
      <c r="J2745" s="12">
        <v>1</v>
      </c>
      <c r="K2745" s="12" t="s">
        <v>303</v>
      </c>
    </row>
    <row r="2746" spans="1:11" x14ac:dyDescent="0.3">
      <c r="A2746" s="12" t="s">
        <v>94</v>
      </c>
      <c r="B2746" s="12" t="s">
        <v>294</v>
      </c>
      <c r="C2746" s="12" t="s">
        <v>123</v>
      </c>
      <c r="D2746" s="12" t="s">
        <v>110</v>
      </c>
      <c r="E2746" s="12" t="s">
        <v>18</v>
      </c>
      <c r="F2746" s="12" t="s">
        <v>336</v>
      </c>
      <c r="G2746" s="12">
        <v>7496</v>
      </c>
      <c r="H2746" s="12" t="s">
        <v>337</v>
      </c>
      <c r="I2746" s="12" t="s">
        <v>306</v>
      </c>
      <c r="J2746" s="12">
        <v>1</v>
      </c>
      <c r="K2746" s="12" t="s">
        <v>303</v>
      </c>
    </row>
    <row r="2747" spans="1:11" x14ac:dyDescent="0.3">
      <c r="A2747" s="12" t="s">
        <v>94</v>
      </c>
      <c r="B2747" s="12" t="s">
        <v>294</v>
      </c>
      <c r="C2747" s="12" t="s">
        <v>123</v>
      </c>
      <c r="D2747" s="12" t="s">
        <v>110</v>
      </c>
      <c r="E2747" s="12" t="s">
        <v>48</v>
      </c>
      <c r="F2747" s="12" t="s">
        <v>698</v>
      </c>
      <c r="G2747" s="12">
        <v>498843743</v>
      </c>
      <c r="H2747" s="12" t="s">
        <v>699</v>
      </c>
      <c r="I2747" s="12" t="s">
        <v>306</v>
      </c>
      <c r="J2747" s="12">
        <v>1</v>
      </c>
      <c r="K2747" s="12" t="s">
        <v>303</v>
      </c>
    </row>
    <row r="2748" spans="1:11" x14ac:dyDescent="0.3">
      <c r="A2748" s="12" t="s">
        <v>94</v>
      </c>
      <c r="B2748" s="12" t="s">
        <v>294</v>
      </c>
      <c r="C2748" s="12" t="s">
        <v>123</v>
      </c>
      <c r="D2748" s="12" t="s">
        <v>110</v>
      </c>
      <c r="E2748" s="12" t="s">
        <v>54</v>
      </c>
      <c r="F2748" s="12" t="s">
        <v>761</v>
      </c>
      <c r="G2748" s="12">
        <v>691984365</v>
      </c>
      <c r="H2748" s="12" t="s">
        <v>762</v>
      </c>
      <c r="I2748" s="12" t="s">
        <v>306</v>
      </c>
      <c r="J2748" s="12">
        <v>1</v>
      </c>
      <c r="K2748" s="12" t="s">
        <v>303</v>
      </c>
    </row>
    <row r="2749" spans="1:11" x14ac:dyDescent="0.3">
      <c r="A2749" s="12" t="s">
        <v>94</v>
      </c>
      <c r="B2749" s="12" t="s">
        <v>294</v>
      </c>
      <c r="C2749" s="12" t="s">
        <v>123</v>
      </c>
      <c r="D2749" s="12" t="s">
        <v>110</v>
      </c>
      <c r="E2749" s="12" t="s">
        <v>19</v>
      </c>
      <c r="F2749" s="12" t="s">
        <v>338</v>
      </c>
      <c r="G2749" s="12">
        <v>208813719</v>
      </c>
      <c r="H2749" s="12" t="s">
        <v>339</v>
      </c>
      <c r="I2749" s="12" t="s">
        <v>302</v>
      </c>
      <c r="J2749" s="12">
        <v>1</v>
      </c>
      <c r="K2749" s="12" t="s">
        <v>303</v>
      </c>
    </row>
    <row r="2750" spans="1:11" x14ac:dyDescent="0.3">
      <c r="A2750" s="12" t="s">
        <v>94</v>
      </c>
      <c r="B2750" s="12" t="s">
        <v>294</v>
      </c>
      <c r="C2750" s="12" t="s">
        <v>123</v>
      </c>
      <c r="D2750" s="12" t="s">
        <v>110</v>
      </c>
      <c r="E2750" s="12" t="s">
        <v>69</v>
      </c>
      <c r="F2750" s="12" t="s">
        <v>952</v>
      </c>
      <c r="G2750" s="12">
        <v>85076790</v>
      </c>
      <c r="H2750" s="12" t="s">
        <v>953</v>
      </c>
      <c r="I2750" s="12" t="s">
        <v>306</v>
      </c>
      <c r="J2750" s="12">
        <v>1</v>
      </c>
      <c r="K2750" s="12" t="s">
        <v>303</v>
      </c>
    </row>
    <row r="2751" spans="1:11" x14ac:dyDescent="0.3">
      <c r="A2751" s="12" t="s">
        <v>94</v>
      </c>
      <c r="B2751" s="12" t="s">
        <v>294</v>
      </c>
      <c r="C2751" s="12" t="s">
        <v>123</v>
      </c>
      <c r="D2751" s="12" t="s">
        <v>110</v>
      </c>
      <c r="E2751" s="12" t="s">
        <v>20</v>
      </c>
      <c r="F2751" s="12" t="s">
        <v>340</v>
      </c>
      <c r="G2751" s="12">
        <v>7930</v>
      </c>
      <c r="H2751" s="12" t="s">
        <v>341</v>
      </c>
      <c r="I2751" s="12" t="s">
        <v>306</v>
      </c>
      <c r="J2751" s="12">
        <v>1</v>
      </c>
      <c r="K2751" s="12" t="s">
        <v>303</v>
      </c>
    </row>
    <row r="2752" spans="1:11" x14ac:dyDescent="0.3">
      <c r="A2752" s="12" t="s">
        <v>94</v>
      </c>
      <c r="B2752" s="12" t="s">
        <v>294</v>
      </c>
      <c r="C2752" s="12" t="s">
        <v>123</v>
      </c>
      <c r="D2752" s="12" t="s">
        <v>110</v>
      </c>
      <c r="E2752" s="12" t="s">
        <v>22</v>
      </c>
      <c r="F2752" s="12" t="s">
        <v>344</v>
      </c>
      <c r="G2752" s="12">
        <v>403121976</v>
      </c>
      <c r="H2752" s="12" t="s">
        <v>345</v>
      </c>
      <c r="I2752" s="12" t="s">
        <v>306</v>
      </c>
      <c r="J2752" s="12">
        <v>1</v>
      </c>
      <c r="K2752" s="12" t="s">
        <v>303</v>
      </c>
    </row>
    <row r="2753" spans="1:11" x14ac:dyDescent="0.3">
      <c r="A2753" s="12" t="s">
        <v>94</v>
      </c>
      <c r="B2753" s="12" t="s">
        <v>294</v>
      </c>
      <c r="C2753" s="12" t="s">
        <v>123</v>
      </c>
      <c r="D2753" s="12" t="s">
        <v>110</v>
      </c>
      <c r="E2753" s="12" t="s">
        <v>37</v>
      </c>
      <c r="F2753" s="12" t="s">
        <v>613</v>
      </c>
      <c r="G2753" s="12">
        <v>8314</v>
      </c>
      <c r="H2753" s="12" t="s">
        <v>614</v>
      </c>
      <c r="I2753" s="12" t="s">
        <v>306</v>
      </c>
      <c r="J2753" s="12">
        <v>1</v>
      </c>
      <c r="K2753" s="12" t="s">
        <v>303</v>
      </c>
    </row>
    <row r="2754" spans="1:11" x14ac:dyDescent="0.3">
      <c r="A2754" s="12" t="s">
        <v>94</v>
      </c>
      <c r="B2754" s="12" t="s">
        <v>294</v>
      </c>
      <c r="C2754" s="12" t="s">
        <v>123</v>
      </c>
      <c r="D2754" s="12" t="s">
        <v>110</v>
      </c>
      <c r="E2754" s="12" t="s">
        <v>24</v>
      </c>
      <c r="F2754" s="12" t="s">
        <v>348</v>
      </c>
      <c r="G2754" s="12">
        <v>404509190</v>
      </c>
      <c r="H2754" s="12" t="s">
        <v>349</v>
      </c>
      <c r="I2754" s="12" t="s">
        <v>306</v>
      </c>
      <c r="J2754" s="12">
        <v>1</v>
      </c>
      <c r="K2754" s="12" t="s">
        <v>303</v>
      </c>
    </row>
    <row r="2755" spans="1:11" x14ac:dyDescent="0.3">
      <c r="A2755" s="12" t="s">
        <v>94</v>
      </c>
      <c r="B2755" s="12" t="s">
        <v>294</v>
      </c>
      <c r="C2755" s="12" t="s">
        <v>123</v>
      </c>
      <c r="D2755" s="12" t="s">
        <v>110</v>
      </c>
      <c r="E2755" s="12" t="s">
        <v>70</v>
      </c>
      <c r="F2755" s="12" t="s">
        <v>954</v>
      </c>
      <c r="G2755" s="12">
        <v>1520593</v>
      </c>
      <c r="H2755" s="12" t="s">
        <v>955</v>
      </c>
      <c r="I2755" s="12" t="s">
        <v>306</v>
      </c>
      <c r="J2755" s="12">
        <v>1</v>
      </c>
      <c r="K2755" s="12" t="s">
        <v>303</v>
      </c>
    </row>
    <row r="2756" spans="1:11" x14ac:dyDescent="0.3">
      <c r="A2756" s="12" t="s">
        <v>94</v>
      </c>
      <c r="B2756" s="12" t="s">
        <v>294</v>
      </c>
      <c r="C2756" s="12" t="s">
        <v>123</v>
      </c>
      <c r="D2756" s="12" t="s">
        <v>110</v>
      </c>
      <c r="E2756" s="12" t="s">
        <v>59</v>
      </c>
      <c r="F2756" s="12" t="s">
        <v>836</v>
      </c>
      <c r="G2756" s="12">
        <v>8894</v>
      </c>
      <c r="H2756" s="12" t="s">
        <v>837</v>
      </c>
      <c r="I2756" s="12" t="s">
        <v>306</v>
      </c>
      <c r="J2756" s="12">
        <v>1</v>
      </c>
      <c r="K2756" s="12" t="s">
        <v>303</v>
      </c>
    </row>
    <row r="2757" spans="1:11" x14ac:dyDescent="0.3">
      <c r="A2757" s="12" t="s">
        <v>94</v>
      </c>
      <c r="B2757" s="12" t="s">
        <v>294</v>
      </c>
      <c r="C2757" s="12" t="s">
        <v>123</v>
      </c>
      <c r="D2757" s="12" t="s">
        <v>110</v>
      </c>
      <c r="E2757" s="12" t="s">
        <v>49</v>
      </c>
      <c r="F2757" s="12" t="s">
        <v>700</v>
      </c>
      <c r="G2757" s="12">
        <v>9160</v>
      </c>
      <c r="H2757" s="12" t="s">
        <v>701</v>
      </c>
      <c r="I2757" s="12" t="s">
        <v>306</v>
      </c>
      <c r="J2757" s="12">
        <v>1</v>
      </c>
      <c r="K2757" s="12" t="s">
        <v>303</v>
      </c>
    </row>
    <row r="2758" spans="1:11" x14ac:dyDescent="0.3">
      <c r="A2758" s="12" t="s">
        <v>94</v>
      </c>
      <c r="B2758" s="12" t="s">
        <v>294</v>
      </c>
      <c r="C2758" s="12" t="s">
        <v>123</v>
      </c>
      <c r="D2758" s="12" t="s">
        <v>110</v>
      </c>
      <c r="E2758" s="12" t="s">
        <v>26</v>
      </c>
      <c r="F2758" s="12" t="s">
        <v>352</v>
      </c>
      <c r="G2758" s="12">
        <v>6497</v>
      </c>
      <c r="H2758" s="12" t="s">
        <v>353</v>
      </c>
      <c r="I2758" s="12" t="s">
        <v>306</v>
      </c>
      <c r="J2758" s="12">
        <v>1</v>
      </c>
      <c r="K2758" s="12" t="s">
        <v>303</v>
      </c>
    </row>
    <row r="2759" spans="1:11" x14ac:dyDescent="0.3">
      <c r="A2759" s="12" t="s">
        <v>94</v>
      </c>
      <c r="B2759" s="12" t="s">
        <v>294</v>
      </c>
      <c r="C2759" s="12" t="s">
        <v>123</v>
      </c>
      <c r="D2759" s="12" t="s">
        <v>110</v>
      </c>
      <c r="E2759" s="12" t="s">
        <v>27</v>
      </c>
      <c r="F2759" s="12" t="s">
        <v>354</v>
      </c>
      <c r="G2759" s="12">
        <v>107113386</v>
      </c>
      <c r="H2759" s="12" t="s">
        <v>355</v>
      </c>
      <c r="I2759" s="12" t="s">
        <v>302</v>
      </c>
      <c r="J2759" s="12">
        <v>1</v>
      </c>
      <c r="K2759" s="12" t="s">
        <v>303</v>
      </c>
    </row>
    <row r="2760" spans="1:11" x14ac:dyDescent="0.3">
      <c r="A2760" s="12" t="s">
        <v>94</v>
      </c>
      <c r="B2760" s="12" t="s">
        <v>294</v>
      </c>
      <c r="C2760" s="12" t="s">
        <v>123</v>
      </c>
      <c r="D2760" s="12" t="s">
        <v>110</v>
      </c>
      <c r="E2760" s="12" t="s">
        <v>28</v>
      </c>
      <c r="F2760" s="12" t="s">
        <v>356</v>
      </c>
      <c r="G2760" s="12">
        <v>272093</v>
      </c>
      <c r="H2760" s="12" t="s">
        <v>357</v>
      </c>
      <c r="I2760" s="12" t="s">
        <v>302</v>
      </c>
      <c r="J2760" s="12">
        <v>1</v>
      </c>
      <c r="K2760" s="12" t="s">
        <v>303</v>
      </c>
    </row>
    <row r="2761" spans="1:11" x14ac:dyDescent="0.3">
      <c r="A2761" s="12" t="s">
        <v>94</v>
      </c>
      <c r="B2761" s="12" t="s">
        <v>294</v>
      </c>
      <c r="C2761" s="12" t="s">
        <v>123</v>
      </c>
      <c r="D2761" s="12" t="s">
        <v>110</v>
      </c>
      <c r="E2761" s="12" t="s">
        <v>55</v>
      </c>
      <c r="F2761" s="12" t="s">
        <v>763</v>
      </c>
      <c r="G2761" s="12">
        <v>9939</v>
      </c>
      <c r="H2761" s="12" t="s">
        <v>764</v>
      </c>
      <c r="I2761" s="12" t="s">
        <v>302</v>
      </c>
      <c r="J2761" s="12">
        <v>1</v>
      </c>
      <c r="K2761" s="12" t="s">
        <v>303</v>
      </c>
    </row>
    <row r="2762" spans="1:11" x14ac:dyDescent="0.3">
      <c r="A2762" s="12" t="s">
        <v>94</v>
      </c>
      <c r="B2762" s="12" t="s">
        <v>294</v>
      </c>
      <c r="C2762" s="12" t="s">
        <v>123</v>
      </c>
      <c r="D2762" s="12" t="s">
        <v>110</v>
      </c>
      <c r="E2762" s="12" t="s">
        <v>50</v>
      </c>
      <c r="F2762" s="12" t="s">
        <v>702</v>
      </c>
      <c r="G2762" s="12">
        <v>109911821</v>
      </c>
      <c r="H2762" s="12" t="s">
        <v>703</v>
      </c>
      <c r="I2762" s="12" t="s">
        <v>306</v>
      </c>
      <c r="J2762" s="12">
        <v>1</v>
      </c>
      <c r="K2762" s="12" t="s">
        <v>303</v>
      </c>
    </row>
    <row r="2763" spans="1:11" x14ac:dyDescent="0.3">
      <c r="A2763" s="12" t="s">
        <v>94</v>
      </c>
      <c r="B2763" s="12" t="s">
        <v>294</v>
      </c>
      <c r="C2763" s="12" t="s">
        <v>123</v>
      </c>
      <c r="D2763" s="12" t="s">
        <v>110</v>
      </c>
      <c r="E2763" s="12" t="s">
        <v>71</v>
      </c>
      <c r="F2763" s="12" t="s">
        <v>956</v>
      </c>
      <c r="G2763" s="12">
        <v>4815747</v>
      </c>
      <c r="H2763" s="12" t="s">
        <v>957</v>
      </c>
      <c r="I2763" s="12" t="s">
        <v>302</v>
      </c>
      <c r="J2763" s="12">
        <v>1</v>
      </c>
      <c r="K2763" s="12" t="s">
        <v>303</v>
      </c>
    </row>
    <row r="2764" spans="1:11" x14ac:dyDescent="0.3">
      <c r="A2764" s="12" t="s">
        <v>94</v>
      </c>
      <c r="B2764" s="12" t="s">
        <v>294</v>
      </c>
      <c r="C2764" s="12" t="s">
        <v>123</v>
      </c>
      <c r="D2764" s="12" t="s">
        <v>110</v>
      </c>
      <c r="E2764" s="12" t="s">
        <v>56</v>
      </c>
      <c r="F2764" s="12" t="s">
        <v>765</v>
      </c>
      <c r="G2764" s="12">
        <v>10611</v>
      </c>
      <c r="H2764" s="12" t="s">
        <v>766</v>
      </c>
      <c r="I2764" s="12" t="s">
        <v>306</v>
      </c>
      <c r="J2764" s="12">
        <v>1</v>
      </c>
      <c r="K2764" s="12" t="s">
        <v>382</v>
      </c>
    </row>
    <row r="2765" spans="1:11" x14ac:dyDescent="0.3">
      <c r="A2765" s="12" t="s">
        <v>94</v>
      </c>
      <c r="B2765" s="12" t="s">
        <v>294</v>
      </c>
      <c r="C2765" s="12" t="s">
        <v>123</v>
      </c>
      <c r="D2765" s="12" t="s">
        <v>110</v>
      </c>
      <c r="E2765" s="12" t="s">
        <v>72</v>
      </c>
      <c r="F2765" s="12" t="s">
        <v>958</v>
      </c>
      <c r="G2765" s="12">
        <v>77791077</v>
      </c>
      <c r="H2765" s="12" t="s">
        <v>959</v>
      </c>
      <c r="I2765" s="12" t="s">
        <v>302</v>
      </c>
      <c r="J2765" s="12">
        <v>1</v>
      </c>
      <c r="K2765" s="12" t="s">
        <v>303</v>
      </c>
    </row>
    <row r="2766" spans="1:11" x14ac:dyDescent="0.3">
      <c r="A2766" s="12" t="s">
        <v>94</v>
      </c>
      <c r="B2766" s="12" t="s">
        <v>294</v>
      </c>
      <c r="C2766" s="12" t="s">
        <v>123</v>
      </c>
      <c r="D2766" s="12" t="s">
        <v>110</v>
      </c>
      <c r="E2766" s="12" t="s">
        <v>57</v>
      </c>
      <c r="F2766" s="12" t="s">
        <v>767</v>
      </c>
      <c r="G2766" s="12">
        <v>272800</v>
      </c>
      <c r="H2766" s="12" t="s">
        <v>768</v>
      </c>
      <c r="I2766" s="12" t="s">
        <v>306</v>
      </c>
      <c r="J2766" s="12">
        <v>1</v>
      </c>
      <c r="K2766" s="12" t="s">
        <v>303</v>
      </c>
    </row>
    <row r="2767" spans="1:11" x14ac:dyDescent="0.3">
      <c r="A2767" s="12" t="s">
        <v>94</v>
      </c>
      <c r="B2767" s="12" t="s">
        <v>294</v>
      </c>
      <c r="C2767" s="12" t="s">
        <v>123</v>
      </c>
      <c r="D2767" s="12" t="s">
        <v>110</v>
      </c>
      <c r="E2767" s="12" t="s">
        <v>29</v>
      </c>
      <c r="F2767" s="12" t="s">
        <v>358</v>
      </c>
      <c r="G2767" s="12">
        <v>110619459</v>
      </c>
      <c r="H2767" s="12" t="s">
        <v>359</v>
      </c>
      <c r="I2767" s="12" t="s">
        <v>302</v>
      </c>
      <c r="J2767" s="12">
        <v>1</v>
      </c>
      <c r="K2767" s="12" t="s">
        <v>303</v>
      </c>
    </row>
    <row r="2768" spans="1:11" x14ac:dyDescent="0.3">
      <c r="A2768" s="12" t="s">
        <v>94</v>
      </c>
      <c r="B2768" s="12" t="s">
        <v>294</v>
      </c>
      <c r="C2768" s="12" t="s">
        <v>123</v>
      </c>
      <c r="D2768" s="12" t="s">
        <v>110</v>
      </c>
      <c r="E2768" s="12" t="s">
        <v>73</v>
      </c>
      <c r="F2768" s="12" t="s">
        <v>960</v>
      </c>
      <c r="G2768" s="12">
        <v>105669270</v>
      </c>
      <c r="H2768" s="12" t="s">
        <v>961</v>
      </c>
      <c r="I2768" s="12" t="s">
        <v>306</v>
      </c>
      <c r="J2768" s="12">
        <v>1</v>
      </c>
      <c r="K2768" s="12" t="s">
        <v>303</v>
      </c>
    </row>
    <row r="2769" spans="1:11" x14ac:dyDescent="0.3">
      <c r="A2769" s="12" t="s">
        <v>94</v>
      </c>
      <c r="B2769" s="12" t="s">
        <v>294</v>
      </c>
      <c r="C2769" s="12" t="s">
        <v>123</v>
      </c>
      <c r="D2769" s="12" t="s">
        <v>110</v>
      </c>
      <c r="E2769" s="12" t="s">
        <v>74</v>
      </c>
      <c r="F2769" s="12" t="s">
        <v>962</v>
      </c>
      <c r="G2769" s="12">
        <v>6608432</v>
      </c>
      <c r="H2769" s="12" t="s">
        <v>963</v>
      </c>
      <c r="I2769" s="12" t="s">
        <v>306</v>
      </c>
      <c r="J2769" s="12">
        <v>1</v>
      </c>
      <c r="K2769" s="12" t="s">
        <v>303</v>
      </c>
    </row>
    <row r="2770" spans="1:11" x14ac:dyDescent="0.3">
      <c r="A2770" s="12" t="s">
        <v>94</v>
      </c>
      <c r="B2770" s="12" t="s">
        <v>294</v>
      </c>
      <c r="C2770" s="12" t="s">
        <v>123</v>
      </c>
      <c r="D2770" s="12" t="s">
        <v>110</v>
      </c>
      <c r="E2770" s="12" t="s">
        <v>39</v>
      </c>
      <c r="F2770" s="12" t="s">
        <v>617</v>
      </c>
      <c r="G2770" s="12">
        <v>273544</v>
      </c>
      <c r="H2770" s="12" t="s">
        <v>618</v>
      </c>
      <c r="I2770" s="12" t="s">
        <v>302</v>
      </c>
      <c r="J2770" s="12">
        <v>1</v>
      </c>
      <c r="K2770" s="12" t="s">
        <v>303</v>
      </c>
    </row>
    <row r="2771" spans="1:11" x14ac:dyDescent="0.3">
      <c r="A2771" s="12" t="s">
        <v>94</v>
      </c>
      <c r="B2771" s="12" t="s">
        <v>294</v>
      </c>
      <c r="C2771" s="12" t="s">
        <v>123</v>
      </c>
      <c r="D2771" s="12" t="s">
        <v>110</v>
      </c>
      <c r="E2771" s="12" t="s">
        <v>75</v>
      </c>
      <c r="F2771" s="12" t="s">
        <v>964</v>
      </c>
      <c r="G2771" s="12">
        <v>273733</v>
      </c>
      <c r="H2771" s="12" t="s">
        <v>965</v>
      </c>
      <c r="I2771" s="12" t="s">
        <v>302</v>
      </c>
      <c r="J2771" s="12">
        <v>1</v>
      </c>
      <c r="K2771" s="12" t="s">
        <v>303</v>
      </c>
    </row>
    <row r="2772" spans="1:11" x14ac:dyDescent="0.3">
      <c r="A2772" s="12" t="s">
        <v>94</v>
      </c>
      <c r="B2772" s="12" t="s">
        <v>294</v>
      </c>
      <c r="C2772" s="12" t="s">
        <v>123</v>
      </c>
      <c r="D2772" s="12" t="s">
        <v>110</v>
      </c>
      <c r="E2772" s="12" t="s">
        <v>76</v>
      </c>
      <c r="F2772" s="12" t="s">
        <v>966</v>
      </c>
      <c r="G2772" s="12">
        <v>415342104</v>
      </c>
      <c r="H2772" s="12" t="s">
        <v>967</v>
      </c>
      <c r="I2772" s="12" t="s">
        <v>306</v>
      </c>
      <c r="J2772" s="12">
        <v>1</v>
      </c>
      <c r="K2772" s="12" t="s">
        <v>303</v>
      </c>
    </row>
    <row r="2773" spans="1:11" x14ac:dyDescent="0.3">
      <c r="A2773" s="12" t="s">
        <v>94</v>
      </c>
      <c r="B2773" s="12" t="s">
        <v>294</v>
      </c>
      <c r="C2773" s="12" t="s">
        <v>123</v>
      </c>
      <c r="D2773" s="12" t="s">
        <v>110</v>
      </c>
      <c r="E2773" s="12" t="s">
        <v>51</v>
      </c>
      <c r="F2773" s="12" t="s">
        <v>704</v>
      </c>
      <c r="G2773" s="12">
        <v>43261373</v>
      </c>
      <c r="H2773" s="12" t="s">
        <v>705</v>
      </c>
      <c r="I2773" s="12" t="s">
        <v>302</v>
      </c>
      <c r="J2773" s="12">
        <v>1</v>
      </c>
      <c r="K2773" s="12" t="s">
        <v>303</v>
      </c>
    </row>
    <row r="2774" spans="1:11" x14ac:dyDescent="0.3">
      <c r="A2774" s="12" t="s">
        <v>94</v>
      </c>
      <c r="B2774" s="12" t="s">
        <v>294</v>
      </c>
      <c r="C2774" s="12" t="s">
        <v>123</v>
      </c>
      <c r="D2774" s="12" t="s">
        <v>110</v>
      </c>
      <c r="E2774" s="12" t="s">
        <v>77</v>
      </c>
      <c r="F2774" s="12" t="s">
        <v>968</v>
      </c>
      <c r="G2774" s="12">
        <v>76792991</v>
      </c>
      <c r="H2774" s="12" t="s">
        <v>969</v>
      </c>
      <c r="I2774" s="12" t="s">
        <v>302</v>
      </c>
      <c r="J2774" s="12">
        <v>1</v>
      </c>
      <c r="K2774" s="12" t="s">
        <v>303</v>
      </c>
    </row>
    <row r="2775" spans="1:11" x14ac:dyDescent="0.3">
      <c r="A2775" s="12" t="s">
        <v>94</v>
      </c>
      <c r="B2775" s="12" t="s">
        <v>294</v>
      </c>
      <c r="C2775" s="12" t="s">
        <v>123</v>
      </c>
      <c r="D2775" s="12" t="s">
        <v>110</v>
      </c>
      <c r="E2775" s="12" t="s">
        <v>78</v>
      </c>
      <c r="F2775" s="12" t="s">
        <v>970</v>
      </c>
      <c r="G2775" s="12">
        <v>13096</v>
      </c>
      <c r="H2775" s="12" t="s">
        <v>971</v>
      </c>
      <c r="I2775" s="12" t="s">
        <v>302</v>
      </c>
      <c r="J2775" s="12">
        <v>1</v>
      </c>
      <c r="K2775" s="12" t="s">
        <v>303</v>
      </c>
    </row>
    <row r="2776" spans="1:11" x14ac:dyDescent="0.3">
      <c r="A2776" s="12" t="s">
        <v>94</v>
      </c>
      <c r="B2776" s="12" t="s">
        <v>294</v>
      </c>
      <c r="C2776" s="12" t="s">
        <v>123</v>
      </c>
      <c r="D2776" s="12" t="s">
        <v>110</v>
      </c>
      <c r="E2776" s="12" t="s">
        <v>32</v>
      </c>
      <c r="F2776" s="12" t="s">
        <v>364</v>
      </c>
      <c r="G2776" s="12">
        <v>365207014</v>
      </c>
      <c r="H2776" s="12" t="s">
        <v>365</v>
      </c>
      <c r="I2776" s="12" t="s">
        <v>306</v>
      </c>
      <c r="J2776" s="12">
        <v>1</v>
      </c>
      <c r="K2776" s="12" t="s">
        <v>303</v>
      </c>
    </row>
    <row r="2777" spans="1:11" x14ac:dyDescent="0.3">
      <c r="A2777" s="12" t="s">
        <v>94</v>
      </c>
      <c r="B2777" s="12" t="s">
        <v>294</v>
      </c>
      <c r="C2777" s="12" t="s">
        <v>123</v>
      </c>
      <c r="D2777" s="12" t="s">
        <v>110</v>
      </c>
      <c r="E2777" s="12" t="s">
        <v>60</v>
      </c>
      <c r="F2777" s="12" t="s">
        <v>838</v>
      </c>
      <c r="G2777" s="12">
        <v>13272</v>
      </c>
      <c r="H2777" s="12" t="s">
        <v>839</v>
      </c>
      <c r="I2777" s="12" t="s">
        <v>306</v>
      </c>
      <c r="J2777" s="12">
        <v>1</v>
      </c>
      <c r="K2777" s="12" t="s">
        <v>303</v>
      </c>
    </row>
    <row r="2778" spans="1:11" x14ac:dyDescent="0.3">
      <c r="A2778" s="12" t="s">
        <v>94</v>
      </c>
      <c r="B2778" s="12" t="s">
        <v>294</v>
      </c>
      <c r="C2778" s="12" t="s">
        <v>123</v>
      </c>
      <c r="D2778" s="12" t="s">
        <v>110</v>
      </c>
      <c r="E2778" s="12" t="s">
        <v>61</v>
      </c>
      <c r="F2778" s="12" t="s">
        <v>840</v>
      </c>
      <c r="G2778" s="12">
        <v>4215217</v>
      </c>
      <c r="H2778" s="12" t="s">
        <v>841</v>
      </c>
      <c r="I2778" s="12" t="s">
        <v>623</v>
      </c>
      <c r="J2778" s="12">
        <v>1</v>
      </c>
      <c r="K2778" s="12" t="s">
        <v>413</v>
      </c>
    </row>
    <row r="2779" spans="1:11" x14ac:dyDescent="0.3">
      <c r="A2779" s="12" t="s">
        <v>94</v>
      </c>
      <c r="B2779" s="12" t="s">
        <v>294</v>
      </c>
      <c r="C2779" s="12" t="s">
        <v>123</v>
      </c>
      <c r="D2779" s="12" t="s">
        <v>110</v>
      </c>
      <c r="E2779" s="12" t="s">
        <v>62</v>
      </c>
      <c r="F2779" s="12" t="s">
        <v>842</v>
      </c>
      <c r="G2779" s="12">
        <v>4215220</v>
      </c>
      <c r="H2779" s="12" t="s">
        <v>843</v>
      </c>
      <c r="I2779" s="12" t="s">
        <v>623</v>
      </c>
      <c r="J2779" s="12">
        <v>1</v>
      </c>
      <c r="K2779" s="12" t="s">
        <v>413</v>
      </c>
    </row>
    <row r="2780" spans="1:11" x14ac:dyDescent="0.3">
      <c r="A2780" s="12" t="s">
        <v>94</v>
      </c>
      <c r="B2780" s="12" t="s">
        <v>294</v>
      </c>
      <c r="C2780" s="12" t="s">
        <v>123</v>
      </c>
      <c r="D2780" s="12" t="s">
        <v>110</v>
      </c>
      <c r="E2780" s="12" t="s">
        <v>41</v>
      </c>
      <c r="F2780" s="12" t="s">
        <v>621</v>
      </c>
      <c r="G2780" s="12">
        <v>319359438</v>
      </c>
      <c r="H2780" s="12" t="s">
        <v>622</v>
      </c>
      <c r="I2780" s="12" t="s">
        <v>623</v>
      </c>
      <c r="J2780" s="12">
        <v>1</v>
      </c>
      <c r="K2780" s="12" t="s">
        <v>413</v>
      </c>
    </row>
    <row r="2781" spans="1:11" x14ac:dyDescent="0.3">
      <c r="A2781" s="12" t="s">
        <v>94</v>
      </c>
      <c r="B2781" s="12" t="s">
        <v>294</v>
      </c>
      <c r="C2781" s="12" t="s">
        <v>123</v>
      </c>
      <c r="D2781" s="12" t="s">
        <v>110</v>
      </c>
      <c r="E2781" s="12" t="s">
        <v>79</v>
      </c>
      <c r="F2781" s="12" t="s">
        <v>972</v>
      </c>
      <c r="G2781" s="12">
        <v>4215227</v>
      </c>
      <c r="H2781" s="12" t="s">
        <v>973</v>
      </c>
      <c r="I2781" s="12" t="s">
        <v>623</v>
      </c>
      <c r="J2781" s="12">
        <v>1</v>
      </c>
      <c r="K2781" s="12" t="s">
        <v>413</v>
      </c>
    </row>
    <row r="2782" spans="1:11" x14ac:dyDescent="0.3">
      <c r="A2782" s="12" t="s">
        <v>94</v>
      </c>
      <c r="B2782" s="12" t="s">
        <v>294</v>
      </c>
      <c r="C2782" s="12" t="s">
        <v>123</v>
      </c>
      <c r="D2782" s="12" t="s">
        <v>110</v>
      </c>
      <c r="E2782" s="12" t="s">
        <v>42</v>
      </c>
      <c r="F2782" s="12" t="s">
        <v>624</v>
      </c>
      <c r="G2782" s="12">
        <v>4215230</v>
      </c>
      <c r="H2782" s="12" t="s">
        <v>625</v>
      </c>
      <c r="I2782" s="12" t="s">
        <v>623</v>
      </c>
      <c r="J2782" s="12">
        <v>1</v>
      </c>
      <c r="K2782" s="12" t="s">
        <v>413</v>
      </c>
    </row>
    <row r="2783" spans="1:11" x14ac:dyDescent="0.3">
      <c r="A2783" s="12" t="s">
        <v>94</v>
      </c>
      <c r="B2783" s="12" t="s">
        <v>294</v>
      </c>
      <c r="C2783" s="12" t="s">
        <v>123</v>
      </c>
      <c r="D2783" s="12" t="s">
        <v>110</v>
      </c>
      <c r="E2783" s="12" t="s">
        <v>43</v>
      </c>
      <c r="F2783" s="12" t="s">
        <v>626</v>
      </c>
      <c r="G2783" s="12">
        <v>4215235</v>
      </c>
      <c r="H2783" s="12" t="s">
        <v>627</v>
      </c>
      <c r="I2783" s="12" t="s">
        <v>623</v>
      </c>
      <c r="J2783" s="12">
        <v>1</v>
      </c>
      <c r="K2783" s="12" t="s">
        <v>413</v>
      </c>
    </row>
    <row r="2784" spans="1:11" x14ac:dyDescent="0.3">
      <c r="A2784" s="12" t="s">
        <v>94</v>
      </c>
      <c r="B2784" s="12" t="s">
        <v>294</v>
      </c>
      <c r="C2784" s="12" t="s">
        <v>123</v>
      </c>
      <c r="D2784" s="12" t="s">
        <v>110</v>
      </c>
      <c r="E2784" s="12" t="s">
        <v>44</v>
      </c>
      <c r="F2784" s="12" t="s">
        <v>628</v>
      </c>
      <c r="G2784" s="12">
        <v>4215205</v>
      </c>
      <c r="H2784" s="12" t="s">
        <v>629</v>
      </c>
      <c r="I2784" s="12" t="s">
        <v>623</v>
      </c>
      <c r="J2784" s="12">
        <v>1</v>
      </c>
      <c r="K2784" s="12" t="s">
        <v>413</v>
      </c>
    </row>
    <row r="2785" spans="1:12" x14ac:dyDescent="0.3">
      <c r="A2785" s="12" t="s">
        <v>94</v>
      </c>
      <c r="B2785" s="12" t="s">
        <v>294</v>
      </c>
      <c r="C2785" s="12" t="s">
        <v>123</v>
      </c>
      <c r="D2785" s="12" t="s">
        <v>110</v>
      </c>
      <c r="E2785" s="12" t="s">
        <v>35</v>
      </c>
      <c r="F2785" s="12" t="s">
        <v>370</v>
      </c>
      <c r="G2785" s="12">
        <v>13977</v>
      </c>
      <c r="H2785" s="12" t="s">
        <v>371</v>
      </c>
      <c r="I2785" s="12" t="s">
        <v>306</v>
      </c>
      <c r="J2785" s="12">
        <v>1</v>
      </c>
      <c r="K2785" s="12" t="s">
        <v>303</v>
      </c>
    </row>
    <row r="2786" spans="1:12" x14ac:dyDescent="0.3">
      <c r="A2786" s="12" t="s">
        <v>94</v>
      </c>
      <c r="B2786" s="12" t="s">
        <v>294</v>
      </c>
      <c r="C2786" s="12" t="s">
        <v>120</v>
      </c>
      <c r="D2786" s="12" t="s">
        <v>100</v>
      </c>
      <c r="E2786" s="12" t="s">
        <v>0</v>
      </c>
      <c r="F2786" s="12" t="s">
        <v>269</v>
      </c>
      <c r="G2786" s="12" t="s">
        <v>295</v>
      </c>
      <c r="H2786" s="12" t="s">
        <v>297</v>
      </c>
      <c r="I2786" s="12" t="s">
        <v>298</v>
      </c>
      <c r="J2786" s="12" t="s">
        <v>372</v>
      </c>
      <c r="K2786" s="12" t="s">
        <v>373</v>
      </c>
      <c r="L2786" s="12" t="s">
        <v>165</v>
      </c>
    </row>
    <row r="2787" spans="1:12" x14ac:dyDescent="0.3">
      <c r="A2787" s="12" t="s">
        <v>94</v>
      </c>
      <c r="B2787" s="12" t="s">
        <v>294</v>
      </c>
      <c r="C2787" s="12" t="s">
        <v>123</v>
      </c>
      <c r="D2787" s="12" t="s">
        <v>112</v>
      </c>
      <c r="E2787" s="12" t="s">
        <v>52</v>
      </c>
      <c r="F2787" s="12" t="s">
        <v>706</v>
      </c>
      <c r="G2787" s="12">
        <v>620731036</v>
      </c>
      <c r="H2787" s="12" t="s">
        <v>375</v>
      </c>
      <c r="I2787" s="12">
        <v>5</v>
      </c>
      <c r="J2787" s="20">
        <v>45464</v>
      </c>
      <c r="K2787" s="12" t="s">
        <v>94</v>
      </c>
    </row>
    <row r="2788" spans="1:12" x14ac:dyDescent="0.3">
      <c r="A2788" s="12" t="s">
        <v>94</v>
      </c>
      <c r="B2788" s="12" t="s">
        <v>294</v>
      </c>
      <c r="C2788" s="12" t="s">
        <v>123</v>
      </c>
      <c r="D2788" s="12" t="s">
        <v>112</v>
      </c>
      <c r="E2788" s="12" t="s">
        <v>80</v>
      </c>
      <c r="F2788" s="12" t="s">
        <v>974</v>
      </c>
      <c r="G2788" s="12">
        <v>637533398</v>
      </c>
      <c r="H2788" s="12" t="s">
        <v>375</v>
      </c>
      <c r="I2788" s="12">
        <v>5</v>
      </c>
      <c r="J2788" s="20">
        <v>45555</v>
      </c>
      <c r="K2788" s="12" t="s">
        <v>770</v>
      </c>
    </row>
    <row r="2789" spans="1:12" x14ac:dyDescent="0.3">
      <c r="A2789" s="12" t="s">
        <v>94</v>
      </c>
      <c r="B2789" s="12" t="s">
        <v>294</v>
      </c>
      <c r="C2789" s="12" t="s">
        <v>123</v>
      </c>
      <c r="D2789" s="12" t="s">
        <v>112</v>
      </c>
      <c r="E2789" s="12" t="s">
        <v>53</v>
      </c>
      <c r="F2789" s="12" t="s">
        <v>707</v>
      </c>
      <c r="G2789" s="12">
        <v>620730945</v>
      </c>
      <c r="H2789" s="12" t="s">
        <v>375</v>
      </c>
      <c r="I2789" s="12">
        <v>2</v>
      </c>
      <c r="J2789" s="20">
        <v>45464</v>
      </c>
      <c r="K2789" s="12" t="s">
        <v>94</v>
      </c>
    </row>
    <row r="2790" spans="1:12" x14ac:dyDescent="0.3">
      <c r="A2790" s="12" t="s">
        <v>94</v>
      </c>
      <c r="B2790" s="12" t="s">
        <v>294</v>
      </c>
      <c r="C2790" s="12" t="s">
        <v>123</v>
      </c>
      <c r="D2790" s="12" t="s">
        <v>112</v>
      </c>
      <c r="E2790" s="12" t="s">
        <v>81</v>
      </c>
      <c r="F2790" s="12" t="s">
        <v>975</v>
      </c>
      <c r="G2790" s="12">
        <v>637533593</v>
      </c>
      <c r="H2790" s="12" t="s">
        <v>375</v>
      </c>
      <c r="I2790" s="12">
        <v>2</v>
      </c>
      <c r="J2790" s="20">
        <v>45555</v>
      </c>
      <c r="K2790" s="12" t="s">
        <v>770</v>
      </c>
    </row>
    <row r="2791" spans="1:12" x14ac:dyDescent="0.3">
      <c r="A2791" s="12" t="s">
        <v>94</v>
      </c>
      <c r="B2791" s="12" t="s">
        <v>376</v>
      </c>
      <c r="C2791" s="12" t="s">
        <v>120</v>
      </c>
      <c r="D2791" s="12" t="s">
        <v>165</v>
      </c>
      <c r="E2791" s="12" t="s">
        <v>377</v>
      </c>
      <c r="F2791" s="12" t="s">
        <v>378</v>
      </c>
      <c r="G2791" s="12" t="s">
        <v>379</v>
      </c>
    </row>
    <row r="2792" spans="1:12" x14ac:dyDescent="0.3">
      <c r="A2792" s="12" t="s">
        <v>94</v>
      </c>
      <c r="B2792" s="12" t="s">
        <v>376</v>
      </c>
      <c r="C2792" s="12" t="s">
        <v>123</v>
      </c>
      <c r="D2792" s="12" t="s">
        <v>380</v>
      </c>
      <c r="E2792" s="12" t="s">
        <v>381</v>
      </c>
    </row>
    <row r="2793" spans="1:12" x14ac:dyDescent="0.3">
      <c r="A2793" s="12" t="s">
        <v>94</v>
      </c>
      <c r="B2793" s="12" t="s">
        <v>376</v>
      </c>
      <c r="C2793" s="12" t="s">
        <v>123</v>
      </c>
      <c r="D2793" s="12" t="s">
        <v>382</v>
      </c>
      <c r="E2793" s="12" t="s">
        <v>383</v>
      </c>
    </row>
    <row r="2794" spans="1:12" x14ac:dyDescent="0.3">
      <c r="A2794" s="12" t="s">
        <v>94</v>
      </c>
      <c r="B2794" s="12" t="s">
        <v>376</v>
      </c>
      <c r="C2794" s="12" t="s">
        <v>123</v>
      </c>
      <c r="D2794" s="12" t="s">
        <v>384</v>
      </c>
      <c r="E2794" s="12" t="s">
        <v>385</v>
      </c>
    </row>
    <row r="2795" spans="1:12" x14ac:dyDescent="0.3">
      <c r="A2795" s="12" t="s">
        <v>94</v>
      </c>
      <c r="B2795" s="12" t="s">
        <v>376</v>
      </c>
      <c r="C2795" s="12" t="s">
        <v>123</v>
      </c>
      <c r="D2795" s="12" t="s">
        <v>386</v>
      </c>
      <c r="E2795" s="12" t="s">
        <v>387</v>
      </c>
    </row>
    <row r="2796" spans="1:12" x14ac:dyDescent="0.3">
      <c r="A2796" s="12" t="s">
        <v>94</v>
      </c>
      <c r="B2796" s="12" t="s">
        <v>376</v>
      </c>
      <c r="C2796" s="12" t="s">
        <v>123</v>
      </c>
      <c r="D2796" s="12" t="s">
        <v>388</v>
      </c>
      <c r="E2796" s="12" t="s">
        <v>389</v>
      </c>
    </row>
    <row r="2797" spans="1:12" x14ac:dyDescent="0.3">
      <c r="A2797" s="12" t="s">
        <v>94</v>
      </c>
      <c r="B2797" s="12" t="s">
        <v>376</v>
      </c>
      <c r="C2797" s="12" t="s">
        <v>123</v>
      </c>
      <c r="D2797" s="12" t="s">
        <v>390</v>
      </c>
      <c r="E2797" s="12" t="s">
        <v>391</v>
      </c>
    </row>
    <row r="2798" spans="1:12" x14ac:dyDescent="0.3">
      <c r="A2798" s="12" t="s">
        <v>94</v>
      </c>
      <c r="B2798" s="12" t="s">
        <v>376</v>
      </c>
      <c r="C2798" s="12" t="s">
        <v>123</v>
      </c>
      <c r="D2798" s="12" t="s">
        <v>392</v>
      </c>
      <c r="E2798" s="12" t="s">
        <v>393</v>
      </c>
    </row>
    <row r="2799" spans="1:12" x14ac:dyDescent="0.3">
      <c r="A2799" s="12" t="s">
        <v>94</v>
      </c>
      <c r="B2799" s="12" t="s">
        <v>376</v>
      </c>
      <c r="C2799" s="12" t="s">
        <v>123</v>
      </c>
      <c r="D2799" s="12" t="s">
        <v>394</v>
      </c>
      <c r="E2799" s="12" t="s">
        <v>395</v>
      </c>
    </row>
    <row r="2800" spans="1:12" x14ac:dyDescent="0.3">
      <c r="A2800" s="12" t="s">
        <v>94</v>
      </c>
      <c r="B2800" s="12" t="s">
        <v>376</v>
      </c>
      <c r="C2800" s="12" t="s">
        <v>123</v>
      </c>
      <c r="D2800" s="12" t="s">
        <v>396</v>
      </c>
      <c r="E2800" s="12" t="s">
        <v>397</v>
      </c>
    </row>
    <row r="2801" spans="1:5" x14ac:dyDescent="0.3">
      <c r="A2801" s="12" t="s">
        <v>94</v>
      </c>
      <c r="B2801" s="12" t="s">
        <v>376</v>
      </c>
      <c r="C2801" s="12" t="s">
        <v>123</v>
      </c>
      <c r="D2801" s="12" t="s">
        <v>3</v>
      </c>
      <c r="E2801" s="12" t="s">
        <v>398</v>
      </c>
    </row>
    <row r="2802" spans="1:5" x14ac:dyDescent="0.3">
      <c r="A2802" s="12" t="s">
        <v>94</v>
      </c>
      <c r="B2802" s="12" t="s">
        <v>376</v>
      </c>
      <c r="C2802" s="12" t="s">
        <v>123</v>
      </c>
      <c r="D2802" s="12" t="s">
        <v>399</v>
      </c>
      <c r="E2802" s="12" t="s">
        <v>400</v>
      </c>
    </row>
    <row r="2803" spans="1:5" x14ac:dyDescent="0.3">
      <c r="A2803" s="12" t="s">
        <v>94</v>
      </c>
      <c r="B2803" s="12" t="s">
        <v>376</v>
      </c>
      <c r="C2803" s="12" t="s">
        <v>123</v>
      </c>
      <c r="D2803" s="12" t="s">
        <v>401</v>
      </c>
      <c r="E2803" s="12" t="s">
        <v>402</v>
      </c>
    </row>
    <row r="2804" spans="1:5" x14ac:dyDescent="0.3">
      <c r="A2804" s="12" t="s">
        <v>94</v>
      </c>
      <c r="B2804" s="12" t="s">
        <v>376</v>
      </c>
      <c r="C2804" s="12" t="s">
        <v>123</v>
      </c>
      <c r="D2804" s="12" t="s">
        <v>403</v>
      </c>
      <c r="E2804" s="12" t="s">
        <v>404</v>
      </c>
    </row>
    <row r="2805" spans="1:5" x14ac:dyDescent="0.3">
      <c r="A2805" s="12" t="s">
        <v>94</v>
      </c>
      <c r="B2805" s="12" t="s">
        <v>376</v>
      </c>
      <c r="C2805" s="12" t="s">
        <v>123</v>
      </c>
      <c r="D2805" s="12" t="s">
        <v>405</v>
      </c>
      <c r="E2805" s="12" t="s">
        <v>406</v>
      </c>
    </row>
    <row r="2806" spans="1:5" x14ac:dyDescent="0.3">
      <c r="A2806" s="12" t="s">
        <v>94</v>
      </c>
      <c r="B2806" s="12" t="s">
        <v>376</v>
      </c>
      <c r="C2806" s="12" t="s">
        <v>123</v>
      </c>
      <c r="D2806" s="12" t="s">
        <v>407</v>
      </c>
      <c r="E2806" s="12" t="s">
        <v>408</v>
      </c>
    </row>
    <row r="2807" spans="1:5" x14ac:dyDescent="0.3">
      <c r="A2807" s="12" t="s">
        <v>94</v>
      </c>
      <c r="B2807" s="12" t="s">
        <v>376</v>
      </c>
      <c r="C2807" s="12" t="s">
        <v>123</v>
      </c>
      <c r="D2807" s="12" t="s">
        <v>409</v>
      </c>
      <c r="E2807" s="12" t="s">
        <v>410</v>
      </c>
    </row>
    <row r="2808" spans="1:5" x14ac:dyDescent="0.3">
      <c r="A2808" s="12" t="s">
        <v>94</v>
      </c>
      <c r="B2808" s="12" t="s">
        <v>376</v>
      </c>
      <c r="C2808" s="12" t="s">
        <v>123</v>
      </c>
      <c r="D2808" s="12" t="s">
        <v>411</v>
      </c>
      <c r="E2808" s="12" t="s">
        <v>412</v>
      </c>
    </row>
    <row r="2809" spans="1:5" x14ac:dyDescent="0.3">
      <c r="A2809" s="12" t="s">
        <v>94</v>
      </c>
      <c r="B2809" s="12" t="s">
        <v>376</v>
      </c>
      <c r="C2809" s="12" t="s">
        <v>123</v>
      </c>
      <c r="D2809" s="12" t="s">
        <v>413</v>
      </c>
      <c r="E2809" s="12" t="s">
        <v>414</v>
      </c>
    </row>
    <row r="2810" spans="1:5" x14ac:dyDescent="0.3">
      <c r="A2810" s="12" t="s">
        <v>94</v>
      </c>
      <c r="B2810" s="12" t="s">
        <v>376</v>
      </c>
      <c r="C2810" s="12" t="s">
        <v>123</v>
      </c>
      <c r="D2810" s="12" t="s">
        <v>415</v>
      </c>
      <c r="E2810" s="12" t="s">
        <v>416</v>
      </c>
    </row>
    <row r="2811" spans="1:5" x14ac:dyDescent="0.3">
      <c r="A2811" s="12" t="s">
        <v>94</v>
      </c>
      <c r="B2811" s="12" t="s">
        <v>376</v>
      </c>
      <c r="C2811" s="12" t="s">
        <v>123</v>
      </c>
      <c r="D2811" s="12" t="s">
        <v>417</v>
      </c>
      <c r="E2811" s="12" t="s">
        <v>418</v>
      </c>
    </row>
    <row r="2812" spans="1:5" x14ac:dyDescent="0.3">
      <c r="A2812" s="12" t="s">
        <v>94</v>
      </c>
      <c r="B2812" s="12" t="s">
        <v>376</v>
      </c>
      <c r="C2812" s="12" t="s">
        <v>123</v>
      </c>
      <c r="D2812" s="12" t="s">
        <v>419</v>
      </c>
      <c r="E2812" s="12" t="s">
        <v>420</v>
      </c>
    </row>
    <row r="2813" spans="1:5" x14ac:dyDescent="0.3">
      <c r="A2813" s="12" t="s">
        <v>94</v>
      </c>
      <c r="B2813" s="12" t="s">
        <v>376</v>
      </c>
      <c r="C2813" s="12" t="s">
        <v>123</v>
      </c>
      <c r="D2813" s="12" t="s">
        <v>421</v>
      </c>
      <c r="E2813" s="12" t="s">
        <v>422</v>
      </c>
    </row>
    <row r="2814" spans="1:5" x14ac:dyDescent="0.3">
      <c r="A2814" s="12" t="s">
        <v>94</v>
      </c>
      <c r="B2814" s="12" t="s">
        <v>376</v>
      </c>
      <c r="C2814" s="12" t="s">
        <v>123</v>
      </c>
      <c r="D2814" s="12" t="s">
        <v>423</v>
      </c>
      <c r="E2814" s="12" t="s">
        <v>424</v>
      </c>
    </row>
    <row r="2815" spans="1:5" x14ac:dyDescent="0.3">
      <c r="A2815" s="12" t="s">
        <v>94</v>
      </c>
      <c r="B2815" s="12" t="s">
        <v>376</v>
      </c>
      <c r="C2815" s="12" t="s">
        <v>123</v>
      </c>
      <c r="D2815" s="12" t="s">
        <v>425</v>
      </c>
      <c r="E2815" s="12" t="s">
        <v>426</v>
      </c>
    </row>
    <row r="2816" spans="1:5" x14ac:dyDescent="0.3">
      <c r="A2816" s="12" t="s">
        <v>94</v>
      </c>
      <c r="B2816" s="12" t="s">
        <v>376</v>
      </c>
      <c r="C2816" s="12" t="s">
        <v>123</v>
      </c>
      <c r="D2816" s="12" t="s">
        <v>427</v>
      </c>
      <c r="E2816" s="12" t="s">
        <v>428</v>
      </c>
    </row>
    <row r="2817" spans="1:5" x14ac:dyDescent="0.3">
      <c r="A2817" s="12" t="s">
        <v>94</v>
      </c>
      <c r="B2817" s="12" t="s">
        <v>376</v>
      </c>
      <c r="C2817" s="12" t="s">
        <v>123</v>
      </c>
      <c r="D2817" s="12" t="s">
        <v>429</v>
      </c>
      <c r="E2817" s="12" t="s">
        <v>430</v>
      </c>
    </row>
    <row r="2818" spans="1:5" x14ac:dyDescent="0.3">
      <c r="A2818" s="12" t="s">
        <v>94</v>
      </c>
      <c r="B2818" s="12" t="s">
        <v>376</v>
      </c>
      <c r="C2818" s="12" t="s">
        <v>123</v>
      </c>
      <c r="D2818" s="12" t="s">
        <v>431</v>
      </c>
      <c r="E2818" s="12" t="s">
        <v>432</v>
      </c>
    </row>
    <row r="2819" spans="1:5" x14ac:dyDescent="0.3">
      <c r="A2819" s="12" t="s">
        <v>94</v>
      </c>
      <c r="B2819" s="12" t="s">
        <v>376</v>
      </c>
      <c r="C2819" s="12" t="s">
        <v>123</v>
      </c>
      <c r="D2819" s="12" t="s">
        <v>433</v>
      </c>
      <c r="E2819" s="12" t="s">
        <v>434</v>
      </c>
    </row>
    <row r="2820" spans="1:5" x14ac:dyDescent="0.3">
      <c r="A2820" s="12" t="s">
        <v>94</v>
      </c>
      <c r="B2820" s="12" t="s">
        <v>376</v>
      </c>
      <c r="C2820" s="12" t="s">
        <v>123</v>
      </c>
      <c r="D2820" s="12" t="s">
        <v>435</v>
      </c>
      <c r="E2820" s="12" t="s">
        <v>436</v>
      </c>
    </row>
    <row r="2821" spans="1:5" x14ac:dyDescent="0.3">
      <c r="A2821" s="12" t="s">
        <v>94</v>
      </c>
      <c r="B2821" s="12" t="s">
        <v>376</v>
      </c>
      <c r="C2821" s="12" t="s">
        <v>123</v>
      </c>
      <c r="D2821" s="12" t="s">
        <v>437</v>
      </c>
      <c r="E2821" s="12" t="s">
        <v>438</v>
      </c>
    </row>
    <row r="2822" spans="1:5" x14ac:dyDescent="0.3">
      <c r="A2822" s="12" t="s">
        <v>94</v>
      </c>
      <c r="B2822" s="12" t="s">
        <v>376</v>
      </c>
      <c r="C2822" s="12" t="s">
        <v>123</v>
      </c>
      <c r="D2822" s="12" t="s">
        <v>439</v>
      </c>
      <c r="E2822" s="12" t="s">
        <v>440</v>
      </c>
    </row>
    <row r="2823" spans="1:5" x14ac:dyDescent="0.3">
      <c r="A2823" s="12" t="s">
        <v>94</v>
      </c>
      <c r="B2823" s="12" t="s">
        <v>376</v>
      </c>
      <c r="C2823" s="12" t="s">
        <v>123</v>
      </c>
      <c r="D2823" s="12" t="s">
        <v>441</v>
      </c>
      <c r="E2823" s="12" t="s">
        <v>442</v>
      </c>
    </row>
    <row r="2824" spans="1:5" x14ac:dyDescent="0.3">
      <c r="A2824" s="12" t="s">
        <v>94</v>
      </c>
      <c r="B2824" s="12" t="s">
        <v>376</v>
      </c>
      <c r="C2824" s="12" t="s">
        <v>123</v>
      </c>
      <c r="D2824" s="12" t="s">
        <v>443</v>
      </c>
      <c r="E2824" s="12" t="s">
        <v>444</v>
      </c>
    </row>
    <row r="2825" spans="1:5" x14ac:dyDescent="0.3">
      <c r="A2825" s="12" t="s">
        <v>94</v>
      </c>
      <c r="B2825" s="12" t="s">
        <v>376</v>
      </c>
      <c r="C2825" s="12" t="s">
        <v>123</v>
      </c>
      <c r="D2825" s="12" t="s">
        <v>445</v>
      </c>
      <c r="E2825" s="12" t="s">
        <v>446</v>
      </c>
    </row>
    <row r="2826" spans="1:5" x14ac:dyDescent="0.3">
      <c r="A2826" s="12" t="s">
        <v>94</v>
      </c>
      <c r="B2826" s="12" t="s">
        <v>376</v>
      </c>
      <c r="C2826" s="12" t="s">
        <v>123</v>
      </c>
      <c r="D2826" s="12" t="s">
        <v>447</v>
      </c>
      <c r="E2826" s="12" t="s">
        <v>448</v>
      </c>
    </row>
    <row r="2827" spans="1:5" x14ac:dyDescent="0.3">
      <c r="A2827" s="12" t="s">
        <v>94</v>
      </c>
      <c r="B2827" s="12" t="s">
        <v>376</v>
      </c>
      <c r="C2827" s="12" t="s">
        <v>123</v>
      </c>
      <c r="D2827" s="12" t="s">
        <v>449</v>
      </c>
      <c r="E2827" s="12" t="s">
        <v>450</v>
      </c>
    </row>
    <row r="2828" spans="1:5" x14ac:dyDescent="0.3">
      <c r="A2828" s="12" t="s">
        <v>94</v>
      </c>
      <c r="B2828" s="12" t="s">
        <v>376</v>
      </c>
      <c r="C2828" s="12" t="s">
        <v>123</v>
      </c>
      <c r="D2828" s="12" t="s">
        <v>451</v>
      </c>
      <c r="E2828" s="12" t="s">
        <v>452</v>
      </c>
    </row>
    <row r="2829" spans="1:5" x14ac:dyDescent="0.3">
      <c r="A2829" s="12" t="s">
        <v>94</v>
      </c>
      <c r="B2829" s="12" t="s">
        <v>376</v>
      </c>
      <c r="C2829" s="12" t="s">
        <v>123</v>
      </c>
      <c r="D2829" s="12" t="s">
        <v>453</v>
      </c>
      <c r="E2829" s="12" t="s">
        <v>454</v>
      </c>
    </row>
    <row r="2830" spans="1:5" x14ac:dyDescent="0.3">
      <c r="A2830" s="12" t="s">
        <v>94</v>
      </c>
      <c r="B2830" s="12" t="s">
        <v>376</v>
      </c>
      <c r="C2830" s="12" t="s">
        <v>123</v>
      </c>
      <c r="D2830" s="12" t="s">
        <v>455</v>
      </c>
      <c r="E2830" s="12" t="s">
        <v>456</v>
      </c>
    </row>
    <row r="2831" spans="1:5" x14ac:dyDescent="0.3">
      <c r="A2831" s="12" t="s">
        <v>94</v>
      </c>
      <c r="B2831" s="12" t="s">
        <v>376</v>
      </c>
      <c r="C2831" s="12" t="s">
        <v>123</v>
      </c>
      <c r="D2831" s="12" t="s">
        <v>457</v>
      </c>
      <c r="E2831" s="12" t="s">
        <v>458</v>
      </c>
    </row>
    <row r="2832" spans="1:5" x14ac:dyDescent="0.3">
      <c r="A2832" s="12" t="s">
        <v>94</v>
      </c>
      <c r="B2832" s="12" t="s">
        <v>376</v>
      </c>
      <c r="C2832" s="12" t="s">
        <v>123</v>
      </c>
      <c r="D2832" s="12" t="s">
        <v>459</v>
      </c>
      <c r="E2832" s="12" t="s">
        <v>460</v>
      </c>
    </row>
    <row r="2833" spans="1:5" x14ac:dyDescent="0.3">
      <c r="A2833" s="12" t="s">
        <v>94</v>
      </c>
      <c r="B2833" s="12" t="s">
        <v>376</v>
      </c>
      <c r="C2833" s="12" t="s">
        <v>123</v>
      </c>
      <c r="D2833" s="12" t="s">
        <v>461</v>
      </c>
      <c r="E2833" s="12" t="s">
        <v>462</v>
      </c>
    </row>
    <row r="2834" spans="1:5" x14ac:dyDescent="0.3">
      <c r="A2834" s="12" t="s">
        <v>94</v>
      </c>
      <c r="B2834" s="12" t="s">
        <v>376</v>
      </c>
      <c r="C2834" s="12" t="s">
        <v>123</v>
      </c>
      <c r="D2834" s="12" t="s">
        <v>463</v>
      </c>
      <c r="E2834" s="12" t="s">
        <v>464</v>
      </c>
    </row>
    <row r="2835" spans="1:5" x14ac:dyDescent="0.3">
      <c r="A2835" s="12" t="s">
        <v>94</v>
      </c>
      <c r="B2835" s="12" t="s">
        <v>376</v>
      </c>
      <c r="C2835" s="12" t="s">
        <v>123</v>
      </c>
      <c r="D2835" s="12" t="s">
        <v>465</v>
      </c>
      <c r="E2835" s="12" t="s">
        <v>466</v>
      </c>
    </row>
    <row r="2836" spans="1:5" x14ac:dyDescent="0.3">
      <c r="A2836" s="12" t="s">
        <v>94</v>
      </c>
      <c r="B2836" s="12" t="s">
        <v>376</v>
      </c>
      <c r="C2836" s="12" t="s">
        <v>123</v>
      </c>
      <c r="D2836" s="12" t="s">
        <v>215</v>
      </c>
      <c r="E2836" s="12" t="s">
        <v>467</v>
      </c>
    </row>
    <row r="2837" spans="1:5" x14ac:dyDescent="0.3">
      <c r="A2837" s="12" t="s">
        <v>94</v>
      </c>
      <c r="B2837" s="12" t="s">
        <v>376</v>
      </c>
      <c r="C2837" s="12" t="s">
        <v>123</v>
      </c>
      <c r="D2837" s="12" t="s">
        <v>468</v>
      </c>
      <c r="E2837" s="12" t="s">
        <v>469</v>
      </c>
    </row>
    <row r="2838" spans="1:5" x14ac:dyDescent="0.3">
      <c r="A2838" s="12" t="s">
        <v>94</v>
      </c>
      <c r="B2838" s="12" t="s">
        <v>376</v>
      </c>
      <c r="C2838" s="12" t="s">
        <v>123</v>
      </c>
      <c r="D2838" s="12" t="s">
        <v>470</v>
      </c>
      <c r="E2838" s="12" t="s">
        <v>471</v>
      </c>
    </row>
    <row r="2839" spans="1:5" x14ac:dyDescent="0.3">
      <c r="A2839" s="12" t="s">
        <v>94</v>
      </c>
      <c r="B2839" s="12" t="s">
        <v>376</v>
      </c>
      <c r="C2839" s="12" t="s">
        <v>123</v>
      </c>
      <c r="D2839" s="12" t="s">
        <v>472</v>
      </c>
      <c r="E2839" s="12" t="s">
        <v>473</v>
      </c>
    </row>
    <row r="2840" spans="1:5" x14ac:dyDescent="0.3">
      <c r="A2840" s="12" t="s">
        <v>94</v>
      </c>
      <c r="B2840" s="12" t="s">
        <v>376</v>
      </c>
      <c r="C2840" s="12" t="s">
        <v>123</v>
      </c>
      <c r="D2840" s="12" t="s">
        <v>474</v>
      </c>
      <c r="E2840" s="12" t="s">
        <v>475</v>
      </c>
    </row>
    <row r="2841" spans="1:5" x14ac:dyDescent="0.3">
      <c r="A2841" s="12" t="s">
        <v>94</v>
      </c>
      <c r="B2841" s="12" t="s">
        <v>376</v>
      </c>
      <c r="C2841" s="12" t="s">
        <v>123</v>
      </c>
      <c r="D2841" s="12" t="s">
        <v>476</v>
      </c>
      <c r="E2841" s="12" t="s">
        <v>477</v>
      </c>
    </row>
    <row r="2842" spans="1:5" x14ac:dyDescent="0.3">
      <c r="A2842" s="12" t="s">
        <v>94</v>
      </c>
      <c r="B2842" s="12" t="s">
        <v>376</v>
      </c>
      <c r="C2842" s="12" t="s">
        <v>123</v>
      </c>
      <c r="D2842" s="12" t="s">
        <v>291</v>
      </c>
      <c r="E2842" s="12" t="s">
        <v>478</v>
      </c>
    </row>
    <row r="2843" spans="1:5" x14ac:dyDescent="0.3">
      <c r="A2843" s="12" t="s">
        <v>94</v>
      </c>
      <c r="B2843" s="12" t="s">
        <v>376</v>
      </c>
      <c r="C2843" s="12" t="s">
        <v>123</v>
      </c>
      <c r="D2843" s="12" t="s">
        <v>479</v>
      </c>
      <c r="E2843" s="12" t="s">
        <v>480</v>
      </c>
    </row>
    <row r="2844" spans="1:5" x14ac:dyDescent="0.3">
      <c r="A2844" s="12" t="s">
        <v>94</v>
      </c>
      <c r="B2844" s="12" t="s">
        <v>376</v>
      </c>
      <c r="C2844" s="12" t="s">
        <v>123</v>
      </c>
      <c r="D2844" s="12" t="s">
        <v>481</v>
      </c>
      <c r="E2844" s="12" t="s">
        <v>482</v>
      </c>
    </row>
    <row r="2845" spans="1:5" x14ac:dyDescent="0.3">
      <c r="A2845" s="12" t="s">
        <v>94</v>
      </c>
      <c r="B2845" s="12" t="s">
        <v>376</v>
      </c>
      <c r="C2845" s="12" t="s">
        <v>123</v>
      </c>
      <c r="D2845" s="12" t="s">
        <v>483</v>
      </c>
      <c r="E2845" s="12" t="s">
        <v>484</v>
      </c>
    </row>
    <row r="2846" spans="1:5" x14ac:dyDescent="0.3">
      <c r="A2846" s="12" t="s">
        <v>94</v>
      </c>
      <c r="B2846" s="12" t="s">
        <v>376</v>
      </c>
      <c r="C2846" s="12" t="s">
        <v>123</v>
      </c>
      <c r="D2846" s="12" t="s">
        <v>485</v>
      </c>
      <c r="E2846" s="12" t="s">
        <v>486</v>
      </c>
    </row>
    <row r="2847" spans="1:5" x14ac:dyDescent="0.3">
      <c r="A2847" s="12" t="s">
        <v>94</v>
      </c>
      <c r="B2847" s="12" t="s">
        <v>376</v>
      </c>
      <c r="C2847" s="12" t="s">
        <v>123</v>
      </c>
      <c r="D2847" s="12" t="s">
        <v>487</v>
      </c>
      <c r="E2847" s="12" t="s">
        <v>488</v>
      </c>
    </row>
    <row r="2848" spans="1:5" x14ac:dyDescent="0.3">
      <c r="A2848" s="12" t="s">
        <v>94</v>
      </c>
      <c r="B2848" s="12" t="s">
        <v>376</v>
      </c>
      <c r="C2848" s="12" t="s">
        <v>123</v>
      </c>
      <c r="D2848" s="12" t="s">
        <v>489</v>
      </c>
      <c r="E2848" s="12" t="s">
        <v>490</v>
      </c>
    </row>
    <row r="2849" spans="1:5" x14ac:dyDescent="0.3">
      <c r="A2849" s="12" t="s">
        <v>94</v>
      </c>
      <c r="B2849" s="12" t="s">
        <v>376</v>
      </c>
      <c r="C2849" s="12" t="s">
        <v>123</v>
      </c>
      <c r="D2849" s="12" t="s">
        <v>491</v>
      </c>
      <c r="E2849" s="12" t="s">
        <v>492</v>
      </c>
    </row>
    <row r="2850" spans="1:5" x14ac:dyDescent="0.3">
      <c r="A2850" s="12" t="s">
        <v>94</v>
      </c>
      <c r="B2850" s="12" t="s">
        <v>376</v>
      </c>
      <c r="C2850" s="12" t="s">
        <v>123</v>
      </c>
      <c r="D2850" s="12" t="s">
        <v>292</v>
      </c>
      <c r="E2850" s="12" t="s">
        <v>493</v>
      </c>
    </row>
    <row r="2851" spans="1:5" x14ac:dyDescent="0.3">
      <c r="A2851" s="12" t="s">
        <v>94</v>
      </c>
      <c r="B2851" s="12" t="s">
        <v>376</v>
      </c>
      <c r="C2851" s="12" t="s">
        <v>123</v>
      </c>
      <c r="D2851" s="12" t="s">
        <v>494</v>
      </c>
      <c r="E2851" s="12" t="s">
        <v>495</v>
      </c>
    </row>
    <row r="2852" spans="1:5" x14ac:dyDescent="0.3">
      <c r="A2852" s="12" t="s">
        <v>94</v>
      </c>
      <c r="B2852" s="12" t="s">
        <v>376</v>
      </c>
      <c r="C2852" s="12" t="s">
        <v>123</v>
      </c>
      <c r="D2852" s="12" t="s">
        <v>496</v>
      </c>
      <c r="E2852" s="12" t="s">
        <v>497</v>
      </c>
    </row>
    <row r="2853" spans="1:5" x14ac:dyDescent="0.3">
      <c r="A2853" s="12" t="s">
        <v>94</v>
      </c>
      <c r="B2853" s="12" t="s">
        <v>376</v>
      </c>
      <c r="C2853" s="12" t="s">
        <v>123</v>
      </c>
      <c r="D2853" s="12" t="s">
        <v>498</v>
      </c>
      <c r="E2853" s="12" t="s">
        <v>499</v>
      </c>
    </row>
    <row r="2854" spans="1:5" x14ac:dyDescent="0.3">
      <c r="A2854" s="12" t="s">
        <v>94</v>
      </c>
      <c r="B2854" s="12" t="s">
        <v>376</v>
      </c>
      <c r="C2854" s="12" t="s">
        <v>123</v>
      </c>
      <c r="D2854" s="12" t="s">
        <v>500</v>
      </c>
      <c r="E2854" s="12" t="s">
        <v>501</v>
      </c>
    </row>
    <row r="2855" spans="1:5" x14ac:dyDescent="0.3">
      <c r="A2855" s="12" t="s">
        <v>94</v>
      </c>
      <c r="B2855" s="12" t="s">
        <v>376</v>
      </c>
      <c r="C2855" s="12" t="s">
        <v>123</v>
      </c>
      <c r="D2855" s="12" t="s">
        <v>502</v>
      </c>
      <c r="E2855" s="12" t="s">
        <v>503</v>
      </c>
    </row>
    <row r="2856" spans="1:5" x14ac:dyDescent="0.3">
      <c r="A2856" s="12" t="s">
        <v>94</v>
      </c>
      <c r="B2856" s="12" t="s">
        <v>376</v>
      </c>
      <c r="C2856" s="12" t="s">
        <v>123</v>
      </c>
      <c r="D2856" s="12" t="s">
        <v>504</v>
      </c>
      <c r="E2856" s="12" t="s">
        <v>505</v>
      </c>
    </row>
    <row r="2857" spans="1:5" x14ac:dyDescent="0.3">
      <c r="A2857" s="12" t="s">
        <v>94</v>
      </c>
      <c r="B2857" s="12" t="s">
        <v>376</v>
      </c>
      <c r="C2857" s="12" t="s">
        <v>123</v>
      </c>
      <c r="D2857" s="12" t="s">
        <v>506</v>
      </c>
      <c r="E2857" s="12" t="s">
        <v>507</v>
      </c>
    </row>
    <row r="2858" spans="1:5" x14ac:dyDescent="0.3">
      <c r="A2858" s="12" t="s">
        <v>94</v>
      </c>
      <c r="B2858" s="12" t="s">
        <v>376</v>
      </c>
      <c r="C2858" s="12" t="s">
        <v>123</v>
      </c>
      <c r="D2858" s="12" t="s">
        <v>508</v>
      </c>
      <c r="E2858" s="12" t="s">
        <v>509</v>
      </c>
    </row>
    <row r="2859" spans="1:5" x14ac:dyDescent="0.3">
      <c r="A2859" s="12" t="s">
        <v>94</v>
      </c>
      <c r="B2859" s="12" t="s">
        <v>376</v>
      </c>
      <c r="C2859" s="12" t="s">
        <v>123</v>
      </c>
      <c r="D2859" s="12" t="s">
        <v>510</v>
      </c>
      <c r="E2859" s="12" t="s">
        <v>511</v>
      </c>
    </row>
    <row r="2860" spans="1:5" x14ac:dyDescent="0.3">
      <c r="A2860" s="12" t="s">
        <v>94</v>
      </c>
      <c r="B2860" s="12" t="s">
        <v>376</v>
      </c>
      <c r="C2860" s="12" t="s">
        <v>123</v>
      </c>
      <c r="D2860" s="12" t="s">
        <v>555</v>
      </c>
      <c r="E2860" s="12" t="s">
        <v>976</v>
      </c>
    </row>
    <row r="2861" spans="1:5" x14ac:dyDescent="0.3">
      <c r="A2861" s="12" t="s">
        <v>94</v>
      </c>
      <c r="B2861" s="12" t="s">
        <v>376</v>
      </c>
      <c r="C2861" s="12" t="s">
        <v>123</v>
      </c>
      <c r="D2861" s="12" t="s">
        <v>512</v>
      </c>
      <c r="E2861" s="12" t="s">
        <v>513</v>
      </c>
    </row>
    <row r="2862" spans="1:5" x14ac:dyDescent="0.3">
      <c r="A2862" s="12" t="s">
        <v>94</v>
      </c>
      <c r="B2862" s="12" t="s">
        <v>376</v>
      </c>
      <c r="C2862" s="12" t="s">
        <v>123</v>
      </c>
      <c r="D2862" s="12" t="s">
        <v>514</v>
      </c>
      <c r="E2862" s="12" t="s">
        <v>515</v>
      </c>
    </row>
    <row r="2863" spans="1:5" x14ac:dyDescent="0.3">
      <c r="A2863" s="12" t="s">
        <v>94</v>
      </c>
      <c r="B2863" s="12" t="s">
        <v>376</v>
      </c>
      <c r="C2863" s="12" t="s">
        <v>123</v>
      </c>
      <c r="D2863" s="12" t="s">
        <v>516</v>
      </c>
      <c r="E2863" s="12" t="s">
        <v>517</v>
      </c>
    </row>
    <row r="2864" spans="1:5" x14ac:dyDescent="0.3">
      <c r="A2864" s="12" t="s">
        <v>94</v>
      </c>
      <c r="B2864" s="12" t="s">
        <v>518</v>
      </c>
      <c r="C2864" s="12" t="s">
        <v>120</v>
      </c>
      <c r="D2864" s="12" t="s">
        <v>299</v>
      </c>
      <c r="E2864" s="12" t="s">
        <v>519</v>
      </c>
    </row>
    <row r="2865" spans="1:5" x14ac:dyDescent="0.3">
      <c r="A2865" s="12" t="s">
        <v>94</v>
      </c>
      <c r="B2865" s="12" t="s">
        <v>518</v>
      </c>
      <c r="C2865" s="12" t="s">
        <v>123</v>
      </c>
      <c r="D2865" s="12" t="s">
        <v>520</v>
      </c>
      <c r="E2865" s="12" t="s">
        <v>521</v>
      </c>
    </row>
    <row r="2866" spans="1:5" x14ac:dyDescent="0.3">
      <c r="A2866" s="12" t="s">
        <v>94</v>
      </c>
      <c r="B2866" s="12" t="s">
        <v>518</v>
      </c>
      <c r="C2866" s="12" t="s">
        <v>123</v>
      </c>
      <c r="D2866" s="12" t="s">
        <v>520</v>
      </c>
      <c r="E2866" s="12" t="s">
        <v>522</v>
      </c>
    </row>
    <row r="2867" spans="1:5" x14ac:dyDescent="0.3">
      <c r="A2867" s="12" t="s">
        <v>94</v>
      </c>
      <c r="B2867" s="12" t="s">
        <v>518</v>
      </c>
      <c r="C2867" s="12" t="s">
        <v>123</v>
      </c>
      <c r="D2867" s="12" t="s">
        <v>520</v>
      </c>
      <c r="E2867" s="12" t="s">
        <v>523</v>
      </c>
    </row>
    <row r="2868" spans="1:5" x14ac:dyDescent="0.3">
      <c r="A2868" s="12" t="s">
        <v>94</v>
      </c>
      <c r="B2868" s="12" t="s">
        <v>518</v>
      </c>
      <c r="C2868" s="12" t="s">
        <v>123</v>
      </c>
      <c r="D2868" s="12" t="s">
        <v>520</v>
      </c>
      <c r="E2868" s="12" t="s">
        <v>524</v>
      </c>
    </row>
    <row r="2869" spans="1:5" x14ac:dyDescent="0.3">
      <c r="A2869" s="12" t="s">
        <v>94</v>
      </c>
      <c r="B2869" s="12" t="s">
        <v>518</v>
      </c>
      <c r="C2869" s="12" t="s">
        <v>123</v>
      </c>
      <c r="D2869" s="12" t="s">
        <v>520</v>
      </c>
      <c r="E2869" s="12" t="s">
        <v>525</v>
      </c>
    </row>
    <row r="2870" spans="1:5" x14ac:dyDescent="0.3">
      <c r="A2870" s="12" t="s">
        <v>94</v>
      </c>
      <c r="B2870" s="12" t="s">
        <v>518</v>
      </c>
      <c r="C2870" s="12" t="s">
        <v>123</v>
      </c>
      <c r="D2870" s="12" t="s">
        <v>520</v>
      </c>
      <c r="E2870" s="12" t="s">
        <v>526</v>
      </c>
    </row>
    <row r="2871" spans="1:5" x14ac:dyDescent="0.3">
      <c r="A2871" s="12" t="s">
        <v>94</v>
      </c>
      <c r="B2871" s="12" t="s">
        <v>518</v>
      </c>
      <c r="C2871" s="12" t="s">
        <v>123</v>
      </c>
      <c r="D2871" s="12" t="s">
        <v>520</v>
      </c>
      <c r="E2871" s="12" t="s">
        <v>527</v>
      </c>
    </row>
    <row r="2872" spans="1:5" x14ac:dyDescent="0.3">
      <c r="A2872" s="12" t="s">
        <v>94</v>
      </c>
      <c r="B2872" s="12" t="s">
        <v>518</v>
      </c>
      <c r="C2872" s="12" t="s">
        <v>123</v>
      </c>
      <c r="D2872" s="12" t="s">
        <v>520</v>
      </c>
      <c r="E2872" s="12" t="s">
        <v>528</v>
      </c>
    </row>
    <row r="2873" spans="1:5" x14ac:dyDescent="0.3">
      <c r="A2873" s="12" t="s">
        <v>94</v>
      </c>
      <c r="B2873" s="12" t="s">
        <v>518</v>
      </c>
      <c r="C2873" s="12" t="s">
        <v>123</v>
      </c>
      <c r="D2873" s="12" t="s">
        <v>520</v>
      </c>
      <c r="E2873" s="12" t="s">
        <v>529</v>
      </c>
    </row>
    <row r="2874" spans="1:5" x14ac:dyDescent="0.3">
      <c r="A2874" s="12" t="s">
        <v>94</v>
      </c>
      <c r="B2874" s="12" t="s">
        <v>518</v>
      </c>
      <c r="C2874" s="12" t="s">
        <v>123</v>
      </c>
      <c r="D2874" s="12" t="s">
        <v>520</v>
      </c>
      <c r="E2874" s="12" t="s">
        <v>530</v>
      </c>
    </row>
    <row r="2875" spans="1:5" x14ac:dyDescent="0.3">
      <c r="A2875" s="12" t="s">
        <v>94</v>
      </c>
      <c r="B2875" s="12" t="s">
        <v>518</v>
      </c>
      <c r="C2875" s="12" t="s">
        <v>123</v>
      </c>
      <c r="D2875" s="12" t="s">
        <v>520</v>
      </c>
      <c r="E2875" s="12" t="s">
        <v>531</v>
      </c>
    </row>
    <row r="2876" spans="1:5" x14ac:dyDescent="0.3">
      <c r="A2876" s="12" t="s">
        <v>94</v>
      </c>
      <c r="B2876" s="12" t="s">
        <v>518</v>
      </c>
      <c r="C2876" s="12" t="s">
        <v>123</v>
      </c>
      <c r="D2876" s="12" t="s">
        <v>520</v>
      </c>
      <c r="E2876" s="12" t="s">
        <v>532</v>
      </c>
    </row>
    <row r="2877" spans="1:5" x14ac:dyDescent="0.3">
      <c r="A2877" s="12" t="s">
        <v>94</v>
      </c>
      <c r="B2877" s="12" t="s">
        <v>518</v>
      </c>
      <c r="C2877" s="12" t="s">
        <v>123</v>
      </c>
      <c r="D2877" s="12" t="s">
        <v>520</v>
      </c>
      <c r="E2877" s="12" t="s">
        <v>533</v>
      </c>
    </row>
    <row r="2878" spans="1:5" x14ac:dyDescent="0.3">
      <c r="A2878" s="12" t="s">
        <v>94</v>
      </c>
      <c r="B2878" s="12" t="s">
        <v>518</v>
      </c>
      <c r="C2878" s="12" t="s">
        <v>123</v>
      </c>
      <c r="D2878" s="12" t="s">
        <v>520</v>
      </c>
      <c r="E2878" s="12" t="s">
        <v>534</v>
      </c>
    </row>
    <row r="2879" spans="1:5" x14ac:dyDescent="0.3">
      <c r="A2879" s="12" t="s">
        <v>94</v>
      </c>
      <c r="B2879" s="12" t="s">
        <v>518</v>
      </c>
      <c r="C2879" s="12" t="s">
        <v>123</v>
      </c>
      <c r="D2879" s="12" t="s">
        <v>520</v>
      </c>
      <c r="E2879" s="12" t="s">
        <v>535</v>
      </c>
    </row>
    <row r="2880" spans="1:5" x14ac:dyDescent="0.3">
      <c r="A2880" s="12" t="s">
        <v>94</v>
      </c>
      <c r="B2880" s="12" t="s">
        <v>518</v>
      </c>
      <c r="C2880" s="12" t="s">
        <v>123</v>
      </c>
      <c r="D2880" s="12" t="s">
        <v>520</v>
      </c>
      <c r="E2880" s="12" t="s">
        <v>536</v>
      </c>
    </row>
    <row r="2881" spans="1:5" x14ac:dyDescent="0.3">
      <c r="A2881" s="12" t="s">
        <v>94</v>
      </c>
      <c r="B2881" s="12" t="s">
        <v>518</v>
      </c>
      <c r="C2881" s="12" t="s">
        <v>123</v>
      </c>
      <c r="D2881" s="12" t="s">
        <v>520</v>
      </c>
      <c r="E2881" s="12" t="s">
        <v>537</v>
      </c>
    </row>
    <row r="2882" spans="1:5" x14ac:dyDescent="0.3">
      <c r="A2882" s="12" t="s">
        <v>94</v>
      </c>
      <c r="B2882" s="12" t="s">
        <v>518</v>
      </c>
      <c r="C2882" s="12" t="s">
        <v>123</v>
      </c>
      <c r="D2882" s="12" t="s">
        <v>538</v>
      </c>
      <c r="E2882" s="12" t="s">
        <v>539</v>
      </c>
    </row>
    <row r="2883" spans="1:5" x14ac:dyDescent="0.3">
      <c r="A2883" s="12" t="s">
        <v>94</v>
      </c>
      <c r="B2883" s="12" t="s">
        <v>518</v>
      </c>
      <c r="C2883" s="12" t="s">
        <v>123</v>
      </c>
      <c r="D2883" s="12" t="s">
        <v>540</v>
      </c>
      <c r="E2883" s="12" t="s">
        <v>541</v>
      </c>
    </row>
    <row r="2884" spans="1:5" x14ac:dyDescent="0.3">
      <c r="A2884" s="12" t="s">
        <v>94</v>
      </c>
      <c r="B2884" s="12" t="s">
        <v>518</v>
      </c>
      <c r="C2884" s="12" t="s">
        <v>123</v>
      </c>
      <c r="D2884" s="12" t="s">
        <v>542</v>
      </c>
      <c r="E2884" s="12" t="s">
        <v>1506</v>
      </c>
    </row>
    <row r="2885" spans="1:5" x14ac:dyDescent="0.3">
      <c r="A2885" s="12" t="s">
        <v>94</v>
      </c>
      <c r="B2885" s="12" t="s">
        <v>518</v>
      </c>
      <c r="C2885" s="12" t="s">
        <v>123</v>
      </c>
      <c r="D2885" s="12" t="s">
        <v>542</v>
      </c>
      <c r="E2885" s="12" t="s">
        <v>543</v>
      </c>
    </row>
    <row r="2886" spans="1:5" x14ac:dyDescent="0.3">
      <c r="A2886" s="12" t="s">
        <v>94</v>
      </c>
      <c r="B2886" s="12" t="s">
        <v>518</v>
      </c>
      <c r="C2886" s="12" t="s">
        <v>123</v>
      </c>
      <c r="D2886" s="12" t="s">
        <v>542</v>
      </c>
      <c r="E2886" s="12" t="s">
        <v>544</v>
      </c>
    </row>
    <row r="2887" spans="1:5" x14ac:dyDescent="0.3">
      <c r="A2887" s="12" t="s">
        <v>94</v>
      </c>
      <c r="B2887" s="12" t="s">
        <v>518</v>
      </c>
      <c r="C2887" s="12" t="s">
        <v>123</v>
      </c>
      <c r="D2887" s="12" t="s">
        <v>542</v>
      </c>
      <c r="E2887" s="12" t="s">
        <v>545</v>
      </c>
    </row>
    <row r="2888" spans="1:5" x14ac:dyDescent="0.3">
      <c r="A2888" s="12" t="s">
        <v>94</v>
      </c>
      <c r="B2888" s="12" t="s">
        <v>518</v>
      </c>
      <c r="C2888" s="12" t="s">
        <v>123</v>
      </c>
      <c r="D2888" s="12" t="s">
        <v>542</v>
      </c>
      <c r="E2888" s="12" t="s">
        <v>546</v>
      </c>
    </row>
    <row r="2889" spans="1:5" x14ac:dyDescent="0.3">
      <c r="A2889" s="12" t="s">
        <v>94</v>
      </c>
      <c r="B2889" s="12" t="s">
        <v>518</v>
      </c>
      <c r="C2889" s="12" t="s">
        <v>123</v>
      </c>
      <c r="D2889" s="12" t="s">
        <v>542</v>
      </c>
      <c r="E2889" s="12" t="s">
        <v>547</v>
      </c>
    </row>
    <row r="2890" spans="1:5" x14ac:dyDescent="0.3">
      <c r="A2890" s="12" t="s">
        <v>94</v>
      </c>
      <c r="B2890" s="12" t="s">
        <v>518</v>
      </c>
      <c r="C2890" s="12" t="s">
        <v>123</v>
      </c>
      <c r="D2890" s="12" t="s">
        <v>542</v>
      </c>
      <c r="E2890" s="12" t="s">
        <v>1507</v>
      </c>
    </row>
    <row r="2891" spans="1:5" x14ac:dyDescent="0.3">
      <c r="A2891" s="12" t="s">
        <v>94</v>
      </c>
      <c r="B2891" s="12" t="s">
        <v>518</v>
      </c>
      <c r="C2891" s="12" t="s">
        <v>123</v>
      </c>
      <c r="D2891" s="12" t="s">
        <v>542</v>
      </c>
      <c r="E2891" s="12" t="s">
        <v>1508</v>
      </c>
    </row>
    <row r="2892" spans="1:5" x14ac:dyDescent="0.3">
      <c r="A2892" s="12" t="s">
        <v>94</v>
      </c>
      <c r="B2892" s="12" t="s">
        <v>518</v>
      </c>
      <c r="C2892" s="12" t="s">
        <v>123</v>
      </c>
      <c r="D2892" s="12" t="s">
        <v>542</v>
      </c>
      <c r="E2892" s="12" t="s">
        <v>548</v>
      </c>
    </row>
    <row r="2893" spans="1:5" x14ac:dyDescent="0.3">
      <c r="A2893" s="12" t="s">
        <v>94</v>
      </c>
      <c r="B2893" s="12" t="s">
        <v>518</v>
      </c>
      <c r="C2893" s="12" t="s">
        <v>123</v>
      </c>
      <c r="D2893" s="12" t="s">
        <v>542</v>
      </c>
      <c r="E2893" s="12" t="s">
        <v>549</v>
      </c>
    </row>
    <row r="2894" spans="1:5" x14ac:dyDescent="0.3">
      <c r="A2894" s="12" t="s">
        <v>94</v>
      </c>
      <c r="B2894" s="12" t="s">
        <v>518</v>
      </c>
      <c r="C2894" s="12" t="s">
        <v>123</v>
      </c>
      <c r="D2894" s="12" t="s">
        <v>542</v>
      </c>
      <c r="E2894" s="12" t="s">
        <v>550</v>
      </c>
    </row>
    <row r="2895" spans="1:5" x14ac:dyDescent="0.3">
      <c r="A2895" s="12" t="s">
        <v>94</v>
      </c>
      <c r="B2895" s="12" t="s">
        <v>518</v>
      </c>
      <c r="C2895" s="12" t="s">
        <v>123</v>
      </c>
      <c r="D2895" s="12" t="s">
        <v>542</v>
      </c>
      <c r="E2895" s="12" t="s">
        <v>551</v>
      </c>
    </row>
    <row r="2896" spans="1:5" x14ac:dyDescent="0.3">
      <c r="A2896" s="12" t="s">
        <v>94</v>
      </c>
      <c r="B2896" s="12" t="s">
        <v>518</v>
      </c>
      <c r="C2896" s="12" t="s">
        <v>123</v>
      </c>
      <c r="E2896" s="12" t="s">
        <v>552</v>
      </c>
    </row>
    <row r="2897" spans="1:9" x14ac:dyDescent="0.3">
      <c r="A2897" s="12" t="s">
        <v>95</v>
      </c>
      <c r="B2897" s="12" t="s">
        <v>119</v>
      </c>
      <c r="C2897" s="12" t="s">
        <v>120</v>
      </c>
      <c r="D2897" s="12" t="s">
        <v>121</v>
      </c>
      <c r="E2897" s="12" t="s">
        <v>122</v>
      </c>
    </row>
    <row r="2898" spans="1:9" x14ac:dyDescent="0.3">
      <c r="A2898" s="12" t="s">
        <v>95</v>
      </c>
      <c r="B2898" s="12" t="s">
        <v>119</v>
      </c>
      <c r="C2898" s="12" t="s">
        <v>123</v>
      </c>
      <c r="D2898" s="12" t="s">
        <v>124</v>
      </c>
      <c r="E2898" s="12" t="s">
        <v>125</v>
      </c>
    </row>
    <row r="2899" spans="1:9" x14ac:dyDescent="0.3">
      <c r="A2899" s="12" t="s">
        <v>95</v>
      </c>
      <c r="B2899" s="12" t="s">
        <v>119</v>
      </c>
      <c r="C2899" s="12" t="s">
        <v>123</v>
      </c>
      <c r="D2899" s="12" t="s">
        <v>126</v>
      </c>
    </row>
    <row r="2900" spans="1:9" x14ac:dyDescent="0.3">
      <c r="A2900" s="12" t="s">
        <v>95</v>
      </c>
      <c r="B2900" s="12" t="s">
        <v>119</v>
      </c>
      <c r="C2900" s="12" t="s">
        <v>123</v>
      </c>
      <c r="D2900" s="12" t="s">
        <v>127</v>
      </c>
      <c r="E2900" s="12" t="s">
        <v>128</v>
      </c>
    </row>
    <row r="2901" spans="1:9" x14ac:dyDescent="0.3">
      <c r="A2901" s="12" t="s">
        <v>95</v>
      </c>
      <c r="B2901" s="12" t="s">
        <v>119</v>
      </c>
      <c r="C2901" s="12" t="s">
        <v>123</v>
      </c>
      <c r="D2901" s="12" t="s">
        <v>129</v>
      </c>
      <c r="E2901" s="12" t="s">
        <v>977</v>
      </c>
    </row>
    <row r="2902" spans="1:9" x14ac:dyDescent="0.3">
      <c r="A2902" s="12" t="s">
        <v>95</v>
      </c>
      <c r="B2902" s="12" t="s">
        <v>119</v>
      </c>
      <c r="C2902" s="12" t="s">
        <v>123</v>
      </c>
      <c r="D2902" s="12" t="s">
        <v>131</v>
      </c>
      <c r="E2902" s="12" t="s">
        <v>978</v>
      </c>
    </row>
    <row r="2903" spans="1:9" x14ac:dyDescent="0.3">
      <c r="A2903" s="12" t="s">
        <v>95</v>
      </c>
      <c r="B2903" s="12" t="s">
        <v>133</v>
      </c>
      <c r="C2903" s="12" t="s">
        <v>120</v>
      </c>
      <c r="D2903" s="12" t="s">
        <v>121</v>
      </c>
      <c r="E2903" s="12" t="s">
        <v>122</v>
      </c>
    </row>
    <row r="2904" spans="1:9" x14ac:dyDescent="0.3">
      <c r="A2904" s="12" t="s">
        <v>95</v>
      </c>
      <c r="B2904" s="12" t="s">
        <v>133</v>
      </c>
      <c r="C2904" s="12" t="s">
        <v>123</v>
      </c>
      <c r="D2904" s="12" t="s">
        <v>134</v>
      </c>
    </row>
    <row r="2905" spans="1:9" x14ac:dyDescent="0.3">
      <c r="A2905" s="12" t="s">
        <v>95</v>
      </c>
      <c r="B2905" s="12" t="s">
        <v>133</v>
      </c>
      <c r="C2905" s="12" t="s">
        <v>123</v>
      </c>
      <c r="D2905" s="12" t="s">
        <v>135</v>
      </c>
    </row>
    <row r="2906" spans="1:9" x14ac:dyDescent="0.3">
      <c r="A2906" s="12" t="s">
        <v>95</v>
      </c>
      <c r="B2906" s="12" t="s">
        <v>133</v>
      </c>
      <c r="C2906" s="12" t="s">
        <v>123</v>
      </c>
      <c r="D2906" s="12" t="s">
        <v>136</v>
      </c>
    </row>
    <row r="2907" spans="1:9" x14ac:dyDescent="0.3">
      <c r="A2907" s="12" t="s">
        <v>95</v>
      </c>
      <c r="B2907" s="12" t="s">
        <v>133</v>
      </c>
      <c r="C2907" s="12" t="s">
        <v>123</v>
      </c>
      <c r="D2907" s="12" t="s">
        <v>137</v>
      </c>
    </row>
    <row r="2908" spans="1:9" x14ac:dyDescent="0.3">
      <c r="A2908" s="12" t="s">
        <v>95</v>
      </c>
      <c r="B2908" s="12" t="s">
        <v>133</v>
      </c>
      <c r="C2908" s="12" t="s">
        <v>123</v>
      </c>
      <c r="D2908" s="12" t="s">
        <v>138</v>
      </c>
      <c r="E2908" s="12" t="s">
        <v>139</v>
      </c>
    </row>
    <row r="2909" spans="1:9" x14ac:dyDescent="0.3">
      <c r="A2909" s="12" t="s">
        <v>95</v>
      </c>
      <c r="B2909" s="12" t="s">
        <v>133</v>
      </c>
      <c r="C2909" s="12" t="s">
        <v>123</v>
      </c>
      <c r="D2909" s="12" t="s">
        <v>140</v>
      </c>
      <c r="E2909" s="12" t="s">
        <v>141</v>
      </c>
    </row>
    <row r="2910" spans="1:9" x14ac:dyDescent="0.3">
      <c r="A2910" s="12" t="s">
        <v>95</v>
      </c>
      <c r="B2910" s="12" t="s">
        <v>133</v>
      </c>
      <c r="C2910" s="12" t="s">
        <v>123</v>
      </c>
      <c r="D2910" s="12" t="s">
        <v>142</v>
      </c>
      <c r="E2910" s="12" t="s">
        <v>114</v>
      </c>
    </row>
    <row r="2911" spans="1:9" x14ac:dyDescent="0.3">
      <c r="A2911" s="12" t="s">
        <v>95</v>
      </c>
      <c r="B2911" s="12" t="s">
        <v>143</v>
      </c>
      <c r="C2911" s="12" t="s">
        <v>120</v>
      </c>
      <c r="D2911" s="12" t="s">
        <v>144</v>
      </c>
      <c r="E2911" s="12" t="s">
        <v>145</v>
      </c>
      <c r="F2911" s="12" t="s">
        <v>146</v>
      </c>
      <c r="G2911" s="12" t="s">
        <v>147</v>
      </c>
      <c r="H2911" s="12" t="s">
        <v>148</v>
      </c>
      <c r="I2911" s="12" t="s">
        <v>99</v>
      </c>
    </row>
    <row r="2912" spans="1:9" x14ac:dyDescent="0.3">
      <c r="A2912" s="12" t="s">
        <v>95</v>
      </c>
      <c r="B2912" s="12" t="s">
        <v>143</v>
      </c>
      <c r="C2912" s="12" t="s">
        <v>123</v>
      </c>
      <c r="D2912" s="12" t="s">
        <v>149</v>
      </c>
      <c r="E2912" s="12">
        <v>48577.981124999998</v>
      </c>
      <c r="F2912" s="12">
        <v>48883.171125000001</v>
      </c>
      <c r="G2912" s="12">
        <v>0</v>
      </c>
      <c r="H2912" s="12">
        <v>48883.171125000001</v>
      </c>
      <c r="I2912" s="12">
        <v>305.19</v>
      </c>
    </row>
    <row r="2913" spans="1:15" x14ac:dyDescent="0.3">
      <c r="A2913" s="12" t="s">
        <v>95</v>
      </c>
      <c r="B2913" s="12" t="s">
        <v>143</v>
      </c>
      <c r="C2913" s="12" t="s">
        <v>123</v>
      </c>
      <c r="D2913" s="12" t="s">
        <v>150</v>
      </c>
      <c r="E2913" s="12">
        <v>465468.75</v>
      </c>
      <c r="F2913" s="12">
        <v>454643.32</v>
      </c>
      <c r="G2913" s="12">
        <v>0</v>
      </c>
      <c r="H2913" s="12">
        <v>454643.32</v>
      </c>
      <c r="I2913" s="12">
        <v>-10825.43</v>
      </c>
    </row>
    <row r="2914" spans="1:15" x14ac:dyDescent="0.3">
      <c r="A2914" s="12" t="s">
        <v>95</v>
      </c>
      <c r="B2914" s="12" t="s">
        <v>143</v>
      </c>
      <c r="C2914" s="12" t="s">
        <v>123</v>
      </c>
      <c r="D2914" s="12" t="s">
        <v>151</v>
      </c>
      <c r="E2914" s="12">
        <v>85.29</v>
      </c>
      <c r="F2914" s="12">
        <v>93.5</v>
      </c>
      <c r="G2914" s="12">
        <v>0</v>
      </c>
      <c r="H2914" s="12">
        <v>93.5</v>
      </c>
      <c r="I2914" s="12">
        <v>8.2100000000000009</v>
      </c>
    </row>
    <row r="2915" spans="1:15" x14ac:dyDescent="0.3">
      <c r="A2915" s="12" t="s">
        <v>95</v>
      </c>
      <c r="B2915" s="12" t="s">
        <v>143</v>
      </c>
      <c r="C2915" s="12" t="s">
        <v>123</v>
      </c>
      <c r="D2915" s="12" t="s">
        <v>152</v>
      </c>
      <c r="E2915" s="12">
        <v>71.45</v>
      </c>
      <c r="F2915" s="12">
        <v>69.900000000000006</v>
      </c>
      <c r="G2915" s="12">
        <v>0</v>
      </c>
      <c r="H2915" s="12">
        <v>69.900000000000006</v>
      </c>
      <c r="I2915" s="12">
        <v>-1.55</v>
      </c>
    </row>
    <row r="2916" spans="1:15" x14ac:dyDescent="0.3">
      <c r="A2916" s="12" t="s">
        <v>95</v>
      </c>
      <c r="B2916" s="12" t="s">
        <v>143</v>
      </c>
      <c r="C2916" s="12" t="s">
        <v>123</v>
      </c>
      <c r="D2916" s="12" t="s">
        <v>97</v>
      </c>
      <c r="E2916" s="12">
        <v>514203.47112499998</v>
      </c>
      <c r="F2916" s="12">
        <v>503689.89112500002</v>
      </c>
      <c r="G2916" s="12">
        <v>0</v>
      </c>
      <c r="H2916" s="12">
        <v>503689.89112500002</v>
      </c>
      <c r="I2916" s="12">
        <v>-10513.58</v>
      </c>
    </row>
    <row r="2917" spans="1:15" x14ac:dyDescent="0.3">
      <c r="A2917" s="12" t="s">
        <v>95</v>
      </c>
      <c r="B2917" s="12" t="s">
        <v>143</v>
      </c>
      <c r="C2917" s="12" t="s">
        <v>120</v>
      </c>
      <c r="D2917" s="12" t="s">
        <v>153</v>
      </c>
    </row>
    <row r="2918" spans="1:15" x14ac:dyDescent="0.3">
      <c r="A2918" s="12" t="s">
        <v>95</v>
      </c>
      <c r="B2918" s="12" t="s">
        <v>143</v>
      </c>
      <c r="C2918" s="12" t="s">
        <v>123</v>
      </c>
      <c r="D2918" s="13">
        <v>-2.0446341949999999E-2</v>
      </c>
    </row>
    <row r="2919" spans="1:15" x14ac:dyDescent="0.3">
      <c r="A2919" s="12" t="s">
        <v>95</v>
      </c>
      <c r="B2919" s="12" t="s">
        <v>154</v>
      </c>
      <c r="C2919" s="12" t="s">
        <v>120</v>
      </c>
      <c r="D2919" s="12" t="s">
        <v>121</v>
      </c>
      <c r="E2919" s="12" t="s">
        <v>122</v>
      </c>
    </row>
    <row r="2920" spans="1:15" x14ac:dyDescent="0.3">
      <c r="A2920" s="12" t="s">
        <v>95</v>
      </c>
      <c r="B2920" s="12" t="s">
        <v>154</v>
      </c>
      <c r="C2920" s="12" t="s">
        <v>123</v>
      </c>
      <c r="D2920" s="12" t="s">
        <v>155</v>
      </c>
      <c r="E2920" s="12">
        <v>514203.47112499998</v>
      </c>
    </row>
    <row r="2921" spans="1:15" x14ac:dyDescent="0.3">
      <c r="A2921" s="12" t="s">
        <v>95</v>
      </c>
      <c r="B2921" s="12" t="s">
        <v>154</v>
      </c>
      <c r="C2921" s="12" t="s">
        <v>123</v>
      </c>
      <c r="D2921" s="12" t="s">
        <v>156</v>
      </c>
      <c r="E2921" s="12">
        <v>-10725.07</v>
      </c>
    </row>
    <row r="2922" spans="1:15" x14ac:dyDescent="0.3">
      <c r="A2922" s="12" t="s">
        <v>95</v>
      </c>
      <c r="B2922" s="12" t="s">
        <v>154</v>
      </c>
      <c r="C2922" s="12" t="s">
        <v>123</v>
      </c>
      <c r="D2922" s="12" t="s">
        <v>157</v>
      </c>
      <c r="E2922" s="12">
        <v>146.74</v>
      </c>
    </row>
    <row r="2923" spans="1:15" x14ac:dyDescent="0.3">
      <c r="A2923" s="12" t="s">
        <v>95</v>
      </c>
      <c r="B2923" s="12" t="s">
        <v>154</v>
      </c>
      <c r="C2923" s="12" t="s">
        <v>123</v>
      </c>
      <c r="D2923" s="12" t="s">
        <v>158</v>
      </c>
      <c r="E2923" s="12">
        <v>-36.71</v>
      </c>
    </row>
    <row r="2924" spans="1:15" x14ac:dyDescent="0.3">
      <c r="A2924" s="12" t="s">
        <v>95</v>
      </c>
      <c r="B2924" s="12" t="s">
        <v>154</v>
      </c>
      <c r="C2924" s="12" t="s">
        <v>123</v>
      </c>
      <c r="D2924" s="12" t="s">
        <v>159</v>
      </c>
      <c r="E2924" s="12">
        <v>-1.55</v>
      </c>
    </row>
    <row r="2925" spans="1:15" x14ac:dyDescent="0.3">
      <c r="A2925" s="12" t="s">
        <v>95</v>
      </c>
      <c r="B2925" s="12" t="s">
        <v>154</v>
      </c>
      <c r="C2925" s="12" t="s">
        <v>123</v>
      </c>
      <c r="D2925" s="12" t="s">
        <v>160</v>
      </c>
      <c r="E2925" s="12">
        <v>94.8</v>
      </c>
    </row>
    <row r="2926" spans="1:15" x14ac:dyDescent="0.3">
      <c r="A2926" s="12" t="s">
        <v>95</v>
      </c>
      <c r="B2926" s="12" t="s">
        <v>154</v>
      </c>
      <c r="C2926" s="12" t="s">
        <v>123</v>
      </c>
      <c r="D2926" s="12" t="s">
        <v>161</v>
      </c>
      <c r="E2926" s="12">
        <v>8.2100000000000009</v>
      </c>
    </row>
    <row r="2927" spans="1:15" x14ac:dyDescent="0.3">
      <c r="A2927" s="12" t="s">
        <v>95</v>
      </c>
      <c r="B2927" s="12" t="s">
        <v>154</v>
      </c>
      <c r="C2927" s="12" t="s">
        <v>123</v>
      </c>
      <c r="D2927" s="12" t="s">
        <v>163</v>
      </c>
      <c r="E2927" s="12">
        <v>503689.89112500002</v>
      </c>
    </row>
    <row r="2928" spans="1:15" x14ac:dyDescent="0.3">
      <c r="A2928" s="12" t="s">
        <v>95</v>
      </c>
      <c r="B2928" s="12" t="s">
        <v>164</v>
      </c>
      <c r="C2928" s="12" t="s">
        <v>120</v>
      </c>
      <c r="D2928" s="12" t="s">
        <v>100</v>
      </c>
      <c r="E2928" s="12" t="s">
        <v>0</v>
      </c>
      <c r="F2928" s="12" t="s">
        <v>101</v>
      </c>
      <c r="G2928" s="12" t="s">
        <v>102</v>
      </c>
      <c r="H2928" s="12" t="s">
        <v>103</v>
      </c>
      <c r="I2928" s="12" t="s">
        <v>104</v>
      </c>
      <c r="J2928" s="12" t="s">
        <v>105</v>
      </c>
      <c r="K2928" s="12" t="s">
        <v>106</v>
      </c>
      <c r="L2928" s="12" t="s">
        <v>107</v>
      </c>
      <c r="M2928" s="12" t="s">
        <v>108</v>
      </c>
      <c r="N2928" s="12" t="s">
        <v>109</v>
      </c>
      <c r="O2928" s="12" t="s">
        <v>165</v>
      </c>
    </row>
    <row r="2929" spans="1:14" x14ac:dyDescent="0.3">
      <c r="A2929" s="12" t="s">
        <v>95</v>
      </c>
      <c r="B2929" s="12" t="s">
        <v>164</v>
      </c>
      <c r="C2929" s="12" t="s">
        <v>123</v>
      </c>
      <c r="D2929" s="12" t="s">
        <v>110</v>
      </c>
      <c r="E2929" s="12" t="s">
        <v>2</v>
      </c>
      <c r="F2929" s="12">
        <v>72</v>
      </c>
      <c r="G2929" s="12">
        <v>72</v>
      </c>
      <c r="H2929" s="12">
        <v>210.62</v>
      </c>
      <c r="I2929" s="12">
        <v>222.08</v>
      </c>
      <c r="J2929" s="12">
        <v>825.12</v>
      </c>
      <c r="K2929" s="12">
        <v>0</v>
      </c>
      <c r="L2929" s="12">
        <v>0</v>
      </c>
      <c r="M2929" s="12">
        <v>0</v>
      </c>
      <c r="N2929" s="12">
        <v>825.12</v>
      </c>
    </row>
    <row r="2930" spans="1:14" x14ac:dyDescent="0.3">
      <c r="A2930" s="12" t="s">
        <v>95</v>
      </c>
      <c r="B2930" s="12" t="s">
        <v>164</v>
      </c>
      <c r="C2930" s="12" t="s">
        <v>123</v>
      </c>
      <c r="D2930" s="12" t="s">
        <v>110</v>
      </c>
      <c r="E2930" s="12" t="s">
        <v>63</v>
      </c>
      <c r="F2930" s="12">
        <v>55</v>
      </c>
      <c r="G2930" s="12">
        <v>0</v>
      </c>
      <c r="H2930" s="12">
        <v>100.89</v>
      </c>
      <c r="I2930" s="12" t="s">
        <v>111</v>
      </c>
      <c r="J2930" s="12">
        <v>-178.2</v>
      </c>
      <c r="K2930" s="12">
        <v>33</v>
      </c>
      <c r="L2930" s="12">
        <v>0</v>
      </c>
      <c r="M2930" s="12">
        <v>0</v>
      </c>
      <c r="N2930" s="12">
        <v>-145.19999999999999</v>
      </c>
    </row>
    <row r="2931" spans="1:14" x14ac:dyDescent="0.3">
      <c r="A2931" s="12" t="s">
        <v>95</v>
      </c>
      <c r="B2931" s="12" t="s">
        <v>164</v>
      </c>
      <c r="C2931" s="12" t="s">
        <v>123</v>
      </c>
      <c r="D2931" s="12" t="s">
        <v>110</v>
      </c>
      <c r="E2931" s="12" t="s">
        <v>64</v>
      </c>
      <c r="F2931" s="12">
        <v>23</v>
      </c>
      <c r="G2931" s="12">
        <v>0</v>
      </c>
      <c r="H2931" s="12">
        <v>228.26</v>
      </c>
      <c r="I2931" s="12" t="s">
        <v>111</v>
      </c>
      <c r="J2931" s="12">
        <v>231.61</v>
      </c>
      <c r="K2931" s="12">
        <v>-30.59</v>
      </c>
      <c r="L2931" s="12">
        <v>0</v>
      </c>
      <c r="M2931" s="12">
        <v>0</v>
      </c>
      <c r="N2931" s="12">
        <v>201.02</v>
      </c>
    </row>
    <row r="2932" spans="1:14" x14ac:dyDescent="0.3">
      <c r="A2932" s="12" t="s">
        <v>95</v>
      </c>
      <c r="B2932" s="12" t="s">
        <v>164</v>
      </c>
      <c r="C2932" s="12" t="s">
        <v>123</v>
      </c>
      <c r="D2932" s="12" t="s">
        <v>110</v>
      </c>
      <c r="E2932" s="12" t="s">
        <v>45</v>
      </c>
      <c r="F2932" s="12">
        <v>30</v>
      </c>
      <c r="G2932" s="12">
        <v>75</v>
      </c>
      <c r="H2932" s="12">
        <v>162.21</v>
      </c>
      <c r="I2932" s="12">
        <v>144.47999999999999</v>
      </c>
      <c r="J2932" s="12">
        <v>63</v>
      </c>
      <c r="K2932" s="12">
        <v>121.2</v>
      </c>
      <c r="L2932" s="12">
        <v>0</v>
      </c>
      <c r="M2932" s="12">
        <v>0</v>
      </c>
      <c r="N2932" s="12">
        <v>184.2</v>
      </c>
    </row>
    <row r="2933" spans="1:14" x14ac:dyDescent="0.3">
      <c r="A2933" s="12" t="s">
        <v>95</v>
      </c>
      <c r="B2933" s="12" t="s">
        <v>164</v>
      </c>
      <c r="C2933" s="12" t="s">
        <v>123</v>
      </c>
      <c r="D2933" s="12" t="s">
        <v>110</v>
      </c>
      <c r="E2933" s="12" t="s">
        <v>4</v>
      </c>
      <c r="F2933" s="12">
        <v>0</v>
      </c>
      <c r="G2933" s="12">
        <v>0</v>
      </c>
      <c r="H2933" s="12" t="s">
        <v>111</v>
      </c>
      <c r="I2933" s="12" t="s">
        <v>111</v>
      </c>
      <c r="J2933" s="12">
        <v>0</v>
      </c>
      <c r="K2933" s="12">
        <v>0</v>
      </c>
      <c r="L2933" s="12">
        <v>0</v>
      </c>
      <c r="M2933" s="12">
        <v>26.73</v>
      </c>
      <c r="N2933" s="12">
        <v>26.73</v>
      </c>
    </row>
    <row r="2934" spans="1:14" x14ac:dyDescent="0.3">
      <c r="A2934" s="12" t="s">
        <v>95</v>
      </c>
      <c r="B2934" s="12" t="s">
        <v>164</v>
      </c>
      <c r="C2934" s="12" t="s">
        <v>123</v>
      </c>
      <c r="D2934" s="12" t="s">
        <v>110</v>
      </c>
      <c r="E2934" s="12" t="s">
        <v>5</v>
      </c>
      <c r="F2934" s="12">
        <v>78</v>
      </c>
      <c r="G2934" s="12">
        <v>78</v>
      </c>
      <c r="H2934" s="12">
        <v>193.25</v>
      </c>
      <c r="I2934" s="12">
        <v>186.98</v>
      </c>
      <c r="J2934" s="12">
        <v>-489.06</v>
      </c>
      <c r="K2934" s="12">
        <v>0</v>
      </c>
      <c r="L2934" s="12">
        <v>0</v>
      </c>
      <c r="M2934" s="12">
        <v>0</v>
      </c>
      <c r="N2934" s="12">
        <v>-489.06</v>
      </c>
    </row>
    <row r="2935" spans="1:14" x14ac:dyDescent="0.3">
      <c r="A2935" s="12" t="s">
        <v>95</v>
      </c>
      <c r="B2935" s="12" t="s">
        <v>164</v>
      </c>
      <c r="C2935" s="12" t="s">
        <v>123</v>
      </c>
      <c r="D2935" s="12" t="s">
        <v>110</v>
      </c>
      <c r="E2935" s="12" t="s">
        <v>65</v>
      </c>
      <c r="F2935" s="12">
        <v>70</v>
      </c>
      <c r="G2935" s="12">
        <v>70</v>
      </c>
      <c r="H2935" s="12">
        <v>67.37</v>
      </c>
      <c r="I2935" s="12">
        <v>64.260000000000005</v>
      </c>
      <c r="J2935" s="12">
        <v>-217.7</v>
      </c>
      <c r="K2935" s="12">
        <v>0</v>
      </c>
      <c r="L2935" s="12">
        <v>0</v>
      </c>
      <c r="M2935" s="12">
        <v>5.77</v>
      </c>
      <c r="N2935" s="12">
        <v>-211.93</v>
      </c>
    </row>
    <row r="2936" spans="1:14" x14ac:dyDescent="0.3">
      <c r="A2936" s="12" t="s">
        <v>95</v>
      </c>
      <c r="B2936" s="12" t="s">
        <v>164</v>
      </c>
      <c r="C2936" s="12" t="s">
        <v>123</v>
      </c>
      <c r="D2936" s="12" t="s">
        <v>110</v>
      </c>
      <c r="E2936" s="12" t="s">
        <v>58</v>
      </c>
      <c r="F2936" s="12">
        <v>30</v>
      </c>
      <c r="G2936" s="12">
        <v>15</v>
      </c>
      <c r="H2936" s="12">
        <v>163.62</v>
      </c>
      <c r="I2936" s="12">
        <v>144.16999999999999</v>
      </c>
      <c r="J2936" s="12">
        <v>-624.45000000000005</v>
      </c>
      <c r="K2936" s="12">
        <v>111.9</v>
      </c>
      <c r="L2936" s="12">
        <v>0</v>
      </c>
      <c r="M2936" s="12">
        <v>0</v>
      </c>
      <c r="N2936" s="12">
        <v>-512.54999999999995</v>
      </c>
    </row>
    <row r="2937" spans="1:14" x14ac:dyDescent="0.3">
      <c r="A2937" s="12" t="s">
        <v>95</v>
      </c>
      <c r="B2937" s="12" t="s">
        <v>164</v>
      </c>
      <c r="C2937" s="12" t="s">
        <v>123</v>
      </c>
      <c r="D2937" s="12" t="s">
        <v>110</v>
      </c>
      <c r="E2937" s="12" t="s">
        <v>7</v>
      </c>
      <c r="F2937" s="12">
        <v>5</v>
      </c>
      <c r="G2937" s="12">
        <v>70</v>
      </c>
      <c r="H2937" s="17">
        <v>1605.53</v>
      </c>
      <c r="I2937" s="12">
        <v>160.68</v>
      </c>
      <c r="J2937" s="12">
        <v>-271.77</v>
      </c>
      <c r="K2937" s="12">
        <v>25.94</v>
      </c>
      <c r="L2937" s="12">
        <v>0</v>
      </c>
      <c r="M2937" s="12">
        <v>0</v>
      </c>
      <c r="N2937" s="12">
        <v>-245.83</v>
      </c>
    </row>
    <row r="2938" spans="1:14" x14ac:dyDescent="0.3">
      <c r="A2938" s="12" t="s">
        <v>95</v>
      </c>
      <c r="B2938" s="12" t="s">
        <v>164</v>
      </c>
      <c r="C2938" s="12" t="s">
        <v>123</v>
      </c>
      <c r="D2938" s="12" t="s">
        <v>110</v>
      </c>
      <c r="E2938" s="12" t="s">
        <v>8</v>
      </c>
      <c r="F2938" s="12">
        <v>291</v>
      </c>
      <c r="G2938" s="12">
        <v>100</v>
      </c>
      <c r="H2938" s="12">
        <v>39.770000000000003</v>
      </c>
      <c r="I2938" s="12">
        <v>40.31</v>
      </c>
      <c r="J2938" s="12">
        <v>458.92</v>
      </c>
      <c r="K2938" s="12">
        <v>-17.190000000000001</v>
      </c>
      <c r="L2938" s="12">
        <v>0</v>
      </c>
      <c r="M2938" s="12">
        <v>0</v>
      </c>
      <c r="N2938" s="12">
        <v>441.73</v>
      </c>
    </row>
    <row r="2939" spans="1:14" x14ac:dyDescent="0.3">
      <c r="A2939" s="12" t="s">
        <v>95</v>
      </c>
      <c r="B2939" s="12" t="s">
        <v>164</v>
      </c>
      <c r="C2939" s="12" t="s">
        <v>123</v>
      </c>
      <c r="D2939" s="12" t="s">
        <v>110</v>
      </c>
      <c r="E2939" s="12" t="s">
        <v>9</v>
      </c>
      <c r="F2939" s="12">
        <v>0</v>
      </c>
      <c r="G2939" s="12">
        <v>2</v>
      </c>
      <c r="H2939" s="12" t="s">
        <v>111</v>
      </c>
      <c r="I2939" s="17">
        <v>3715.01</v>
      </c>
      <c r="J2939" s="12">
        <v>110.26</v>
      </c>
      <c r="K2939" s="12">
        <v>-243.92</v>
      </c>
      <c r="L2939" s="12">
        <v>0</v>
      </c>
      <c r="M2939" s="12">
        <v>0</v>
      </c>
      <c r="N2939" s="12">
        <v>-133.66</v>
      </c>
    </row>
    <row r="2940" spans="1:14" x14ac:dyDescent="0.3">
      <c r="A2940" s="12" t="s">
        <v>95</v>
      </c>
      <c r="B2940" s="12" t="s">
        <v>164</v>
      </c>
      <c r="C2940" s="12" t="s">
        <v>123</v>
      </c>
      <c r="D2940" s="12" t="s">
        <v>110</v>
      </c>
      <c r="E2940" s="12" t="s">
        <v>3</v>
      </c>
      <c r="F2940" s="12">
        <v>166</v>
      </c>
      <c r="G2940" s="12">
        <v>140</v>
      </c>
      <c r="H2940" s="12">
        <v>63.46</v>
      </c>
      <c r="I2940" s="12">
        <v>64.88</v>
      </c>
      <c r="J2940" s="12">
        <v>340.6</v>
      </c>
      <c r="K2940" s="12">
        <v>52.74</v>
      </c>
      <c r="L2940" s="12">
        <v>0</v>
      </c>
      <c r="M2940" s="12">
        <v>0</v>
      </c>
      <c r="N2940" s="12">
        <v>393.34</v>
      </c>
    </row>
    <row r="2941" spans="1:14" x14ac:dyDescent="0.3">
      <c r="A2941" s="12" t="s">
        <v>95</v>
      </c>
      <c r="B2941" s="12" t="s">
        <v>164</v>
      </c>
      <c r="C2941" s="12" t="s">
        <v>123</v>
      </c>
      <c r="D2941" s="12" t="s">
        <v>110</v>
      </c>
      <c r="E2941" s="12" t="s">
        <v>11</v>
      </c>
      <c r="F2941" s="12">
        <v>5</v>
      </c>
      <c r="G2941" s="12">
        <v>10</v>
      </c>
      <c r="H2941" s="12">
        <v>849.99</v>
      </c>
      <c r="I2941" s="12">
        <v>822</v>
      </c>
      <c r="J2941" s="12">
        <v>-184.05</v>
      </c>
      <c r="K2941" s="12">
        <v>-53.7</v>
      </c>
      <c r="L2941" s="12">
        <v>0</v>
      </c>
      <c r="M2941" s="12">
        <v>0</v>
      </c>
      <c r="N2941" s="12">
        <v>-237.75</v>
      </c>
    </row>
    <row r="2942" spans="1:14" x14ac:dyDescent="0.3">
      <c r="A2942" s="12" t="s">
        <v>95</v>
      </c>
      <c r="B2942" s="12" t="s">
        <v>164</v>
      </c>
      <c r="C2942" s="12" t="s">
        <v>123</v>
      </c>
      <c r="D2942" s="12" t="s">
        <v>110</v>
      </c>
      <c r="E2942" s="12" t="s">
        <v>66</v>
      </c>
      <c r="F2942" s="12">
        <v>65</v>
      </c>
      <c r="G2942" s="12">
        <v>0</v>
      </c>
      <c r="H2942" s="12">
        <v>80.489999999999995</v>
      </c>
      <c r="I2942" s="12" t="s">
        <v>111</v>
      </c>
      <c r="J2942" s="12">
        <v>-84.5</v>
      </c>
      <c r="K2942" s="12">
        <v>16.25</v>
      </c>
      <c r="L2942" s="12">
        <v>0</v>
      </c>
      <c r="M2942" s="12">
        <v>0</v>
      </c>
      <c r="N2942" s="12">
        <v>-68.25</v>
      </c>
    </row>
    <row r="2943" spans="1:14" x14ac:dyDescent="0.3">
      <c r="A2943" s="12" t="s">
        <v>95</v>
      </c>
      <c r="B2943" s="12" t="s">
        <v>164</v>
      </c>
      <c r="C2943" s="12" t="s">
        <v>123</v>
      </c>
      <c r="D2943" s="12" t="s">
        <v>110</v>
      </c>
      <c r="E2943" s="12" t="s">
        <v>14</v>
      </c>
      <c r="F2943" s="12">
        <v>30</v>
      </c>
      <c r="G2943" s="12">
        <v>0</v>
      </c>
      <c r="H2943" s="12">
        <v>249.85</v>
      </c>
      <c r="I2943" s="12" t="s">
        <v>111</v>
      </c>
      <c r="J2943" s="12">
        <v>-295.5</v>
      </c>
      <c r="K2943" s="12">
        <v>38.1</v>
      </c>
      <c r="L2943" s="12">
        <v>0</v>
      </c>
      <c r="M2943" s="12">
        <v>6.07</v>
      </c>
      <c r="N2943" s="12">
        <v>-251.33</v>
      </c>
    </row>
    <row r="2944" spans="1:14" x14ac:dyDescent="0.3">
      <c r="A2944" s="12" t="s">
        <v>95</v>
      </c>
      <c r="B2944" s="12" t="s">
        <v>164</v>
      </c>
      <c r="C2944" s="12" t="s">
        <v>123</v>
      </c>
      <c r="D2944" s="12" t="s">
        <v>110</v>
      </c>
      <c r="E2944" s="12" t="s">
        <v>67</v>
      </c>
      <c r="F2944" s="12">
        <v>20</v>
      </c>
      <c r="G2944" s="12">
        <v>0</v>
      </c>
      <c r="H2944" s="12">
        <v>238</v>
      </c>
      <c r="I2944" s="12" t="s">
        <v>111</v>
      </c>
      <c r="J2944" s="12">
        <v>85.4</v>
      </c>
      <c r="K2944" s="12">
        <v>45</v>
      </c>
      <c r="L2944" s="12">
        <v>0</v>
      </c>
      <c r="M2944" s="12">
        <v>0</v>
      </c>
      <c r="N2944" s="12">
        <v>130.4</v>
      </c>
    </row>
    <row r="2945" spans="1:14" x14ac:dyDescent="0.3">
      <c r="A2945" s="12" t="s">
        <v>95</v>
      </c>
      <c r="B2945" s="12" t="s">
        <v>164</v>
      </c>
      <c r="C2945" s="12" t="s">
        <v>123</v>
      </c>
      <c r="D2945" s="12" t="s">
        <v>110</v>
      </c>
      <c r="E2945" s="12" t="s">
        <v>68</v>
      </c>
      <c r="F2945" s="12">
        <v>30</v>
      </c>
      <c r="G2945" s="12">
        <v>0</v>
      </c>
      <c r="H2945" s="12">
        <v>225.46</v>
      </c>
      <c r="I2945" s="12" t="s">
        <v>111</v>
      </c>
      <c r="J2945" s="12">
        <v>-82.5</v>
      </c>
      <c r="K2945" s="12">
        <v>0.3</v>
      </c>
      <c r="L2945" s="12">
        <v>0</v>
      </c>
      <c r="M2945" s="12">
        <v>0</v>
      </c>
      <c r="N2945" s="12">
        <v>-82.2</v>
      </c>
    </row>
    <row r="2946" spans="1:14" x14ac:dyDescent="0.3">
      <c r="A2946" s="12" t="s">
        <v>95</v>
      </c>
      <c r="B2946" s="12" t="s">
        <v>164</v>
      </c>
      <c r="C2946" s="12" t="s">
        <v>123</v>
      </c>
      <c r="D2946" s="12" t="s">
        <v>110</v>
      </c>
      <c r="E2946" s="12" t="s">
        <v>18</v>
      </c>
      <c r="F2946" s="12">
        <v>30</v>
      </c>
      <c r="G2946" s="12">
        <v>30</v>
      </c>
      <c r="H2946" s="12">
        <v>290.14</v>
      </c>
      <c r="I2946" s="12">
        <v>298.70999999999998</v>
      </c>
      <c r="J2946" s="12">
        <v>257.10000000000002</v>
      </c>
      <c r="K2946" s="12">
        <v>0</v>
      </c>
      <c r="L2946" s="12">
        <v>0</v>
      </c>
      <c r="M2946" s="12">
        <v>0</v>
      </c>
      <c r="N2946" s="12">
        <v>257.10000000000002</v>
      </c>
    </row>
    <row r="2947" spans="1:14" x14ac:dyDescent="0.3">
      <c r="A2947" s="12" t="s">
        <v>95</v>
      </c>
      <c r="B2947" s="12" t="s">
        <v>164</v>
      </c>
      <c r="C2947" s="12" t="s">
        <v>123</v>
      </c>
      <c r="D2947" s="12" t="s">
        <v>110</v>
      </c>
      <c r="E2947" s="12" t="s">
        <v>48</v>
      </c>
      <c r="F2947" s="12">
        <v>45</v>
      </c>
      <c r="G2947" s="12">
        <v>65</v>
      </c>
      <c r="H2947" s="12">
        <v>158.97</v>
      </c>
      <c r="I2947" s="12">
        <v>170.2</v>
      </c>
      <c r="J2947" s="12">
        <v>1184.45</v>
      </c>
      <c r="K2947" s="12">
        <v>-120.05</v>
      </c>
      <c r="L2947" s="12">
        <v>0</v>
      </c>
      <c r="M2947" s="12">
        <v>9.4499999999999993</v>
      </c>
      <c r="N2947" s="12">
        <v>1073.8499999999999</v>
      </c>
    </row>
    <row r="2948" spans="1:14" x14ac:dyDescent="0.3">
      <c r="A2948" s="12" t="s">
        <v>95</v>
      </c>
      <c r="B2948" s="12" t="s">
        <v>164</v>
      </c>
      <c r="C2948" s="12" t="s">
        <v>123</v>
      </c>
      <c r="D2948" s="12" t="s">
        <v>110</v>
      </c>
      <c r="E2948" s="12" t="s">
        <v>54</v>
      </c>
      <c r="F2948" s="12">
        <v>26</v>
      </c>
      <c r="G2948" s="12">
        <v>30</v>
      </c>
      <c r="H2948" s="12">
        <v>171.51</v>
      </c>
      <c r="I2948" s="12">
        <v>178.24</v>
      </c>
      <c r="J2948" s="12">
        <v>507.24</v>
      </c>
      <c r="K2948" s="12">
        <v>156.32</v>
      </c>
      <c r="L2948" s="12">
        <v>0</v>
      </c>
      <c r="M2948" s="12">
        <v>0</v>
      </c>
      <c r="N2948" s="12">
        <v>663.56</v>
      </c>
    </row>
    <row r="2949" spans="1:14" x14ac:dyDescent="0.3">
      <c r="A2949" s="12" t="s">
        <v>95</v>
      </c>
      <c r="B2949" s="12" t="s">
        <v>164</v>
      </c>
      <c r="C2949" s="12" t="s">
        <v>123</v>
      </c>
      <c r="D2949" s="12" t="s">
        <v>110</v>
      </c>
      <c r="E2949" s="12" t="s">
        <v>19</v>
      </c>
      <c r="F2949" s="12">
        <v>64</v>
      </c>
      <c r="G2949" s="12">
        <v>100</v>
      </c>
      <c r="H2949" s="12">
        <v>182.15</v>
      </c>
      <c r="I2949" s="12">
        <v>171.54</v>
      </c>
      <c r="J2949" s="12">
        <v>-1184.1199999999999</v>
      </c>
      <c r="K2949" s="12">
        <v>-6.84</v>
      </c>
      <c r="L2949" s="12">
        <v>0</v>
      </c>
      <c r="M2949" s="12">
        <v>0</v>
      </c>
      <c r="N2949" s="12">
        <v>-1190.96</v>
      </c>
    </row>
    <row r="2950" spans="1:14" x14ac:dyDescent="0.3">
      <c r="A2950" s="12" t="s">
        <v>95</v>
      </c>
      <c r="B2950" s="12" t="s">
        <v>164</v>
      </c>
      <c r="C2950" s="12" t="s">
        <v>123</v>
      </c>
      <c r="D2950" s="12" t="s">
        <v>110</v>
      </c>
      <c r="E2950" s="12" t="s">
        <v>69</v>
      </c>
      <c r="F2950" s="12">
        <v>15</v>
      </c>
      <c r="G2950" s="12">
        <v>0</v>
      </c>
      <c r="H2950" s="12">
        <v>321.27999999999997</v>
      </c>
      <c r="I2950" s="12" t="s">
        <v>111</v>
      </c>
      <c r="J2950" s="12">
        <v>45.6</v>
      </c>
      <c r="K2950" s="12">
        <v>26.1</v>
      </c>
      <c r="L2950" s="12">
        <v>0</v>
      </c>
      <c r="M2950" s="12">
        <v>7.42</v>
      </c>
      <c r="N2950" s="12">
        <v>79.12</v>
      </c>
    </row>
    <row r="2951" spans="1:14" x14ac:dyDescent="0.3">
      <c r="A2951" s="12" t="s">
        <v>95</v>
      </c>
      <c r="B2951" s="12" t="s">
        <v>164</v>
      </c>
      <c r="C2951" s="12" t="s">
        <v>123</v>
      </c>
      <c r="D2951" s="12" t="s">
        <v>110</v>
      </c>
      <c r="E2951" s="12" t="s">
        <v>20</v>
      </c>
      <c r="F2951" s="12">
        <v>31</v>
      </c>
      <c r="G2951" s="12">
        <v>0</v>
      </c>
      <c r="H2951" s="12">
        <v>344.24</v>
      </c>
      <c r="I2951" s="12" t="s">
        <v>111</v>
      </c>
      <c r="J2951" s="12">
        <v>-299.45999999999998</v>
      </c>
      <c r="K2951" s="12">
        <v>30.69</v>
      </c>
      <c r="L2951" s="12">
        <v>0</v>
      </c>
      <c r="M2951" s="12">
        <v>0</v>
      </c>
      <c r="N2951" s="12">
        <v>-268.77</v>
      </c>
    </row>
    <row r="2952" spans="1:14" x14ac:dyDescent="0.3">
      <c r="A2952" s="12" t="s">
        <v>95</v>
      </c>
      <c r="B2952" s="12" t="s">
        <v>164</v>
      </c>
      <c r="C2952" s="12" t="s">
        <v>123</v>
      </c>
      <c r="D2952" s="12" t="s">
        <v>110</v>
      </c>
      <c r="E2952" s="12" t="s">
        <v>22</v>
      </c>
      <c r="F2952" s="12">
        <v>83</v>
      </c>
      <c r="G2952" s="12">
        <v>43</v>
      </c>
      <c r="H2952" s="12">
        <v>77.63</v>
      </c>
      <c r="I2952" s="12">
        <v>95.7</v>
      </c>
      <c r="J2952" s="12">
        <v>968.21</v>
      </c>
      <c r="K2952" s="12">
        <v>-42.4</v>
      </c>
      <c r="L2952" s="12">
        <v>0</v>
      </c>
      <c r="M2952" s="12">
        <v>0</v>
      </c>
      <c r="N2952" s="12">
        <v>925.81</v>
      </c>
    </row>
    <row r="2953" spans="1:14" x14ac:dyDescent="0.3">
      <c r="A2953" s="12" t="s">
        <v>95</v>
      </c>
      <c r="B2953" s="12" t="s">
        <v>164</v>
      </c>
      <c r="C2953" s="12" t="s">
        <v>123</v>
      </c>
      <c r="D2953" s="12" t="s">
        <v>110</v>
      </c>
      <c r="E2953" s="12" t="s">
        <v>37</v>
      </c>
      <c r="F2953" s="12">
        <v>15</v>
      </c>
      <c r="G2953" s="12">
        <v>0</v>
      </c>
      <c r="H2953" s="12">
        <v>172.95</v>
      </c>
      <c r="I2953" s="12" t="s">
        <v>111</v>
      </c>
      <c r="J2953" s="12">
        <v>148.19999999999999</v>
      </c>
      <c r="K2953" s="12">
        <v>2.5499999999999998</v>
      </c>
      <c r="L2953" s="12">
        <v>0</v>
      </c>
      <c r="M2953" s="12">
        <v>0</v>
      </c>
      <c r="N2953" s="12">
        <v>150.75</v>
      </c>
    </row>
    <row r="2954" spans="1:14" x14ac:dyDescent="0.3">
      <c r="A2954" s="12" t="s">
        <v>95</v>
      </c>
      <c r="B2954" s="12" t="s">
        <v>164</v>
      </c>
      <c r="C2954" s="12" t="s">
        <v>123</v>
      </c>
      <c r="D2954" s="12" t="s">
        <v>110</v>
      </c>
      <c r="E2954" s="12" t="s">
        <v>24</v>
      </c>
      <c r="F2954" s="12">
        <v>50</v>
      </c>
      <c r="G2954" s="12">
        <v>50</v>
      </c>
      <c r="H2954" s="12">
        <v>90.84</v>
      </c>
      <c r="I2954" s="12">
        <v>100.4</v>
      </c>
      <c r="J2954" s="12">
        <v>478</v>
      </c>
      <c r="K2954" s="12">
        <v>0</v>
      </c>
      <c r="L2954" s="12">
        <v>0</v>
      </c>
      <c r="M2954" s="12">
        <v>0</v>
      </c>
      <c r="N2954" s="12">
        <v>478</v>
      </c>
    </row>
    <row r="2955" spans="1:14" x14ac:dyDescent="0.3">
      <c r="A2955" s="12" t="s">
        <v>95</v>
      </c>
      <c r="B2955" s="12" t="s">
        <v>164</v>
      </c>
      <c r="C2955" s="12" t="s">
        <v>123</v>
      </c>
      <c r="D2955" s="12" t="s">
        <v>110</v>
      </c>
      <c r="E2955" s="12" t="s">
        <v>70</v>
      </c>
      <c r="F2955" s="12">
        <v>25</v>
      </c>
      <c r="G2955" s="12">
        <v>55</v>
      </c>
      <c r="H2955" s="12">
        <v>202.26</v>
      </c>
      <c r="I2955" s="12">
        <v>212.8</v>
      </c>
      <c r="J2955" s="12">
        <v>536.95000000000005</v>
      </c>
      <c r="K2955" s="12">
        <v>-96.3</v>
      </c>
      <c r="L2955" s="12">
        <v>0</v>
      </c>
      <c r="M2955" s="12">
        <v>21.56</v>
      </c>
      <c r="N2955" s="12">
        <v>462.21</v>
      </c>
    </row>
    <row r="2956" spans="1:14" x14ac:dyDescent="0.3">
      <c r="A2956" s="12" t="s">
        <v>95</v>
      </c>
      <c r="B2956" s="12" t="s">
        <v>164</v>
      </c>
      <c r="C2956" s="12" t="s">
        <v>123</v>
      </c>
      <c r="D2956" s="12" t="s">
        <v>110</v>
      </c>
      <c r="E2956" s="12" t="s">
        <v>59</v>
      </c>
      <c r="F2956" s="12">
        <v>0</v>
      </c>
      <c r="G2956" s="12">
        <v>0</v>
      </c>
      <c r="H2956" s="12" t="s">
        <v>111</v>
      </c>
      <c r="I2956" s="12" t="s">
        <v>111</v>
      </c>
      <c r="J2956" s="12">
        <v>0</v>
      </c>
      <c r="K2956" s="12">
        <v>0</v>
      </c>
      <c r="L2956" s="12">
        <v>0</v>
      </c>
      <c r="M2956" s="12">
        <v>25.46</v>
      </c>
      <c r="N2956" s="12">
        <v>25.46</v>
      </c>
    </row>
    <row r="2957" spans="1:14" x14ac:dyDescent="0.3">
      <c r="A2957" s="12" t="s">
        <v>95</v>
      </c>
      <c r="B2957" s="12" t="s">
        <v>164</v>
      </c>
      <c r="C2957" s="12" t="s">
        <v>123</v>
      </c>
      <c r="D2957" s="12" t="s">
        <v>110</v>
      </c>
      <c r="E2957" s="12" t="s">
        <v>49</v>
      </c>
      <c r="F2957" s="12">
        <v>10</v>
      </c>
      <c r="G2957" s="12">
        <v>10</v>
      </c>
      <c r="H2957" s="12">
        <v>905.38</v>
      </c>
      <c r="I2957" s="12">
        <v>804.27</v>
      </c>
      <c r="J2957" s="12">
        <v>-1011.1</v>
      </c>
      <c r="K2957" s="12">
        <v>0</v>
      </c>
      <c r="L2957" s="12">
        <v>0</v>
      </c>
      <c r="M2957" s="12">
        <v>0</v>
      </c>
      <c r="N2957" s="12">
        <v>-1011.1</v>
      </c>
    </row>
    <row r="2958" spans="1:14" x14ac:dyDescent="0.3">
      <c r="A2958" s="12" t="s">
        <v>95</v>
      </c>
      <c r="B2958" s="12" t="s">
        <v>164</v>
      </c>
      <c r="C2958" s="12" t="s">
        <v>123</v>
      </c>
      <c r="D2958" s="12" t="s">
        <v>110</v>
      </c>
      <c r="E2958" s="12" t="s">
        <v>26</v>
      </c>
      <c r="F2958" s="12">
        <v>0</v>
      </c>
      <c r="G2958" s="12">
        <v>10</v>
      </c>
      <c r="H2958" s="12" t="s">
        <v>111</v>
      </c>
      <c r="I2958" s="12">
        <v>456.48</v>
      </c>
      <c r="J2958" s="12">
        <v>226.7</v>
      </c>
      <c r="K2958" s="12">
        <v>-77.400000000000006</v>
      </c>
      <c r="L2958" s="12">
        <v>0</v>
      </c>
      <c r="M2958" s="12">
        <v>0</v>
      </c>
      <c r="N2958" s="12">
        <v>149.30000000000001</v>
      </c>
    </row>
    <row r="2959" spans="1:14" x14ac:dyDescent="0.3">
      <c r="A2959" s="12" t="s">
        <v>95</v>
      </c>
      <c r="B2959" s="12" t="s">
        <v>164</v>
      </c>
      <c r="C2959" s="12" t="s">
        <v>123</v>
      </c>
      <c r="D2959" s="12" t="s">
        <v>110</v>
      </c>
      <c r="E2959" s="12" t="s">
        <v>27</v>
      </c>
      <c r="F2959" s="12">
        <v>30</v>
      </c>
      <c r="G2959" s="12">
        <v>15</v>
      </c>
      <c r="H2959" s="12">
        <v>504.22</v>
      </c>
      <c r="I2959" s="12">
        <v>474.83</v>
      </c>
      <c r="J2959" s="12">
        <v>-881.7</v>
      </c>
      <c r="K2959" s="12">
        <v>-0.9</v>
      </c>
      <c r="L2959" s="12">
        <v>0</v>
      </c>
      <c r="M2959" s="12">
        <v>0</v>
      </c>
      <c r="N2959" s="12">
        <v>-882.6</v>
      </c>
    </row>
    <row r="2960" spans="1:14" x14ac:dyDescent="0.3">
      <c r="A2960" s="12" t="s">
        <v>95</v>
      </c>
      <c r="B2960" s="12" t="s">
        <v>164</v>
      </c>
      <c r="C2960" s="12" t="s">
        <v>123</v>
      </c>
      <c r="D2960" s="12" t="s">
        <v>110</v>
      </c>
      <c r="E2960" s="12" t="s">
        <v>28</v>
      </c>
      <c r="F2960" s="12">
        <v>49</v>
      </c>
      <c r="G2960" s="12">
        <v>61</v>
      </c>
      <c r="H2960" s="12">
        <v>446.95</v>
      </c>
      <c r="I2960" s="12">
        <v>418.35</v>
      </c>
      <c r="J2960" s="12">
        <v>-1665.64</v>
      </c>
      <c r="K2960" s="12">
        <v>-5.4</v>
      </c>
      <c r="L2960" s="12">
        <v>0</v>
      </c>
      <c r="M2960" s="12">
        <v>0</v>
      </c>
      <c r="N2960" s="12">
        <v>-1671.04</v>
      </c>
    </row>
    <row r="2961" spans="1:14" x14ac:dyDescent="0.3">
      <c r="A2961" s="12" t="s">
        <v>95</v>
      </c>
      <c r="B2961" s="12" t="s">
        <v>164</v>
      </c>
      <c r="C2961" s="12" t="s">
        <v>123</v>
      </c>
      <c r="D2961" s="12" t="s">
        <v>110</v>
      </c>
      <c r="E2961" s="12" t="s">
        <v>55</v>
      </c>
      <c r="F2961" s="12">
        <v>80</v>
      </c>
      <c r="G2961" s="12">
        <v>80</v>
      </c>
      <c r="H2961" s="12">
        <v>131.53</v>
      </c>
      <c r="I2961" s="12">
        <v>109.82</v>
      </c>
      <c r="J2961" s="12">
        <v>-1736.8</v>
      </c>
      <c r="K2961" s="12">
        <v>0</v>
      </c>
      <c r="L2961" s="12">
        <v>0</v>
      </c>
      <c r="M2961" s="12">
        <v>6.9</v>
      </c>
      <c r="N2961" s="12">
        <v>-1729.9</v>
      </c>
    </row>
    <row r="2962" spans="1:14" x14ac:dyDescent="0.3">
      <c r="A2962" s="12" t="s">
        <v>95</v>
      </c>
      <c r="B2962" s="12" t="s">
        <v>164</v>
      </c>
      <c r="C2962" s="12" t="s">
        <v>123</v>
      </c>
      <c r="D2962" s="12" t="s">
        <v>110</v>
      </c>
      <c r="E2962" s="12" t="s">
        <v>50</v>
      </c>
      <c r="F2962" s="12">
        <v>7</v>
      </c>
      <c r="G2962" s="12">
        <v>0</v>
      </c>
      <c r="H2962" s="12">
        <v>786.67</v>
      </c>
      <c r="I2962" s="12" t="s">
        <v>111</v>
      </c>
      <c r="J2962" s="12">
        <v>-298.62</v>
      </c>
      <c r="K2962" s="12">
        <v>26.39</v>
      </c>
      <c r="L2962" s="12">
        <v>0</v>
      </c>
      <c r="M2962" s="12">
        <v>0</v>
      </c>
      <c r="N2962" s="12">
        <v>-272.23</v>
      </c>
    </row>
    <row r="2963" spans="1:14" x14ac:dyDescent="0.3">
      <c r="A2963" s="12" t="s">
        <v>95</v>
      </c>
      <c r="B2963" s="12" t="s">
        <v>164</v>
      </c>
      <c r="C2963" s="12" t="s">
        <v>123</v>
      </c>
      <c r="D2963" s="12" t="s">
        <v>110</v>
      </c>
      <c r="E2963" s="12" t="s">
        <v>71</v>
      </c>
      <c r="F2963" s="12">
        <v>100</v>
      </c>
      <c r="G2963" s="12">
        <v>100</v>
      </c>
      <c r="H2963" s="12">
        <v>123.54</v>
      </c>
      <c r="I2963" s="12">
        <v>117.02</v>
      </c>
      <c r="J2963" s="12">
        <v>-652</v>
      </c>
      <c r="K2963" s="12">
        <v>0</v>
      </c>
      <c r="L2963" s="12">
        <v>0</v>
      </c>
      <c r="M2963" s="12">
        <v>0</v>
      </c>
      <c r="N2963" s="12">
        <v>-652</v>
      </c>
    </row>
    <row r="2964" spans="1:14" x14ac:dyDescent="0.3">
      <c r="A2964" s="12" t="s">
        <v>95</v>
      </c>
      <c r="B2964" s="12" t="s">
        <v>164</v>
      </c>
      <c r="C2964" s="12" t="s">
        <v>123</v>
      </c>
      <c r="D2964" s="12" t="s">
        <v>110</v>
      </c>
      <c r="E2964" s="12" t="s">
        <v>56</v>
      </c>
      <c r="F2964" s="12">
        <v>50</v>
      </c>
      <c r="G2964" s="12">
        <v>50</v>
      </c>
      <c r="H2964" s="12">
        <v>142.74</v>
      </c>
      <c r="I2964" s="12">
        <v>132.63</v>
      </c>
      <c r="J2964" s="12">
        <v>-505.5</v>
      </c>
      <c r="K2964" s="12">
        <v>0</v>
      </c>
      <c r="L2964" s="12">
        <v>0</v>
      </c>
      <c r="M2964" s="12">
        <v>0</v>
      </c>
      <c r="N2964" s="12">
        <v>-505.5</v>
      </c>
    </row>
    <row r="2965" spans="1:14" x14ac:dyDescent="0.3">
      <c r="A2965" s="12" t="s">
        <v>95</v>
      </c>
      <c r="B2965" s="12" t="s">
        <v>164</v>
      </c>
      <c r="C2965" s="12" t="s">
        <v>123</v>
      </c>
      <c r="D2965" s="12" t="s">
        <v>110</v>
      </c>
      <c r="E2965" s="12" t="s">
        <v>72</v>
      </c>
      <c r="F2965" s="12">
        <v>18</v>
      </c>
      <c r="G2965" s="12">
        <v>0</v>
      </c>
      <c r="H2965" s="12">
        <v>269.08999999999997</v>
      </c>
      <c r="I2965" s="12" t="s">
        <v>111</v>
      </c>
      <c r="J2965" s="12">
        <v>3.6</v>
      </c>
      <c r="K2965" s="12">
        <v>52.2</v>
      </c>
      <c r="L2965" s="12">
        <v>0</v>
      </c>
      <c r="M2965" s="12">
        <v>0</v>
      </c>
      <c r="N2965" s="12">
        <v>55.8</v>
      </c>
    </row>
    <row r="2966" spans="1:14" x14ac:dyDescent="0.3">
      <c r="A2966" s="12" t="s">
        <v>95</v>
      </c>
      <c r="B2966" s="12" t="s">
        <v>164</v>
      </c>
      <c r="C2966" s="12" t="s">
        <v>123</v>
      </c>
      <c r="D2966" s="12" t="s">
        <v>110</v>
      </c>
      <c r="E2966" s="12" t="s">
        <v>29</v>
      </c>
      <c r="F2966" s="12">
        <v>15</v>
      </c>
      <c r="G2966" s="12">
        <v>15</v>
      </c>
      <c r="H2966" s="12">
        <v>339.01</v>
      </c>
      <c r="I2966" s="12">
        <v>324.73</v>
      </c>
      <c r="J2966" s="12">
        <v>-214.2</v>
      </c>
      <c r="K2966" s="12">
        <v>0</v>
      </c>
      <c r="L2966" s="12">
        <v>0</v>
      </c>
      <c r="M2966" s="12">
        <v>0</v>
      </c>
      <c r="N2966" s="12">
        <v>-214.2</v>
      </c>
    </row>
    <row r="2967" spans="1:14" x14ac:dyDescent="0.3">
      <c r="A2967" s="12" t="s">
        <v>95</v>
      </c>
      <c r="B2967" s="12" t="s">
        <v>164</v>
      </c>
      <c r="C2967" s="12" t="s">
        <v>123</v>
      </c>
      <c r="D2967" s="12" t="s">
        <v>110</v>
      </c>
      <c r="E2967" s="12" t="s">
        <v>73</v>
      </c>
      <c r="F2967" s="12">
        <v>20</v>
      </c>
      <c r="G2967" s="12">
        <v>0</v>
      </c>
      <c r="H2967" s="12">
        <v>141.16999999999999</v>
      </c>
      <c r="I2967" s="12" t="s">
        <v>111</v>
      </c>
      <c r="J2967" s="12">
        <v>-104.4</v>
      </c>
      <c r="K2967" s="12">
        <v>5.8</v>
      </c>
      <c r="L2967" s="12">
        <v>0</v>
      </c>
      <c r="M2967" s="12">
        <v>0</v>
      </c>
      <c r="N2967" s="12">
        <v>-98.6</v>
      </c>
    </row>
    <row r="2968" spans="1:14" x14ac:dyDescent="0.3">
      <c r="A2968" s="12" t="s">
        <v>95</v>
      </c>
      <c r="B2968" s="12" t="s">
        <v>164</v>
      </c>
      <c r="C2968" s="12" t="s">
        <v>123</v>
      </c>
      <c r="D2968" s="12" t="s">
        <v>110</v>
      </c>
      <c r="E2968" s="12" t="s">
        <v>74</v>
      </c>
      <c r="F2968" s="12">
        <v>10</v>
      </c>
      <c r="G2968" s="12">
        <v>0</v>
      </c>
      <c r="H2968" s="12">
        <v>254.09</v>
      </c>
      <c r="I2968" s="12" t="s">
        <v>111</v>
      </c>
      <c r="J2968" s="12">
        <v>5.7</v>
      </c>
      <c r="K2968" s="12">
        <v>0.9</v>
      </c>
      <c r="L2968" s="12">
        <v>0</v>
      </c>
      <c r="M2968" s="12">
        <v>0.67</v>
      </c>
      <c r="N2968" s="12">
        <v>7.27</v>
      </c>
    </row>
    <row r="2969" spans="1:14" x14ac:dyDescent="0.3">
      <c r="A2969" s="12" t="s">
        <v>95</v>
      </c>
      <c r="B2969" s="12" t="s">
        <v>164</v>
      </c>
      <c r="C2969" s="12" t="s">
        <v>123</v>
      </c>
      <c r="D2969" s="12" t="s">
        <v>110</v>
      </c>
      <c r="E2969" s="12" t="s">
        <v>39</v>
      </c>
      <c r="F2969" s="12">
        <v>70</v>
      </c>
      <c r="G2969" s="12">
        <v>35</v>
      </c>
      <c r="H2969" s="12">
        <v>199.18</v>
      </c>
      <c r="I2969" s="12">
        <v>180.95</v>
      </c>
      <c r="J2969" s="12">
        <v>-1276.0999999999999</v>
      </c>
      <c r="K2969" s="12">
        <v>-177.45</v>
      </c>
      <c r="L2969" s="12">
        <v>0</v>
      </c>
      <c r="M2969" s="12">
        <v>0</v>
      </c>
      <c r="N2969" s="12">
        <v>-1453.55</v>
      </c>
    </row>
    <row r="2970" spans="1:14" x14ac:dyDescent="0.3">
      <c r="A2970" s="12" t="s">
        <v>95</v>
      </c>
      <c r="B2970" s="12" t="s">
        <v>164</v>
      </c>
      <c r="C2970" s="12" t="s">
        <v>123</v>
      </c>
      <c r="D2970" s="12" t="s">
        <v>110</v>
      </c>
      <c r="E2970" s="12" t="s">
        <v>82</v>
      </c>
      <c r="F2970" s="12">
        <v>0</v>
      </c>
      <c r="G2970" s="12">
        <v>30</v>
      </c>
      <c r="H2970" s="12" t="s">
        <v>111</v>
      </c>
      <c r="I2970" s="12">
        <v>471.07</v>
      </c>
      <c r="J2970" s="12">
        <v>-321</v>
      </c>
      <c r="K2970" s="12">
        <v>-153.9</v>
      </c>
      <c r="L2970" s="12">
        <v>0</v>
      </c>
      <c r="M2970" s="12">
        <v>0</v>
      </c>
      <c r="N2970" s="12">
        <v>-474.9</v>
      </c>
    </row>
    <row r="2971" spans="1:14" x14ac:dyDescent="0.3">
      <c r="A2971" s="12" t="s">
        <v>95</v>
      </c>
      <c r="B2971" s="12" t="s">
        <v>164</v>
      </c>
      <c r="C2971" s="12" t="s">
        <v>123</v>
      </c>
      <c r="D2971" s="12" t="s">
        <v>110</v>
      </c>
      <c r="E2971" s="12" t="s">
        <v>75</v>
      </c>
      <c r="F2971" s="12">
        <v>5</v>
      </c>
      <c r="G2971" s="12">
        <v>0</v>
      </c>
      <c r="H2971" s="17">
        <v>1051.03</v>
      </c>
      <c r="I2971" s="12" t="s">
        <v>111</v>
      </c>
      <c r="J2971" s="12">
        <v>65.8</v>
      </c>
      <c r="K2971" s="12">
        <v>79.8</v>
      </c>
      <c r="L2971" s="12">
        <v>0</v>
      </c>
      <c r="M2971" s="12">
        <v>0</v>
      </c>
      <c r="N2971" s="12">
        <v>145.6</v>
      </c>
    </row>
    <row r="2972" spans="1:14" x14ac:dyDescent="0.3">
      <c r="A2972" s="12" t="s">
        <v>95</v>
      </c>
      <c r="B2972" s="12" t="s">
        <v>164</v>
      </c>
      <c r="C2972" s="12" t="s">
        <v>123</v>
      </c>
      <c r="D2972" s="12" t="s">
        <v>110</v>
      </c>
      <c r="E2972" s="12" t="s">
        <v>76</v>
      </c>
      <c r="F2972" s="12">
        <v>45</v>
      </c>
      <c r="G2972" s="12">
        <v>0</v>
      </c>
      <c r="H2972" s="12">
        <v>100.39</v>
      </c>
      <c r="I2972" s="12" t="s">
        <v>111</v>
      </c>
      <c r="J2972" s="12">
        <v>15.75</v>
      </c>
      <c r="K2972" s="12">
        <v>2.25</v>
      </c>
      <c r="L2972" s="12">
        <v>0</v>
      </c>
      <c r="M2972" s="12">
        <v>0</v>
      </c>
      <c r="N2972" s="12">
        <v>18</v>
      </c>
    </row>
    <row r="2973" spans="1:14" x14ac:dyDescent="0.3">
      <c r="A2973" s="12" t="s">
        <v>95</v>
      </c>
      <c r="B2973" s="12" t="s">
        <v>164</v>
      </c>
      <c r="C2973" s="12" t="s">
        <v>123</v>
      </c>
      <c r="D2973" s="12" t="s">
        <v>110</v>
      </c>
      <c r="E2973" s="12" t="s">
        <v>51</v>
      </c>
      <c r="F2973" s="12">
        <v>10</v>
      </c>
      <c r="G2973" s="12">
        <v>5</v>
      </c>
      <c r="H2973" s="12">
        <v>819.35</v>
      </c>
      <c r="I2973" s="12">
        <v>701.65</v>
      </c>
      <c r="J2973" s="12">
        <v>-1651.2</v>
      </c>
      <c r="K2973" s="12">
        <v>130.55000000000001</v>
      </c>
      <c r="L2973" s="12">
        <v>0</v>
      </c>
      <c r="M2973" s="12">
        <v>0</v>
      </c>
      <c r="N2973" s="12">
        <v>-1520.65</v>
      </c>
    </row>
    <row r="2974" spans="1:14" x14ac:dyDescent="0.3">
      <c r="A2974" s="12" t="s">
        <v>95</v>
      </c>
      <c r="B2974" s="12" t="s">
        <v>164</v>
      </c>
      <c r="C2974" s="12" t="s">
        <v>123</v>
      </c>
      <c r="D2974" s="12" t="s">
        <v>110</v>
      </c>
      <c r="E2974" s="12" t="s">
        <v>83</v>
      </c>
      <c r="F2974" s="12">
        <v>0</v>
      </c>
      <c r="G2974" s="12">
        <v>120</v>
      </c>
      <c r="H2974" s="12" t="s">
        <v>111</v>
      </c>
      <c r="I2974" s="12">
        <v>235.38</v>
      </c>
      <c r="J2974" s="12">
        <v>-2108.4</v>
      </c>
      <c r="K2974" s="12">
        <v>-66.599999999999994</v>
      </c>
      <c r="L2974" s="12">
        <v>0</v>
      </c>
      <c r="M2974" s="12">
        <v>0</v>
      </c>
      <c r="N2974" s="12">
        <v>-2175</v>
      </c>
    </row>
    <row r="2975" spans="1:14" x14ac:dyDescent="0.3">
      <c r="A2975" s="12" t="s">
        <v>95</v>
      </c>
      <c r="B2975" s="12" t="s">
        <v>164</v>
      </c>
      <c r="C2975" s="12" t="s">
        <v>123</v>
      </c>
      <c r="D2975" s="12" t="s">
        <v>110</v>
      </c>
      <c r="E2975" s="12" t="s">
        <v>77</v>
      </c>
      <c r="F2975" s="12">
        <v>20</v>
      </c>
      <c r="G2975" s="12">
        <v>40</v>
      </c>
      <c r="H2975" s="12">
        <v>197.88</v>
      </c>
      <c r="I2975" s="12">
        <v>232.07</v>
      </c>
      <c r="J2975" s="12">
        <v>397.6</v>
      </c>
      <c r="K2975" s="12">
        <v>261.60000000000002</v>
      </c>
      <c r="L2975" s="12">
        <v>0</v>
      </c>
      <c r="M2975" s="12">
        <v>0</v>
      </c>
      <c r="N2975" s="12">
        <v>659.2</v>
      </c>
    </row>
    <row r="2976" spans="1:14" x14ac:dyDescent="0.3">
      <c r="A2976" s="12" t="s">
        <v>95</v>
      </c>
      <c r="B2976" s="12" t="s">
        <v>164</v>
      </c>
      <c r="C2976" s="12" t="s">
        <v>123</v>
      </c>
      <c r="D2976" s="12" t="s">
        <v>110</v>
      </c>
      <c r="E2976" s="12" t="s">
        <v>78</v>
      </c>
      <c r="F2976" s="12">
        <v>30</v>
      </c>
      <c r="G2976" s="12">
        <v>30</v>
      </c>
      <c r="H2976" s="12">
        <v>194.53</v>
      </c>
      <c r="I2976" s="12">
        <v>203.81</v>
      </c>
      <c r="J2976" s="12">
        <v>392.4</v>
      </c>
      <c r="K2976" s="12">
        <v>-91.5</v>
      </c>
      <c r="L2976" s="12">
        <v>0</v>
      </c>
      <c r="M2976" s="12">
        <v>0</v>
      </c>
      <c r="N2976" s="12">
        <v>300.89999999999998</v>
      </c>
    </row>
    <row r="2977" spans="1:14" x14ac:dyDescent="0.3">
      <c r="A2977" s="12" t="s">
        <v>95</v>
      </c>
      <c r="B2977" s="12" t="s">
        <v>164</v>
      </c>
      <c r="C2977" s="12" t="s">
        <v>123</v>
      </c>
      <c r="D2977" s="12" t="s">
        <v>110</v>
      </c>
      <c r="E2977" s="12" t="s">
        <v>32</v>
      </c>
      <c r="F2977" s="12">
        <v>70</v>
      </c>
      <c r="G2977" s="12">
        <v>70</v>
      </c>
      <c r="H2977" s="12">
        <v>72.680000000000007</v>
      </c>
      <c r="I2977" s="12">
        <v>64.47</v>
      </c>
      <c r="J2977" s="12">
        <v>-574.70000000000005</v>
      </c>
      <c r="K2977" s="12">
        <v>0</v>
      </c>
      <c r="L2977" s="12">
        <v>0</v>
      </c>
      <c r="M2977" s="12">
        <v>0</v>
      </c>
      <c r="N2977" s="12">
        <v>-574.70000000000005</v>
      </c>
    </row>
    <row r="2978" spans="1:14" x14ac:dyDescent="0.3">
      <c r="A2978" s="12" t="s">
        <v>95</v>
      </c>
      <c r="B2978" s="12" t="s">
        <v>164</v>
      </c>
      <c r="C2978" s="12" t="s">
        <v>123</v>
      </c>
      <c r="D2978" s="12" t="s">
        <v>110</v>
      </c>
      <c r="E2978" s="12" t="s">
        <v>61</v>
      </c>
      <c r="F2978" s="12">
        <v>100</v>
      </c>
      <c r="G2978" s="12">
        <v>100</v>
      </c>
      <c r="H2978" s="12">
        <v>91.15</v>
      </c>
      <c r="I2978" s="12">
        <v>93.21</v>
      </c>
      <c r="J2978" s="12">
        <v>206</v>
      </c>
      <c r="K2978" s="12">
        <v>0</v>
      </c>
      <c r="L2978" s="12">
        <v>0</v>
      </c>
      <c r="M2978" s="12">
        <v>0</v>
      </c>
      <c r="N2978" s="12">
        <v>206</v>
      </c>
    </row>
    <row r="2979" spans="1:14" x14ac:dyDescent="0.3">
      <c r="A2979" s="12" t="s">
        <v>95</v>
      </c>
      <c r="B2979" s="12" t="s">
        <v>164</v>
      </c>
      <c r="C2979" s="12" t="s">
        <v>123</v>
      </c>
      <c r="D2979" s="12" t="s">
        <v>110</v>
      </c>
      <c r="E2979" s="12" t="s">
        <v>62</v>
      </c>
      <c r="F2979" s="12">
        <v>200</v>
      </c>
      <c r="G2979" s="12">
        <v>200</v>
      </c>
      <c r="H2979" s="12">
        <v>41.11</v>
      </c>
      <c r="I2979" s="12">
        <v>43.74</v>
      </c>
      <c r="J2979" s="12">
        <v>526</v>
      </c>
      <c r="K2979" s="12">
        <v>0</v>
      </c>
      <c r="L2979" s="12">
        <v>0</v>
      </c>
      <c r="M2979" s="12">
        <v>0</v>
      </c>
      <c r="N2979" s="12">
        <v>526</v>
      </c>
    </row>
    <row r="2980" spans="1:14" x14ac:dyDescent="0.3">
      <c r="A2980" s="12" t="s">
        <v>95</v>
      </c>
      <c r="B2980" s="12" t="s">
        <v>164</v>
      </c>
      <c r="C2980" s="12" t="s">
        <v>123</v>
      </c>
      <c r="D2980" s="12" t="s">
        <v>110</v>
      </c>
      <c r="E2980" s="12" t="s">
        <v>41</v>
      </c>
      <c r="F2980" s="12">
        <v>1100</v>
      </c>
      <c r="G2980" s="12">
        <v>1100</v>
      </c>
      <c r="H2980" s="12">
        <v>45.75</v>
      </c>
      <c r="I2980" s="12">
        <v>45.56</v>
      </c>
      <c r="J2980" s="12">
        <v>-209</v>
      </c>
      <c r="K2980" s="12">
        <v>0</v>
      </c>
      <c r="L2980" s="12">
        <v>0</v>
      </c>
      <c r="M2980" s="12">
        <v>0</v>
      </c>
      <c r="N2980" s="12">
        <v>-209</v>
      </c>
    </row>
    <row r="2981" spans="1:14" x14ac:dyDescent="0.3">
      <c r="A2981" s="12" t="s">
        <v>95</v>
      </c>
      <c r="B2981" s="12" t="s">
        <v>164</v>
      </c>
      <c r="C2981" s="12" t="s">
        <v>123</v>
      </c>
      <c r="D2981" s="12" t="s">
        <v>110</v>
      </c>
      <c r="E2981" s="12" t="s">
        <v>79</v>
      </c>
      <c r="F2981" s="12">
        <v>80</v>
      </c>
      <c r="G2981" s="12">
        <v>80</v>
      </c>
      <c r="H2981" s="12">
        <v>121.87</v>
      </c>
      <c r="I2981" s="12">
        <v>127.86</v>
      </c>
      <c r="J2981" s="12">
        <v>479.2</v>
      </c>
      <c r="K2981" s="12">
        <v>0</v>
      </c>
      <c r="L2981" s="12">
        <v>0</v>
      </c>
      <c r="M2981" s="12">
        <v>0</v>
      </c>
      <c r="N2981" s="12">
        <v>479.2</v>
      </c>
    </row>
    <row r="2982" spans="1:14" x14ac:dyDescent="0.3">
      <c r="A2982" s="12" t="s">
        <v>95</v>
      </c>
      <c r="B2982" s="12" t="s">
        <v>164</v>
      </c>
      <c r="C2982" s="12" t="s">
        <v>123</v>
      </c>
      <c r="D2982" s="12" t="s">
        <v>110</v>
      </c>
      <c r="E2982" s="12" t="s">
        <v>42</v>
      </c>
      <c r="F2982" s="12">
        <v>150</v>
      </c>
      <c r="G2982" s="12">
        <v>150</v>
      </c>
      <c r="H2982" s="12">
        <v>226.23</v>
      </c>
      <c r="I2982" s="12">
        <v>218.8</v>
      </c>
      <c r="J2982" s="12">
        <v>-1114.5</v>
      </c>
      <c r="K2982" s="12">
        <v>0</v>
      </c>
      <c r="L2982" s="12">
        <v>0</v>
      </c>
      <c r="M2982" s="12">
        <v>0</v>
      </c>
      <c r="N2982" s="12">
        <v>-1114.5</v>
      </c>
    </row>
    <row r="2983" spans="1:14" x14ac:dyDescent="0.3">
      <c r="A2983" s="12" t="s">
        <v>95</v>
      </c>
      <c r="B2983" s="12" t="s">
        <v>164</v>
      </c>
      <c r="C2983" s="12" t="s">
        <v>123</v>
      </c>
      <c r="D2983" s="12" t="s">
        <v>110</v>
      </c>
      <c r="E2983" s="12" t="s">
        <v>43</v>
      </c>
      <c r="F2983" s="12">
        <v>230</v>
      </c>
      <c r="G2983" s="12">
        <v>230</v>
      </c>
      <c r="H2983" s="12">
        <v>68.14</v>
      </c>
      <c r="I2983" s="12">
        <v>72.790000000000006</v>
      </c>
      <c r="J2983" s="12">
        <v>1069.5</v>
      </c>
      <c r="K2983" s="12">
        <v>0</v>
      </c>
      <c r="L2983" s="12">
        <v>0</v>
      </c>
      <c r="M2983" s="12">
        <v>0</v>
      </c>
      <c r="N2983" s="12">
        <v>1069.5</v>
      </c>
    </row>
    <row r="2984" spans="1:14" x14ac:dyDescent="0.3">
      <c r="A2984" s="12" t="s">
        <v>95</v>
      </c>
      <c r="B2984" s="12" t="s">
        <v>164</v>
      </c>
      <c r="C2984" s="12" t="s">
        <v>123</v>
      </c>
      <c r="D2984" s="12" t="s">
        <v>110</v>
      </c>
      <c r="E2984" s="12" t="s">
        <v>44</v>
      </c>
      <c r="F2984" s="12">
        <v>60</v>
      </c>
      <c r="G2984" s="12">
        <v>60</v>
      </c>
      <c r="H2984" s="12">
        <v>145.75</v>
      </c>
      <c r="I2984" s="12">
        <v>149.63</v>
      </c>
      <c r="J2984" s="12">
        <v>232.8</v>
      </c>
      <c r="K2984" s="12">
        <v>0</v>
      </c>
      <c r="L2984" s="12">
        <v>0</v>
      </c>
      <c r="M2984" s="12">
        <v>0</v>
      </c>
      <c r="N2984" s="12">
        <v>232.8</v>
      </c>
    </row>
    <row r="2985" spans="1:14" x14ac:dyDescent="0.3">
      <c r="A2985" s="12" t="s">
        <v>95</v>
      </c>
      <c r="B2985" s="12" t="s">
        <v>164</v>
      </c>
      <c r="C2985" s="12" t="s">
        <v>123</v>
      </c>
      <c r="D2985" s="12" t="s">
        <v>110</v>
      </c>
      <c r="E2985" s="12" t="s">
        <v>84</v>
      </c>
      <c r="F2985" s="12">
        <v>0</v>
      </c>
      <c r="G2985" s="12">
        <v>90</v>
      </c>
      <c r="H2985" s="12" t="s">
        <v>111</v>
      </c>
      <c r="I2985" s="12">
        <v>187.49</v>
      </c>
      <c r="J2985" s="12">
        <v>557.1</v>
      </c>
      <c r="K2985" s="12">
        <v>-378.9</v>
      </c>
      <c r="L2985" s="12">
        <v>0</v>
      </c>
      <c r="M2985" s="12">
        <v>0</v>
      </c>
      <c r="N2985" s="12">
        <v>178.2</v>
      </c>
    </row>
    <row r="2986" spans="1:14" x14ac:dyDescent="0.3">
      <c r="A2986" s="12" t="s">
        <v>95</v>
      </c>
      <c r="B2986" s="12" t="s">
        <v>164</v>
      </c>
      <c r="C2986" s="12" t="s">
        <v>123</v>
      </c>
      <c r="D2986" s="12" t="s">
        <v>110</v>
      </c>
      <c r="E2986" s="12" t="s">
        <v>35</v>
      </c>
      <c r="F2986" s="12">
        <v>50</v>
      </c>
      <c r="G2986" s="12">
        <v>0</v>
      </c>
      <c r="H2986" s="12">
        <v>115.12</v>
      </c>
      <c r="I2986" s="12" t="s">
        <v>111</v>
      </c>
      <c r="J2986" s="12">
        <v>126</v>
      </c>
      <c r="K2986" s="12">
        <v>5.5</v>
      </c>
      <c r="L2986" s="12">
        <v>0</v>
      </c>
      <c r="M2986" s="12">
        <v>0</v>
      </c>
      <c r="N2986" s="12">
        <v>131.5</v>
      </c>
    </row>
    <row r="2987" spans="1:14" x14ac:dyDescent="0.3">
      <c r="A2987" s="12" t="s">
        <v>95</v>
      </c>
      <c r="B2987" s="12" t="s">
        <v>164</v>
      </c>
      <c r="C2987" s="12" t="s">
        <v>123</v>
      </c>
      <c r="D2987" s="12" t="s">
        <v>97</v>
      </c>
      <c r="J2987" s="12">
        <v>-7691.36</v>
      </c>
      <c r="K2987" s="12">
        <v>-337.96</v>
      </c>
      <c r="L2987" s="12">
        <v>0</v>
      </c>
      <c r="M2987" s="12">
        <v>110.03</v>
      </c>
      <c r="N2987" s="12">
        <v>-7919.29</v>
      </c>
    </row>
    <row r="2988" spans="1:14" x14ac:dyDescent="0.3">
      <c r="A2988" s="12" t="s">
        <v>95</v>
      </c>
      <c r="B2988" s="12" t="s">
        <v>164</v>
      </c>
      <c r="C2988" s="12" t="s">
        <v>123</v>
      </c>
      <c r="D2988" s="12" t="s">
        <v>112</v>
      </c>
      <c r="E2988" s="12" t="s">
        <v>80</v>
      </c>
      <c r="F2988" s="12">
        <v>-13</v>
      </c>
      <c r="G2988" s="12">
        <v>-7</v>
      </c>
      <c r="H2988" s="17">
        <v>5521.5</v>
      </c>
      <c r="I2988" s="17">
        <v>5558</v>
      </c>
      <c r="J2988" s="12">
        <v>-387.5</v>
      </c>
      <c r="K2988" s="12">
        <v>-556.25</v>
      </c>
      <c r="L2988" s="12">
        <v>0</v>
      </c>
      <c r="M2988" s="12">
        <v>0</v>
      </c>
      <c r="N2988" s="12">
        <v>-943.75</v>
      </c>
    </row>
    <row r="2989" spans="1:14" x14ac:dyDescent="0.3">
      <c r="A2989" s="12" t="s">
        <v>95</v>
      </c>
      <c r="B2989" s="12" t="s">
        <v>164</v>
      </c>
      <c r="C2989" s="12" t="s">
        <v>123</v>
      </c>
      <c r="D2989" s="12" t="s">
        <v>112</v>
      </c>
      <c r="E2989" s="12" t="s">
        <v>81</v>
      </c>
      <c r="F2989" s="12">
        <v>-2</v>
      </c>
      <c r="G2989" s="12">
        <v>-6</v>
      </c>
      <c r="H2989" s="17">
        <v>19927.25</v>
      </c>
      <c r="I2989" s="17">
        <v>19505.25</v>
      </c>
      <c r="J2989" s="12">
        <v>-2416</v>
      </c>
      <c r="K2989" s="12">
        <v>664</v>
      </c>
      <c r="L2989" s="12">
        <v>0</v>
      </c>
      <c r="M2989" s="12">
        <v>0</v>
      </c>
      <c r="N2989" s="12">
        <v>-1752</v>
      </c>
    </row>
    <row r="2990" spans="1:14" x14ac:dyDescent="0.3">
      <c r="A2990" s="12" t="s">
        <v>95</v>
      </c>
      <c r="B2990" s="12" t="s">
        <v>164</v>
      </c>
      <c r="C2990" s="12" t="s">
        <v>123</v>
      </c>
      <c r="D2990" s="12" t="s">
        <v>97</v>
      </c>
      <c r="J2990" s="12">
        <v>-2803.5</v>
      </c>
      <c r="K2990" s="12">
        <v>107.75</v>
      </c>
      <c r="L2990" s="12">
        <v>0</v>
      </c>
      <c r="M2990" s="12">
        <v>0</v>
      </c>
      <c r="N2990" s="12">
        <v>-2695.75</v>
      </c>
    </row>
    <row r="2991" spans="1:14" x14ac:dyDescent="0.3">
      <c r="A2991" s="12" t="s">
        <v>95</v>
      </c>
      <c r="B2991" s="12" t="s">
        <v>164</v>
      </c>
      <c r="C2991" s="12" t="s">
        <v>123</v>
      </c>
      <c r="D2991" s="12" t="s">
        <v>113</v>
      </c>
      <c r="E2991" s="12" t="s">
        <v>114</v>
      </c>
      <c r="F2991" s="12">
        <v>48577.981124999998</v>
      </c>
      <c r="G2991" s="12">
        <v>48883.171125000001</v>
      </c>
      <c r="H2991" s="12">
        <v>1</v>
      </c>
      <c r="I2991" s="12">
        <v>1</v>
      </c>
      <c r="J2991" s="12">
        <v>0</v>
      </c>
      <c r="K2991" s="12">
        <v>0</v>
      </c>
      <c r="L2991" s="12">
        <v>0</v>
      </c>
      <c r="M2991" s="12">
        <v>0</v>
      </c>
      <c r="N2991" s="12">
        <v>0</v>
      </c>
    </row>
    <row r="2992" spans="1:14" x14ac:dyDescent="0.3">
      <c r="A2992" s="12" t="s">
        <v>95</v>
      </c>
      <c r="B2992" s="12" t="s">
        <v>164</v>
      </c>
      <c r="C2992" s="12" t="s">
        <v>123</v>
      </c>
      <c r="D2992" s="12" t="s">
        <v>97</v>
      </c>
      <c r="J2992" s="12">
        <v>0</v>
      </c>
      <c r="K2992" s="12">
        <v>0</v>
      </c>
      <c r="L2992" s="12">
        <v>0</v>
      </c>
      <c r="M2992" s="12">
        <v>0</v>
      </c>
      <c r="N2992" s="12">
        <v>0</v>
      </c>
    </row>
    <row r="2993" spans="1:18" x14ac:dyDescent="0.3">
      <c r="A2993" s="12" t="s">
        <v>95</v>
      </c>
      <c r="B2993" s="12" t="s">
        <v>164</v>
      </c>
      <c r="C2993" s="12" t="s">
        <v>123</v>
      </c>
      <c r="D2993" s="12" t="s">
        <v>115</v>
      </c>
      <c r="J2993" s="12">
        <v>-10494.86</v>
      </c>
      <c r="K2993" s="12">
        <v>-230.21</v>
      </c>
      <c r="L2993" s="12">
        <v>0</v>
      </c>
      <c r="M2993" s="12">
        <v>110.03</v>
      </c>
      <c r="N2993" s="12">
        <v>-10615.04</v>
      </c>
    </row>
    <row r="2994" spans="1:18" x14ac:dyDescent="0.3">
      <c r="A2994" s="12" t="s">
        <v>95</v>
      </c>
      <c r="B2994" s="12" t="s">
        <v>164</v>
      </c>
      <c r="C2994" s="12" t="s">
        <v>123</v>
      </c>
      <c r="D2994" s="12" t="s">
        <v>116</v>
      </c>
      <c r="N2994" s="12">
        <v>94.8</v>
      </c>
    </row>
    <row r="2995" spans="1:18" x14ac:dyDescent="0.3">
      <c r="A2995" s="12" t="s">
        <v>95</v>
      </c>
      <c r="B2995" s="12" t="s">
        <v>166</v>
      </c>
      <c r="N2995" s="12">
        <v>-10520.24</v>
      </c>
    </row>
    <row r="2996" spans="1:18" x14ac:dyDescent="0.3">
      <c r="A2996" s="12" t="s">
        <v>95</v>
      </c>
      <c r="B2996" s="12" t="s">
        <v>167</v>
      </c>
      <c r="C2996" s="12" t="s">
        <v>120</v>
      </c>
      <c r="D2996" s="12" t="s">
        <v>100</v>
      </c>
      <c r="E2996" s="12" t="s">
        <v>0</v>
      </c>
      <c r="F2996" s="12" t="s">
        <v>168</v>
      </c>
      <c r="G2996" s="12" t="s">
        <v>169</v>
      </c>
      <c r="H2996" s="12" t="s">
        <v>170</v>
      </c>
      <c r="I2996" s="12" t="s">
        <v>171</v>
      </c>
      <c r="J2996" s="12" t="s">
        <v>172</v>
      </c>
      <c r="K2996" s="12" t="s">
        <v>173</v>
      </c>
      <c r="L2996" s="12" t="s">
        <v>174</v>
      </c>
      <c r="M2996" s="12" t="s">
        <v>175</v>
      </c>
      <c r="N2996" s="12" t="s">
        <v>176</v>
      </c>
      <c r="O2996" s="12" t="s">
        <v>177</v>
      </c>
      <c r="P2996" s="12" t="s">
        <v>178</v>
      </c>
      <c r="Q2996" s="12" t="s">
        <v>97</v>
      </c>
      <c r="R2996" s="12" t="s">
        <v>165</v>
      </c>
    </row>
    <row r="2997" spans="1:18" x14ac:dyDescent="0.3">
      <c r="A2997" s="12" t="s">
        <v>95</v>
      </c>
      <c r="B2997" s="12" t="s">
        <v>167</v>
      </c>
      <c r="C2997" s="12" t="s">
        <v>123</v>
      </c>
      <c r="D2997" s="12" t="s">
        <v>110</v>
      </c>
      <c r="E2997" s="12" t="s">
        <v>2</v>
      </c>
      <c r="F2997" s="12">
        <v>0</v>
      </c>
      <c r="G2997" s="12">
        <v>0</v>
      </c>
      <c r="H2997" s="12">
        <v>0</v>
      </c>
      <c r="I2997" s="12">
        <v>0</v>
      </c>
      <c r="J2997" s="12">
        <v>0</v>
      </c>
      <c r="K2997" s="12">
        <v>0</v>
      </c>
      <c r="L2997" s="12">
        <v>2779.56</v>
      </c>
      <c r="M2997" s="12">
        <v>0</v>
      </c>
      <c r="N2997" s="12">
        <v>0</v>
      </c>
      <c r="O2997" s="12">
        <v>0</v>
      </c>
      <c r="P2997" s="12">
        <v>2779.56</v>
      </c>
      <c r="Q2997" s="12">
        <v>2779.56</v>
      </c>
    </row>
    <row r="2998" spans="1:18" x14ac:dyDescent="0.3">
      <c r="A2998" s="12" t="s">
        <v>95</v>
      </c>
      <c r="B2998" s="12" t="s">
        <v>167</v>
      </c>
      <c r="C2998" s="12" t="s">
        <v>123</v>
      </c>
      <c r="D2998" s="12" t="s">
        <v>110</v>
      </c>
      <c r="E2998" s="12" t="s">
        <v>63</v>
      </c>
      <c r="F2998" s="12">
        <v>0</v>
      </c>
      <c r="G2998" s="12">
        <v>0</v>
      </c>
      <c r="H2998" s="12">
        <v>-37.950000000000003</v>
      </c>
      <c r="I2998" s="12">
        <v>0</v>
      </c>
      <c r="J2998" s="12">
        <v>0</v>
      </c>
      <c r="K2998" s="12">
        <v>-37.950000000000003</v>
      </c>
      <c r="L2998" s="12">
        <v>0</v>
      </c>
      <c r="M2998" s="12">
        <v>0</v>
      </c>
      <c r="N2998" s="12">
        <v>0</v>
      </c>
      <c r="O2998" s="12">
        <v>0</v>
      </c>
      <c r="P2998" s="12">
        <v>0</v>
      </c>
      <c r="Q2998" s="12">
        <v>-37.950000000000003</v>
      </c>
    </row>
    <row r="2999" spans="1:18" x14ac:dyDescent="0.3">
      <c r="A2999" s="12" t="s">
        <v>95</v>
      </c>
      <c r="B2999" s="12" t="s">
        <v>167</v>
      </c>
      <c r="C2999" s="12" t="s">
        <v>123</v>
      </c>
      <c r="D2999" s="12" t="s">
        <v>110</v>
      </c>
      <c r="E2999" s="12" t="s">
        <v>64</v>
      </c>
      <c r="F2999" s="12">
        <v>0</v>
      </c>
      <c r="G2999" s="12">
        <v>102.81</v>
      </c>
      <c r="H2999" s="12">
        <v>0</v>
      </c>
      <c r="I2999" s="12">
        <v>0</v>
      </c>
      <c r="J2999" s="12">
        <v>0</v>
      </c>
      <c r="K2999" s="12">
        <v>102.81</v>
      </c>
      <c r="L2999" s="12">
        <v>0</v>
      </c>
      <c r="M2999" s="12">
        <v>0</v>
      </c>
      <c r="N2999" s="12">
        <v>0</v>
      </c>
      <c r="O2999" s="12">
        <v>0</v>
      </c>
      <c r="P2999" s="12">
        <v>0</v>
      </c>
      <c r="Q2999" s="12">
        <v>102.81</v>
      </c>
    </row>
    <row r="3000" spans="1:18" x14ac:dyDescent="0.3">
      <c r="A3000" s="12" t="s">
        <v>95</v>
      </c>
      <c r="B3000" s="12" t="s">
        <v>167</v>
      </c>
      <c r="C3000" s="12" t="s">
        <v>123</v>
      </c>
      <c r="D3000" s="12" t="s">
        <v>110</v>
      </c>
      <c r="E3000" s="12" t="s">
        <v>45</v>
      </c>
      <c r="F3000" s="12">
        <v>0</v>
      </c>
      <c r="G3000" s="12">
        <v>55.85</v>
      </c>
      <c r="H3000" s="12">
        <v>-82.4</v>
      </c>
      <c r="I3000" s="12">
        <v>0</v>
      </c>
      <c r="J3000" s="12">
        <v>0</v>
      </c>
      <c r="K3000" s="12">
        <v>-26.55</v>
      </c>
      <c r="L3000" s="12">
        <v>190.5</v>
      </c>
      <c r="M3000" s="12">
        <v>0</v>
      </c>
      <c r="N3000" s="12">
        <v>0</v>
      </c>
      <c r="O3000" s="12">
        <v>0</v>
      </c>
      <c r="P3000" s="12">
        <v>190.5</v>
      </c>
      <c r="Q3000" s="12">
        <v>163.95</v>
      </c>
    </row>
    <row r="3001" spans="1:18" x14ac:dyDescent="0.3">
      <c r="A3001" s="12" t="s">
        <v>95</v>
      </c>
      <c r="B3001" s="12" t="s">
        <v>167</v>
      </c>
      <c r="C3001" s="12" t="s">
        <v>123</v>
      </c>
      <c r="D3001" s="12" t="s">
        <v>110</v>
      </c>
      <c r="E3001" s="12" t="s">
        <v>5</v>
      </c>
      <c r="F3001" s="12">
        <v>0</v>
      </c>
      <c r="G3001" s="12">
        <v>0</v>
      </c>
      <c r="H3001" s="12">
        <v>0</v>
      </c>
      <c r="I3001" s="12">
        <v>0</v>
      </c>
      <c r="J3001" s="12">
        <v>0</v>
      </c>
      <c r="K3001" s="12">
        <v>0</v>
      </c>
      <c r="L3001" s="12">
        <v>121.68</v>
      </c>
      <c r="M3001" s="12">
        <v>0</v>
      </c>
      <c r="N3001" s="12">
        <v>0</v>
      </c>
      <c r="O3001" s="12">
        <v>0</v>
      </c>
      <c r="P3001" s="12">
        <v>121.68</v>
      </c>
      <c r="Q3001" s="12">
        <v>121.68</v>
      </c>
    </row>
    <row r="3002" spans="1:18" x14ac:dyDescent="0.3">
      <c r="A3002" s="12" t="s">
        <v>95</v>
      </c>
      <c r="B3002" s="12" t="s">
        <v>167</v>
      </c>
      <c r="C3002" s="12" t="s">
        <v>123</v>
      </c>
      <c r="D3002" s="12" t="s">
        <v>110</v>
      </c>
      <c r="E3002" s="12" t="s">
        <v>65</v>
      </c>
      <c r="F3002" s="12">
        <v>0</v>
      </c>
      <c r="G3002" s="12">
        <v>0</v>
      </c>
      <c r="H3002" s="12">
        <v>0</v>
      </c>
      <c r="I3002" s="12">
        <v>0</v>
      </c>
      <c r="J3002" s="12">
        <v>0</v>
      </c>
      <c r="K3002" s="12">
        <v>0</v>
      </c>
      <c r="L3002" s="12">
        <v>0</v>
      </c>
      <c r="M3002" s="12">
        <v>-63.35</v>
      </c>
      <c r="N3002" s="12">
        <v>0</v>
      </c>
      <c r="O3002" s="12">
        <v>0</v>
      </c>
      <c r="P3002" s="12">
        <v>-63.35</v>
      </c>
      <c r="Q3002" s="12">
        <v>-63.35</v>
      </c>
    </row>
    <row r="3003" spans="1:18" x14ac:dyDescent="0.3">
      <c r="A3003" s="12" t="s">
        <v>95</v>
      </c>
      <c r="B3003" s="12" t="s">
        <v>167</v>
      </c>
      <c r="C3003" s="12" t="s">
        <v>123</v>
      </c>
      <c r="D3003" s="12" t="s">
        <v>110</v>
      </c>
      <c r="E3003" s="12" t="s">
        <v>58</v>
      </c>
      <c r="F3003" s="12">
        <v>0</v>
      </c>
      <c r="G3003" s="12">
        <v>651.29999999999995</v>
      </c>
      <c r="H3003" s="12">
        <v>0</v>
      </c>
      <c r="I3003" s="12">
        <v>0</v>
      </c>
      <c r="J3003" s="12">
        <v>0</v>
      </c>
      <c r="K3003" s="12">
        <v>651.29999999999995</v>
      </c>
      <c r="L3003" s="12">
        <v>580.35</v>
      </c>
      <c r="M3003" s="12">
        <v>0</v>
      </c>
      <c r="N3003" s="12">
        <v>0</v>
      </c>
      <c r="O3003" s="12">
        <v>0</v>
      </c>
      <c r="P3003" s="12">
        <v>580.35</v>
      </c>
      <c r="Q3003" s="12">
        <v>1231.6500000000001</v>
      </c>
    </row>
    <row r="3004" spans="1:18" x14ac:dyDescent="0.3">
      <c r="A3004" s="12" t="s">
        <v>95</v>
      </c>
      <c r="B3004" s="12" t="s">
        <v>167</v>
      </c>
      <c r="C3004" s="12" t="s">
        <v>123</v>
      </c>
      <c r="D3004" s="12" t="s">
        <v>110</v>
      </c>
      <c r="E3004" s="12" t="s">
        <v>7</v>
      </c>
      <c r="F3004" s="12">
        <v>0</v>
      </c>
      <c r="G3004" s="12">
        <v>0</v>
      </c>
      <c r="H3004" s="12">
        <v>0</v>
      </c>
      <c r="I3004" s="12">
        <v>0</v>
      </c>
      <c r="J3004" s="12">
        <v>0</v>
      </c>
      <c r="K3004" s="12">
        <v>0</v>
      </c>
      <c r="L3004" s="12">
        <v>868.84500000000003</v>
      </c>
      <c r="M3004" s="12">
        <v>-512.58000000000004</v>
      </c>
      <c r="N3004" s="12">
        <v>0</v>
      </c>
      <c r="O3004" s="12">
        <v>0</v>
      </c>
      <c r="P3004" s="12">
        <v>356.26499999999999</v>
      </c>
      <c r="Q3004" s="12">
        <v>356.26499999999999</v>
      </c>
    </row>
    <row r="3005" spans="1:18" x14ac:dyDescent="0.3">
      <c r="A3005" s="12" t="s">
        <v>95</v>
      </c>
      <c r="B3005" s="12" t="s">
        <v>167</v>
      </c>
      <c r="C3005" s="12" t="s">
        <v>123</v>
      </c>
      <c r="D3005" s="12" t="s">
        <v>110</v>
      </c>
      <c r="E3005" s="12" t="s">
        <v>8</v>
      </c>
      <c r="F3005" s="12">
        <v>0</v>
      </c>
      <c r="G3005" s="12">
        <v>1548.1354819999999</v>
      </c>
      <c r="H3005" s="12">
        <v>0</v>
      </c>
      <c r="I3005" s="12">
        <v>0</v>
      </c>
      <c r="J3005" s="12">
        <v>0</v>
      </c>
      <c r="K3005" s="12">
        <v>1548.1354819999999</v>
      </c>
      <c r="L3005" s="12">
        <v>160.5</v>
      </c>
      <c r="M3005" s="12">
        <v>0</v>
      </c>
      <c r="N3005" s="12">
        <v>0</v>
      </c>
      <c r="O3005" s="12">
        <v>0</v>
      </c>
      <c r="P3005" s="12">
        <v>160.5</v>
      </c>
      <c r="Q3005" s="12">
        <v>1708.6354819999999</v>
      </c>
    </row>
    <row r="3006" spans="1:18" x14ac:dyDescent="0.3">
      <c r="A3006" s="12" t="s">
        <v>95</v>
      </c>
      <c r="B3006" s="12" t="s">
        <v>167</v>
      </c>
      <c r="C3006" s="12" t="s">
        <v>123</v>
      </c>
      <c r="D3006" s="12" t="s">
        <v>110</v>
      </c>
      <c r="E3006" s="12" t="s">
        <v>9</v>
      </c>
      <c r="F3006" s="12">
        <v>0</v>
      </c>
      <c r="G3006" s="12">
        <v>0</v>
      </c>
      <c r="H3006" s="12">
        <v>0</v>
      </c>
      <c r="I3006" s="12">
        <v>0</v>
      </c>
      <c r="J3006" s="12">
        <v>0</v>
      </c>
      <c r="K3006" s="12">
        <v>0</v>
      </c>
      <c r="L3006" s="12">
        <v>0</v>
      </c>
      <c r="M3006" s="12">
        <v>-133.66</v>
      </c>
      <c r="N3006" s="12">
        <v>0</v>
      </c>
      <c r="O3006" s="12">
        <v>0</v>
      </c>
      <c r="P3006" s="12">
        <v>-133.66</v>
      </c>
      <c r="Q3006" s="12">
        <v>-133.66</v>
      </c>
    </row>
    <row r="3007" spans="1:18" x14ac:dyDescent="0.3">
      <c r="A3007" s="12" t="s">
        <v>95</v>
      </c>
      <c r="B3007" s="12" t="s">
        <v>167</v>
      </c>
      <c r="C3007" s="12" t="s">
        <v>123</v>
      </c>
      <c r="D3007" s="12" t="s">
        <v>110</v>
      </c>
      <c r="E3007" s="12" t="s">
        <v>3</v>
      </c>
      <c r="F3007" s="12">
        <v>0</v>
      </c>
      <c r="G3007" s="12">
        <v>1071.1869265400001</v>
      </c>
      <c r="H3007" s="12">
        <v>0</v>
      </c>
      <c r="I3007" s="12">
        <v>0</v>
      </c>
      <c r="J3007" s="12">
        <v>0</v>
      </c>
      <c r="K3007" s="12">
        <v>1071.1869265400001</v>
      </c>
      <c r="L3007" s="12">
        <v>312.50361400000003</v>
      </c>
      <c r="M3007" s="12">
        <v>0</v>
      </c>
      <c r="N3007" s="12">
        <v>0</v>
      </c>
      <c r="O3007" s="12">
        <v>0</v>
      </c>
      <c r="P3007" s="12">
        <v>312.50361400000003</v>
      </c>
      <c r="Q3007" s="12">
        <v>1383.69054054</v>
      </c>
    </row>
    <row r="3008" spans="1:18" x14ac:dyDescent="0.3">
      <c r="A3008" s="12" t="s">
        <v>95</v>
      </c>
      <c r="B3008" s="12" t="s">
        <v>167</v>
      </c>
      <c r="C3008" s="12" t="s">
        <v>123</v>
      </c>
      <c r="D3008" s="12" t="s">
        <v>110</v>
      </c>
      <c r="E3008" s="12" t="s">
        <v>11</v>
      </c>
      <c r="F3008" s="12">
        <v>0</v>
      </c>
      <c r="G3008" s="12">
        <v>0</v>
      </c>
      <c r="H3008" s="12">
        <v>0</v>
      </c>
      <c r="I3008" s="12">
        <v>0</v>
      </c>
      <c r="J3008" s="12">
        <v>0</v>
      </c>
      <c r="K3008" s="12">
        <v>0</v>
      </c>
      <c r="L3008" s="12">
        <v>192.5</v>
      </c>
      <c r="M3008" s="12">
        <v>-97.8</v>
      </c>
      <c r="N3008" s="12">
        <v>0</v>
      </c>
      <c r="O3008" s="12">
        <v>0</v>
      </c>
      <c r="P3008" s="12">
        <v>94.7</v>
      </c>
      <c r="Q3008" s="12">
        <v>94.7</v>
      </c>
    </row>
    <row r="3009" spans="1:17" x14ac:dyDescent="0.3">
      <c r="A3009" s="12" t="s">
        <v>95</v>
      </c>
      <c r="B3009" s="12" t="s">
        <v>167</v>
      </c>
      <c r="C3009" s="12" t="s">
        <v>123</v>
      </c>
      <c r="D3009" s="12" t="s">
        <v>110</v>
      </c>
      <c r="E3009" s="12" t="s">
        <v>66</v>
      </c>
      <c r="F3009" s="12">
        <v>0</v>
      </c>
      <c r="G3009" s="12">
        <v>0</v>
      </c>
      <c r="H3009" s="12">
        <v>-38.35</v>
      </c>
      <c r="I3009" s="12">
        <v>0</v>
      </c>
      <c r="J3009" s="12">
        <v>0</v>
      </c>
      <c r="K3009" s="12">
        <v>-38.35</v>
      </c>
      <c r="L3009" s="12">
        <v>0</v>
      </c>
      <c r="M3009" s="12">
        <v>0</v>
      </c>
      <c r="N3009" s="12">
        <v>0</v>
      </c>
      <c r="O3009" s="12">
        <v>0</v>
      </c>
      <c r="P3009" s="12">
        <v>0</v>
      </c>
      <c r="Q3009" s="12">
        <v>-38.35</v>
      </c>
    </row>
    <row r="3010" spans="1:17" x14ac:dyDescent="0.3">
      <c r="A3010" s="12" t="s">
        <v>95</v>
      </c>
      <c r="B3010" s="12" t="s">
        <v>167</v>
      </c>
      <c r="C3010" s="12" t="s">
        <v>123</v>
      </c>
      <c r="D3010" s="12" t="s">
        <v>110</v>
      </c>
      <c r="E3010" s="12" t="s">
        <v>14</v>
      </c>
      <c r="F3010" s="12">
        <v>0</v>
      </c>
      <c r="G3010" s="12">
        <v>0</v>
      </c>
      <c r="H3010" s="12">
        <v>-355.2</v>
      </c>
      <c r="I3010" s="12">
        <v>0</v>
      </c>
      <c r="J3010" s="12">
        <v>0</v>
      </c>
      <c r="K3010" s="12">
        <v>-355.2</v>
      </c>
      <c r="L3010" s="12">
        <v>0</v>
      </c>
      <c r="M3010" s="12">
        <v>0</v>
      </c>
      <c r="N3010" s="12">
        <v>0</v>
      </c>
      <c r="O3010" s="12">
        <v>0</v>
      </c>
      <c r="P3010" s="12">
        <v>0</v>
      </c>
      <c r="Q3010" s="12">
        <v>-355.2</v>
      </c>
    </row>
    <row r="3011" spans="1:17" x14ac:dyDescent="0.3">
      <c r="A3011" s="12" t="s">
        <v>95</v>
      </c>
      <c r="B3011" s="12" t="s">
        <v>167</v>
      </c>
      <c r="C3011" s="12" t="s">
        <v>123</v>
      </c>
      <c r="D3011" s="12" t="s">
        <v>110</v>
      </c>
      <c r="E3011" s="12" t="s">
        <v>67</v>
      </c>
      <c r="F3011" s="12">
        <v>0</v>
      </c>
      <c r="G3011" s="12">
        <v>125.2</v>
      </c>
      <c r="H3011" s="12">
        <v>0</v>
      </c>
      <c r="I3011" s="12">
        <v>0</v>
      </c>
      <c r="J3011" s="12">
        <v>0</v>
      </c>
      <c r="K3011" s="12">
        <v>125.2</v>
      </c>
      <c r="L3011" s="12">
        <v>0</v>
      </c>
      <c r="M3011" s="12">
        <v>0</v>
      </c>
      <c r="N3011" s="12">
        <v>0</v>
      </c>
      <c r="O3011" s="12">
        <v>0</v>
      </c>
      <c r="P3011" s="12">
        <v>0</v>
      </c>
      <c r="Q3011" s="12">
        <v>125.2</v>
      </c>
    </row>
    <row r="3012" spans="1:17" x14ac:dyDescent="0.3">
      <c r="A3012" s="12" t="s">
        <v>95</v>
      </c>
      <c r="B3012" s="12" t="s">
        <v>167</v>
      </c>
      <c r="C3012" s="12" t="s">
        <v>123</v>
      </c>
      <c r="D3012" s="12" t="s">
        <v>110</v>
      </c>
      <c r="E3012" s="12" t="s">
        <v>68</v>
      </c>
      <c r="F3012" s="12">
        <v>0</v>
      </c>
      <c r="G3012" s="12">
        <v>0</v>
      </c>
      <c r="H3012" s="12">
        <v>-68.400000000000006</v>
      </c>
      <c r="I3012" s="12">
        <v>0</v>
      </c>
      <c r="J3012" s="12">
        <v>0</v>
      </c>
      <c r="K3012" s="12">
        <v>-68.400000000000006</v>
      </c>
      <c r="L3012" s="12">
        <v>0</v>
      </c>
      <c r="M3012" s="12">
        <v>0</v>
      </c>
      <c r="N3012" s="12">
        <v>0</v>
      </c>
      <c r="O3012" s="12">
        <v>0</v>
      </c>
      <c r="P3012" s="12">
        <v>0</v>
      </c>
      <c r="Q3012" s="12">
        <v>-68.400000000000006</v>
      </c>
    </row>
    <row r="3013" spans="1:17" x14ac:dyDescent="0.3">
      <c r="A3013" s="12" t="s">
        <v>95</v>
      </c>
      <c r="B3013" s="12" t="s">
        <v>167</v>
      </c>
      <c r="C3013" s="12" t="s">
        <v>123</v>
      </c>
      <c r="D3013" s="12" t="s">
        <v>110</v>
      </c>
      <c r="E3013" s="12" t="s">
        <v>18</v>
      </c>
      <c r="F3013" s="12">
        <v>0</v>
      </c>
      <c r="G3013" s="12">
        <v>0</v>
      </c>
      <c r="H3013" s="12">
        <v>0</v>
      </c>
      <c r="I3013" s="12">
        <v>0</v>
      </c>
      <c r="J3013" s="12">
        <v>0</v>
      </c>
      <c r="K3013" s="12">
        <v>0</v>
      </c>
      <c r="L3013" s="12">
        <v>692.25</v>
      </c>
      <c r="M3013" s="12">
        <v>0</v>
      </c>
      <c r="N3013" s="12">
        <v>0</v>
      </c>
      <c r="O3013" s="12">
        <v>0</v>
      </c>
      <c r="P3013" s="12">
        <v>692.25</v>
      </c>
      <c r="Q3013" s="12">
        <v>692.25</v>
      </c>
    </row>
    <row r="3014" spans="1:17" x14ac:dyDescent="0.3">
      <c r="A3014" s="12" t="s">
        <v>95</v>
      </c>
      <c r="B3014" s="12" t="s">
        <v>167</v>
      </c>
      <c r="C3014" s="12" t="s">
        <v>123</v>
      </c>
      <c r="D3014" s="12" t="s">
        <v>110</v>
      </c>
      <c r="E3014" s="12" t="s">
        <v>48</v>
      </c>
      <c r="F3014" s="12">
        <v>0</v>
      </c>
      <c r="G3014" s="12">
        <v>407.6</v>
      </c>
      <c r="H3014" s="12">
        <v>0</v>
      </c>
      <c r="I3014" s="12">
        <v>0</v>
      </c>
      <c r="J3014" s="12">
        <v>0</v>
      </c>
      <c r="K3014" s="12">
        <v>407.6</v>
      </c>
      <c r="L3014" s="12">
        <v>510</v>
      </c>
      <c r="M3014" s="12">
        <v>0</v>
      </c>
      <c r="N3014" s="12">
        <v>0</v>
      </c>
      <c r="O3014" s="12">
        <v>0</v>
      </c>
      <c r="P3014" s="12">
        <v>510</v>
      </c>
      <c r="Q3014" s="12">
        <v>917.6</v>
      </c>
    </row>
    <row r="3015" spans="1:17" x14ac:dyDescent="0.3">
      <c r="A3015" s="12" t="s">
        <v>95</v>
      </c>
      <c r="B3015" s="12" t="s">
        <v>167</v>
      </c>
      <c r="C3015" s="12" t="s">
        <v>123</v>
      </c>
      <c r="D3015" s="12" t="s">
        <v>110</v>
      </c>
      <c r="E3015" s="12" t="s">
        <v>54</v>
      </c>
      <c r="F3015" s="12">
        <v>0</v>
      </c>
      <c r="G3015" s="12">
        <v>312.26</v>
      </c>
      <c r="H3015" s="12">
        <v>0</v>
      </c>
      <c r="I3015" s="12">
        <v>0</v>
      </c>
      <c r="J3015" s="12">
        <v>0</v>
      </c>
      <c r="K3015" s="12">
        <v>312.26</v>
      </c>
      <c r="L3015" s="12">
        <v>394.2</v>
      </c>
      <c r="M3015" s="12">
        <v>0</v>
      </c>
      <c r="N3015" s="12">
        <v>0</v>
      </c>
      <c r="O3015" s="12">
        <v>0</v>
      </c>
      <c r="P3015" s="12">
        <v>394.2</v>
      </c>
      <c r="Q3015" s="12">
        <v>706.46</v>
      </c>
    </row>
    <row r="3016" spans="1:17" x14ac:dyDescent="0.3">
      <c r="A3016" s="12" t="s">
        <v>95</v>
      </c>
      <c r="B3016" s="12" t="s">
        <v>167</v>
      </c>
      <c r="C3016" s="12" t="s">
        <v>123</v>
      </c>
      <c r="D3016" s="12" t="s">
        <v>110</v>
      </c>
      <c r="E3016" s="12" t="s">
        <v>19</v>
      </c>
      <c r="F3016" s="12">
        <v>0</v>
      </c>
      <c r="G3016" s="12">
        <v>0</v>
      </c>
      <c r="H3016" s="12">
        <v>0</v>
      </c>
      <c r="I3016" s="12">
        <v>0</v>
      </c>
      <c r="J3016" s="12">
        <v>0</v>
      </c>
      <c r="K3016" s="12">
        <v>0</v>
      </c>
      <c r="L3016" s="12">
        <v>268.45714299999997</v>
      </c>
      <c r="M3016" s="12">
        <v>-511.92</v>
      </c>
      <c r="N3016" s="12">
        <v>0</v>
      </c>
      <c r="O3016" s="12">
        <v>0</v>
      </c>
      <c r="P3016" s="12">
        <v>-243.46285700000001</v>
      </c>
      <c r="Q3016" s="12">
        <v>-243.46285700000001</v>
      </c>
    </row>
    <row r="3017" spans="1:17" x14ac:dyDescent="0.3">
      <c r="A3017" s="12" t="s">
        <v>95</v>
      </c>
      <c r="B3017" s="12" t="s">
        <v>167</v>
      </c>
      <c r="C3017" s="12" t="s">
        <v>123</v>
      </c>
      <c r="D3017" s="12" t="s">
        <v>110</v>
      </c>
      <c r="E3017" s="12" t="s">
        <v>69</v>
      </c>
      <c r="F3017" s="12">
        <v>0</v>
      </c>
      <c r="G3017" s="12">
        <v>0</v>
      </c>
      <c r="H3017" s="12">
        <v>-133.35</v>
      </c>
      <c r="I3017" s="12">
        <v>0</v>
      </c>
      <c r="J3017" s="12">
        <v>0</v>
      </c>
      <c r="K3017" s="12">
        <v>-133.35</v>
      </c>
      <c r="L3017" s="12">
        <v>0</v>
      </c>
      <c r="M3017" s="12">
        <v>0</v>
      </c>
      <c r="N3017" s="12">
        <v>0</v>
      </c>
      <c r="O3017" s="12">
        <v>0</v>
      </c>
      <c r="P3017" s="12">
        <v>0</v>
      </c>
      <c r="Q3017" s="12">
        <v>-133.35</v>
      </c>
    </row>
    <row r="3018" spans="1:17" x14ac:dyDescent="0.3">
      <c r="A3018" s="12" t="s">
        <v>95</v>
      </c>
      <c r="B3018" s="12" t="s">
        <v>167</v>
      </c>
      <c r="C3018" s="12" t="s">
        <v>123</v>
      </c>
      <c r="D3018" s="12" t="s">
        <v>110</v>
      </c>
      <c r="E3018" s="12" t="s">
        <v>20</v>
      </c>
      <c r="F3018" s="12">
        <v>0</v>
      </c>
      <c r="G3018" s="12">
        <v>0</v>
      </c>
      <c r="H3018" s="12">
        <v>-261.89999999999998</v>
      </c>
      <c r="I3018" s="12">
        <v>0</v>
      </c>
      <c r="J3018" s="12">
        <v>0</v>
      </c>
      <c r="K3018" s="12">
        <v>-261.89999999999998</v>
      </c>
      <c r="L3018" s="12">
        <v>0</v>
      </c>
      <c r="M3018" s="12">
        <v>0</v>
      </c>
      <c r="N3018" s="12">
        <v>0</v>
      </c>
      <c r="O3018" s="12">
        <v>0</v>
      </c>
      <c r="P3018" s="12">
        <v>0</v>
      </c>
      <c r="Q3018" s="12">
        <v>-261.89999999999998</v>
      </c>
    </row>
    <row r="3019" spans="1:17" x14ac:dyDescent="0.3">
      <c r="A3019" s="12" t="s">
        <v>95</v>
      </c>
      <c r="B3019" s="12" t="s">
        <v>167</v>
      </c>
      <c r="C3019" s="12" t="s">
        <v>123</v>
      </c>
      <c r="D3019" s="12" t="s">
        <v>110</v>
      </c>
      <c r="E3019" s="12" t="s">
        <v>22</v>
      </c>
      <c r="F3019" s="12">
        <v>0</v>
      </c>
      <c r="G3019" s="12">
        <v>827.48</v>
      </c>
      <c r="H3019" s="12">
        <v>0</v>
      </c>
      <c r="I3019" s="12">
        <v>0</v>
      </c>
      <c r="J3019" s="12">
        <v>0</v>
      </c>
      <c r="K3019" s="12">
        <v>827.48</v>
      </c>
      <c r="L3019" s="12">
        <v>1506.5909999999999</v>
      </c>
      <c r="M3019" s="12">
        <v>0</v>
      </c>
      <c r="N3019" s="12">
        <v>0</v>
      </c>
      <c r="O3019" s="12">
        <v>0</v>
      </c>
      <c r="P3019" s="12">
        <v>1506.5909999999999</v>
      </c>
      <c r="Q3019" s="12">
        <v>2334.0709999999999</v>
      </c>
    </row>
    <row r="3020" spans="1:17" x14ac:dyDescent="0.3">
      <c r="A3020" s="12" t="s">
        <v>95</v>
      </c>
      <c r="B3020" s="12" t="s">
        <v>167</v>
      </c>
      <c r="C3020" s="12" t="s">
        <v>123</v>
      </c>
      <c r="D3020" s="12" t="s">
        <v>110</v>
      </c>
      <c r="E3020" s="12" t="s">
        <v>37</v>
      </c>
      <c r="F3020" s="12">
        <v>0</v>
      </c>
      <c r="G3020" s="12">
        <v>158.9</v>
      </c>
      <c r="H3020" s="12">
        <v>-9.2249999999999996</v>
      </c>
      <c r="I3020" s="12">
        <v>0</v>
      </c>
      <c r="J3020" s="12">
        <v>0</v>
      </c>
      <c r="K3020" s="12">
        <v>149.67500000000001</v>
      </c>
      <c r="L3020" s="12">
        <v>0</v>
      </c>
      <c r="M3020" s="12">
        <v>0</v>
      </c>
      <c r="N3020" s="12">
        <v>0</v>
      </c>
      <c r="O3020" s="12">
        <v>0</v>
      </c>
      <c r="P3020" s="12">
        <v>0</v>
      </c>
      <c r="Q3020" s="12">
        <v>149.67500000000001</v>
      </c>
    </row>
    <row r="3021" spans="1:17" x14ac:dyDescent="0.3">
      <c r="A3021" s="12" t="s">
        <v>95</v>
      </c>
      <c r="B3021" s="12" t="s">
        <v>167</v>
      </c>
      <c r="C3021" s="12" t="s">
        <v>123</v>
      </c>
      <c r="D3021" s="12" t="s">
        <v>110</v>
      </c>
      <c r="E3021" s="12" t="s">
        <v>24</v>
      </c>
      <c r="F3021" s="12">
        <v>0</v>
      </c>
      <c r="G3021" s="12">
        <v>0</v>
      </c>
      <c r="H3021" s="12">
        <v>0</v>
      </c>
      <c r="I3021" s="12">
        <v>0</v>
      </c>
      <c r="J3021" s="12">
        <v>0</v>
      </c>
      <c r="K3021" s="12">
        <v>0</v>
      </c>
      <c r="L3021" s="12">
        <v>986.71249999999998</v>
      </c>
      <c r="M3021" s="12">
        <v>0</v>
      </c>
      <c r="N3021" s="12">
        <v>0</v>
      </c>
      <c r="O3021" s="12">
        <v>0</v>
      </c>
      <c r="P3021" s="12">
        <v>986.71249999999998</v>
      </c>
      <c r="Q3021" s="12">
        <v>986.71249999999998</v>
      </c>
    </row>
    <row r="3022" spans="1:17" x14ac:dyDescent="0.3">
      <c r="A3022" s="12" t="s">
        <v>95</v>
      </c>
      <c r="B3022" s="12" t="s">
        <v>167</v>
      </c>
      <c r="C3022" s="12" t="s">
        <v>123</v>
      </c>
      <c r="D3022" s="12" t="s">
        <v>110</v>
      </c>
      <c r="E3022" s="12" t="s">
        <v>70</v>
      </c>
      <c r="F3022" s="12">
        <v>0</v>
      </c>
      <c r="G3022" s="12">
        <v>252.25</v>
      </c>
      <c r="H3022" s="12">
        <v>-14.175000000000001</v>
      </c>
      <c r="I3022" s="12">
        <v>0</v>
      </c>
      <c r="J3022" s="12">
        <v>0</v>
      </c>
      <c r="K3022" s="12">
        <v>238.07499999999999</v>
      </c>
      <c r="L3022" s="12">
        <v>369.32499999999999</v>
      </c>
      <c r="M3022" s="12">
        <v>0</v>
      </c>
      <c r="N3022" s="12">
        <v>0</v>
      </c>
      <c r="O3022" s="12">
        <v>0</v>
      </c>
      <c r="P3022" s="12">
        <v>369.32499999999999</v>
      </c>
      <c r="Q3022" s="12">
        <v>607.4</v>
      </c>
    </row>
    <row r="3023" spans="1:17" x14ac:dyDescent="0.3">
      <c r="A3023" s="12" t="s">
        <v>95</v>
      </c>
      <c r="B3023" s="12" t="s">
        <v>167</v>
      </c>
      <c r="C3023" s="12" t="s">
        <v>123</v>
      </c>
      <c r="D3023" s="12" t="s">
        <v>110</v>
      </c>
      <c r="E3023" s="12" t="s">
        <v>49</v>
      </c>
      <c r="F3023" s="12">
        <v>0</v>
      </c>
      <c r="G3023" s="12">
        <v>0</v>
      </c>
      <c r="H3023" s="12">
        <v>0</v>
      </c>
      <c r="I3023" s="12">
        <v>0</v>
      </c>
      <c r="J3023" s="12">
        <v>0</v>
      </c>
      <c r="K3023" s="12">
        <v>0</v>
      </c>
      <c r="L3023" s="12">
        <v>435.32</v>
      </c>
      <c r="M3023" s="12">
        <v>0</v>
      </c>
      <c r="N3023" s="12">
        <v>0</v>
      </c>
      <c r="O3023" s="12">
        <v>0</v>
      </c>
      <c r="P3023" s="12">
        <v>435.32</v>
      </c>
      <c r="Q3023" s="12">
        <v>435.32</v>
      </c>
    </row>
    <row r="3024" spans="1:17" x14ac:dyDescent="0.3">
      <c r="A3024" s="12" t="s">
        <v>95</v>
      </c>
      <c r="B3024" s="12" t="s">
        <v>167</v>
      </c>
      <c r="C3024" s="12" t="s">
        <v>123</v>
      </c>
      <c r="D3024" s="12" t="s">
        <v>110</v>
      </c>
      <c r="E3024" s="12" t="s">
        <v>26</v>
      </c>
      <c r="F3024" s="12">
        <v>0</v>
      </c>
      <c r="G3024" s="12">
        <v>0</v>
      </c>
      <c r="H3024" s="12">
        <v>0</v>
      </c>
      <c r="I3024" s="12">
        <v>0</v>
      </c>
      <c r="J3024" s="12">
        <v>0</v>
      </c>
      <c r="K3024" s="12">
        <v>0</v>
      </c>
      <c r="L3024" s="12">
        <v>149.30000000000001</v>
      </c>
      <c r="M3024" s="12">
        <v>0</v>
      </c>
      <c r="N3024" s="12">
        <v>0</v>
      </c>
      <c r="O3024" s="12">
        <v>0</v>
      </c>
      <c r="P3024" s="12">
        <v>149.30000000000001</v>
      </c>
      <c r="Q3024" s="12">
        <v>149.30000000000001</v>
      </c>
    </row>
    <row r="3025" spans="1:17" x14ac:dyDescent="0.3">
      <c r="A3025" s="12" t="s">
        <v>95</v>
      </c>
      <c r="B3025" s="12" t="s">
        <v>167</v>
      </c>
      <c r="C3025" s="12" t="s">
        <v>123</v>
      </c>
      <c r="D3025" s="12" t="s">
        <v>110</v>
      </c>
      <c r="E3025" s="12" t="s">
        <v>27</v>
      </c>
      <c r="F3025" s="12">
        <v>0</v>
      </c>
      <c r="G3025" s="12">
        <v>0</v>
      </c>
      <c r="H3025" s="12">
        <v>-0.9</v>
      </c>
      <c r="I3025" s="12">
        <v>0</v>
      </c>
      <c r="J3025" s="12">
        <v>0</v>
      </c>
      <c r="K3025" s="12">
        <v>-0.9</v>
      </c>
      <c r="L3025" s="12">
        <v>0</v>
      </c>
      <c r="M3025" s="12">
        <v>-220.7</v>
      </c>
      <c r="N3025" s="12">
        <v>0</v>
      </c>
      <c r="O3025" s="12">
        <v>0</v>
      </c>
      <c r="P3025" s="12">
        <v>-220.7</v>
      </c>
      <c r="Q3025" s="12">
        <v>-221.6</v>
      </c>
    </row>
    <row r="3026" spans="1:17" x14ac:dyDescent="0.3">
      <c r="A3026" s="12" t="s">
        <v>95</v>
      </c>
      <c r="B3026" s="12" t="s">
        <v>167</v>
      </c>
      <c r="C3026" s="12" t="s">
        <v>123</v>
      </c>
      <c r="D3026" s="12" t="s">
        <v>110</v>
      </c>
      <c r="E3026" s="12" t="s">
        <v>28</v>
      </c>
      <c r="F3026" s="12">
        <v>0</v>
      </c>
      <c r="G3026" s="12">
        <v>0</v>
      </c>
      <c r="H3026" s="12">
        <v>0</v>
      </c>
      <c r="I3026" s="12">
        <v>0</v>
      </c>
      <c r="J3026" s="12">
        <v>0</v>
      </c>
      <c r="K3026" s="12">
        <v>0</v>
      </c>
      <c r="L3026" s="12">
        <v>1804.8879589999999</v>
      </c>
      <c r="M3026" s="12">
        <v>-269.64</v>
      </c>
      <c r="N3026" s="12">
        <v>0</v>
      </c>
      <c r="O3026" s="12">
        <v>0</v>
      </c>
      <c r="P3026" s="12">
        <v>1535.247959</v>
      </c>
      <c r="Q3026" s="12">
        <v>1535.247959</v>
      </c>
    </row>
    <row r="3027" spans="1:17" x14ac:dyDescent="0.3">
      <c r="A3027" s="12" t="s">
        <v>95</v>
      </c>
      <c r="B3027" s="12" t="s">
        <v>167</v>
      </c>
      <c r="C3027" s="12" t="s">
        <v>123</v>
      </c>
      <c r="D3027" s="12" t="s">
        <v>110</v>
      </c>
      <c r="E3027" s="12" t="s">
        <v>55</v>
      </c>
      <c r="F3027" s="12">
        <v>0</v>
      </c>
      <c r="G3027" s="12">
        <v>0</v>
      </c>
      <c r="H3027" s="12">
        <v>0</v>
      </c>
      <c r="I3027" s="12">
        <v>0</v>
      </c>
      <c r="J3027" s="12">
        <v>0</v>
      </c>
      <c r="K3027" s="12">
        <v>0</v>
      </c>
      <c r="L3027" s="12">
        <v>0</v>
      </c>
      <c r="M3027" s="12">
        <v>-934.62</v>
      </c>
      <c r="N3027" s="12">
        <v>0</v>
      </c>
      <c r="O3027" s="12">
        <v>0</v>
      </c>
      <c r="P3027" s="12">
        <v>-934.62</v>
      </c>
      <c r="Q3027" s="12">
        <v>-934.62</v>
      </c>
    </row>
    <row r="3028" spans="1:17" x14ac:dyDescent="0.3">
      <c r="A3028" s="12" t="s">
        <v>95</v>
      </c>
      <c r="B3028" s="12" t="s">
        <v>167</v>
      </c>
      <c r="C3028" s="12" t="s">
        <v>123</v>
      </c>
      <c r="D3028" s="12" t="s">
        <v>110</v>
      </c>
      <c r="E3028" s="12" t="s">
        <v>50</v>
      </c>
      <c r="F3028" s="12">
        <v>0</v>
      </c>
      <c r="G3028" s="12">
        <v>103.9</v>
      </c>
      <c r="H3028" s="12">
        <v>-44.84</v>
      </c>
      <c r="I3028" s="12">
        <v>0</v>
      </c>
      <c r="J3028" s="12">
        <v>0</v>
      </c>
      <c r="K3028" s="12">
        <v>59.06</v>
      </c>
      <c r="L3028" s="12">
        <v>0</v>
      </c>
      <c r="M3028" s="12">
        <v>0</v>
      </c>
      <c r="N3028" s="12">
        <v>0</v>
      </c>
      <c r="O3028" s="12">
        <v>0</v>
      </c>
      <c r="P3028" s="12">
        <v>0</v>
      </c>
      <c r="Q3028" s="12">
        <v>59.06</v>
      </c>
    </row>
    <row r="3029" spans="1:17" x14ac:dyDescent="0.3">
      <c r="A3029" s="12" t="s">
        <v>95</v>
      </c>
      <c r="B3029" s="12" t="s">
        <v>167</v>
      </c>
      <c r="C3029" s="12" t="s">
        <v>123</v>
      </c>
      <c r="D3029" s="12" t="s">
        <v>110</v>
      </c>
      <c r="E3029" s="12" t="s">
        <v>71</v>
      </c>
      <c r="F3029" s="12">
        <v>0</v>
      </c>
      <c r="G3029" s="12">
        <v>0</v>
      </c>
      <c r="H3029" s="12">
        <v>0</v>
      </c>
      <c r="I3029" s="12">
        <v>0</v>
      </c>
      <c r="J3029" s="12">
        <v>0</v>
      </c>
      <c r="K3029" s="12">
        <v>0</v>
      </c>
      <c r="L3029" s="12">
        <v>0</v>
      </c>
      <c r="M3029" s="12">
        <v>-898</v>
      </c>
      <c r="N3029" s="12">
        <v>0</v>
      </c>
      <c r="O3029" s="12">
        <v>0</v>
      </c>
      <c r="P3029" s="12">
        <v>-898</v>
      </c>
      <c r="Q3029" s="12">
        <v>-898</v>
      </c>
    </row>
    <row r="3030" spans="1:17" x14ac:dyDescent="0.3">
      <c r="A3030" s="12" t="s">
        <v>95</v>
      </c>
      <c r="B3030" s="12" t="s">
        <v>167</v>
      </c>
      <c r="C3030" s="12" t="s">
        <v>123</v>
      </c>
      <c r="D3030" s="12" t="s">
        <v>110</v>
      </c>
      <c r="E3030" s="12" t="s">
        <v>56</v>
      </c>
      <c r="F3030" s="12">
        <v>0</v>
      </c>
      <c r="G3030" s="12">
        <v>0</v>
      </c>
      <c r="H3030" s="12">
        <v>0</v>
      </c>
      <c r="I3030" s="12">
        <v>0</v>
      </c>
      <c r="J3030" s="12">
        <v>0</v>
      </c>
      <c r="K3030" s="12">
        <v>0</v>
      </c>
      <c r="L3030" s="12">
        <v>304.60000000000002</v>
      </c>
      <c r="M3030" s="12">
        <v>0</v>
      </c>
      <c r="N3030" s="12">
        <v>0</v>
      </c>
      <c r="O3030" s="12">
        <v>0</v>
      </c>
      <c r="P3030" s="12">
        <v>304.60000000000002</v>
      </c>
      <c r="Q3030" s="12">
        <v>304.60000000000002</v>
      </c>
    </row>
    <row r="3031" spans="1:17" x14ac:dyDescent="0.3">
      <c r="A3031" s="12" t="s">
        <v>95</v>
      </c>
      <c r="B3031" s="12" t="s">
        <v>167</v>
      </c>
      <c r="C3031" s="12" t="s">
        <v>123</v>
      </c>
      <c r="D3031" s="12" t="s">
        <v>110</v>
      </c>
      <c r="E3031" s="12" t="s">
        <v>72</v>
      </c>
      <c r="F3031" s="12">
        <v>0</v>
      </c>
      <c r="G3031" s="12">
        <v>101.7</v>
      </c>
      <c r="H3031" s="12">
        <v>0</v>
      </c>
      <c r="I3031" s="12">
        <v>0</v>
      </c>
      <c r="J3031" s="12">
        <v>0</v>
      </c>
      <c r="K3031" s="12">
        <v>101.7</v>
      </c>
      <c r="L3031" s="12">
        <v>0</v>
      </c>
      <c r="M3031" s="12">
        <v>0</v>
      </c>
      <c r="N3031" s="12">
        <v>0</v>
      </c>
      <c r="O3031" s="12">
        <v>0</v>
      </c>
      <c r="P3031" s="12">
        <v>0</v>
      </c>
      <c r="Q3031" s="12">
        <v>101.7</v>
      </c>
    </row>
    <row r="3032" spans="1:17" x14ac:dyDescent="0.3">
      <c r="A3032" s="12" t="s">
        <v>95</v>
      </c>
      <c r="B3032" s="12" t="s">
        <v>167</v>
      </c>
      <c r="C3032" s="12" t="s">
        <v>123</v>
      </c>
      <c r="D3032" s="12" t="s">
        <v>110</v>
      </c>
      <c r="E3032" s="12" t="s">
        <v>29</v>
      </c>
      <c r="F3032" s="12">
        <v>0</v>
      </c>
      <c r="G3032" s="12">
        <v>0</v>
      </c>
      <c r="H3032" s="12">
        <v>0</v>
      </c>
      <c r="I3032" s="12">
        <v>0</v>
      </c>
      <c r="J3032" s="12">
        <v>0</v>
      </c>
      <c r="K3032" s="12">
        <v>0</v>
      </c>
      <c r="L3032" s="12">
        <v>407.25</v>
      </c>
      <c r="M3032" s="12">
        <v>0</v>
      </c>
      <c r="N3032" s="12">
        <v>0</v>
      </c>
      <c r="O3032" s="12">
        <v>0</v>
      </c>
      <c r="P3032" s="12">
        <v>407.25</v>
      </c>
      <c r="Q3032" s="12">
        <v>407.25</v>
      </c>
    </row>
    <row r="3033" spans="1:17" x14ac:dyDescent="0.3">
      <c r="A3033" s="12" t="s">
        <v>95</v>
      </c>
      <c r="B3033" s="12" t="s">
        <v>167</v>
      </c>
      <c r="C3033" s="12" t="s">
        <v>123</v>
      </c>
      <c r="D3033" s="12" t="s">
        <v>110</v>
      </c>
      <c r="E3033" s="12" t="s">
        <v>73</v>
      </c>
      <c r="F3033" s="12">
        <v>0</v>
      </c>
      <c r="G3033" s="12">
        <v>0</v>
      </c>
      <c r="H3033" s="12">
        <v>-30.8</v>
      </c>
      <c r="I3033" s="12">
        <v>0</v>
      </c>
      <c r="J3033" s="12">
        <v>0</v>
      </c>
      <c r="K3033" s="12">
        <v>-30.8</v>
      </c>
      <c r="L3033" s="12">
        <v>0</v>
      </c>
      <c r="M3033" s="12">
        <v>0</v>
      </c>
      <c r="N3033" s="12">
        <v>0</v>
      </c>
      <c r="O3033" s="12">
        <v>0</v>
      </c>
      <c r="P3033" s="12">
        <v>0</v>
      </c>
      <c r="Q3033" s="12">
        <v>-30.8</v>
      </c>
    </row>
    <row r="3034" spans="1:17" x14ac:dyDescent="0.3">
      <c r="A3034" s="12" t="s">
        <v>95</v>
      </c>
      <c r="B3034" s="12" t="s">
        <v>167</v>
      </c>
      <c r="C3034" s="12" t="s">
        <v>123</v>
      </c>
      <c r="D3034" s="12" t="s">
        <v>110</v>
      </c>
      <c r="E3034" s="12" t="s">
        <v>74</v>
      </c>
      <c r="F3034" s="12">
        <v>0</v>
      </c>
      <c r="G3034" s="12">
        <v>0</v>
      </c>
      <c r="H3034" s="12">
        <v>-170.6</v>
      </c>
      <c r="I3034" s="12">
        <v>0</v>
      </c>
      <c r="J3034" s="12">
        <v>0</v>
      </c>
      <c r="K3034" s="12">
        <v>-170.6</v>
      </c>
      <c r="L3034" s="12">
        <v>0</v>
      </c>
      <c r="M3034" s="12">
        <v>0</v>
      </c>
      <c r="N3034" s="12">
        <v>0</v>
      </c>
      <c r="O3034" s="12">
        <v>0</v>
      </c>
      <c r="P3034" s="12">
        <v>0</v>
      </c>
      <c r="Q3034" s="12">
        <v>-170.6</v>
      </c>
    </row>
    <row r="3035" spans="1:17" x14ac:dyDescent="0.3">
      <c r="A3035" s="12" t="s">
        <v>95</v>
      </c>
      <c r="B3035" s="12" t="s">
        <v>167</v>
      </c>
      <c r="C3035" s="12" t="s">
        <v>123</v>
      </c>
      <c r="D3035" s="12" t="s">
        <v>110</v>
      </c>
      <c r="E3035" s="12" t="s">
        <v>39</v>
      </c>
      <c r="F3035" s="12">
        <v>0</v>
      </c>
      <c r="G3035" s="12">
        <v>300.72500000000002</v>
      </c>
      <c r="H3035" s="12">
        <v>-87.9</v>
      </c>
      <c r="I3035" s="12">
        <v>0</v>
      </c>
      <c r="J3035" s="12">
        <v>0</v>
      </c>
      <c r="K3035" s="12">
        <v>212.82499999999999</v>
      </c>
      <c r="L3035" s="12">
        <v>0</v>
      </c>
      <c r="M3035" s="12">
        <v>-748.15</v>
      </c>
      <c r="N3035" s="12">
        <v>0</v>
      </c>
      <c r="O3035" s="12">
        <v>0</v>
      </c>
      <c r="P3035" s="12">
        <v>-748.15</v>
      </c>
      <c r="Q3035" s="12">
        <v>-535.32500000000005</v>
      </c>
    </row>
    <row r="3036" spans="1:17" x14ac:dyDescent="0.3">
      <c r="A3036" s="12" t="s">
        <v>95</v>
      </c>
      <c r="B3036" s="12" t="s">
        <v>167</v>
      </c>
      <c r="C3036" s="12" t="s">
        <v>123</v>
      </c>
      <c r="D3036" s="12" t="s">
        <v>110</v>
      </c>
      <c r="E3036" s="12" t="s">
        <v>82</v>
      </c>
      <c r="F3036" s="12">
        <v>0</v>
      </c>
      <c r="G3036" s="12">
        <v>0</v>
      </c>
      <c r="H3036" s="12">
        <v>0</v>
      </c>
      <c r="I3036" s="12">
        <v>0</v>
      </c>
      <c r="J3036" s="12">
        <v>0</v>
      </c>
      <c r="K3036" s="12">
        <v>0</v>
      </c>
      <c r="L3036" s="12">
        <v>0</v>
      </c>
      <c r="M3036" s="12">
        <v>-474.9</v>
      </c>
      <c r="N3036" s="12">
        <v>0</v>
      </c>
      <c r="O3036" s="12">
        <v>0</v>
      </c>
      <c r="P3036" s="12">
        <v>-474.9</v>
      </c>
      <c r="Q3036" s="12">
        <v>-474.9</v>
      </c>
    </row>
    <row r="3037" spans="1:17" x14ac:dyDescent="0.3">
      <c r="A3037" s="12" t="s">
        <v>95</v>
      </c>
      <c r="B3037" s="12" t="s">
        <v>167</v>
      </c>
      <c r="C3037" s="12" t="s">
        <v>123</v>
      </c>
      <c r="D3037" s="12" t="s">
        <v>110</v>
      </c>
      <c r="E3037" s="12" t="s">
        <v>75</v>
      </c>
      <c r="F3037" s="12">
        <v>0</v>
      </c>
      <c r="G3037" s="12">
        <v>434.75</v>
      </c>
      <c r="H3037" s="12">
        <v>0</v>
      </c>
      <c r="I3037" s="12">
        <v>0</v>
      </c>
      <c r="J3037" s="12">
        <v>0</v>
      </c>
      <c r="K3037" s="12">
        <v>434.75</v>
      </c>
      <c r="L3037" s="12">
        <v>0</v>
      </c>
      <c r="M3037" s="12">
        <v>0</v>
      </c>
      <c r="N3037" s="12">
        <v>0</v>
      </c>
      <c r="O3037" s="12">
        <v>0</v>
      </c>
      <c r="P3037" s="12">
        <v>0</v>
      </c>
      <c r="Q3037" s="12">
        <v>434.75</v>
      </c>
    </row>
    <row r="3038" spans="1:17" x14ac:dyDescent="0.3">
      <c r="A3038" s="12" t="s">
        <v>95</v>
      </c>
      <c r="B3038" s="12" t="s">
        <v>167</v>
      </c>
      <c r="C3038" s="12" t="s">
        <v>123</v>
      </c>
      <c r="D3038" s="12" t="s">
        <v>110</v>
      </c>
      <c r="E3038" s="12" t="s">
        <v>76</v>
      </c>
      <c r="F3038" s="12">
        <v>0</v>
      </c>
      <c r="G3038" s="12">
        <v>0</v>
      </c>
      <c r="H3038" s="12">
        <v>-324.67500000000001</v>
      </c>
      <c r="I3038" s="12">
        <v>0</v>
      </c>
      <c r="J3038" s="12">
        <v>0</v>
      </c>
      <c r="K3038" s="12">
        <v>-324.67500000000001</v>
      </c>
      <c r="L3038" s="12">
        <v>0</v>
      </c>
      <c r="M3038" s="12">
        <v>0</v>
      </c>
      <c r="N3038" s="12">
        <v>0</v>
      </c>
      <c r="O3038" s="12">
        <v>0</v>
      </c>
      <c r="P3038" s="12">
        <v>0</v>
      </c>
      <c r="Q3038" s="12">
        <v>-324.67500000000001</v>
      </c>
    </row>
    <row r="3039" spans="1:17" x14ac:dyDescent="0.3">
      <c r="A3039" s="12" t="s">
        <v>95</v>
      </c>
      <c r="B3039" s="12" t="s">
        <v>167</v>
      </c>
      <c r="C3039" s="12" t="s">
        <v>123</v>
      </c>
      <c r="D3039" s="12" t="s">
        <v>110</v>
      </c>
      <c r="E3039" s="12" t="s">
        <v>51</v>
      </c>
      <c r="F3039" s="12">
        <v>0</v>
      </c>
      <c r="G3039" s="12">
        <v>157.5</v>
      </c>
      <c r="H3039" s="12">
        <v>-1028.8</v>
      </c>
      <c r="I3039" s="12">
        <v>0</v>
      </c>
      <c r="J3039" s="12">
        <v>0</v>
      </c>
      <c r="K3039" s="12">
        <v>-871.3</v>
      </c>
      <c r="L3039" s="12">
        <v>0</v>
      </c>
      <c r="M3039" s="12">
        <v>-856.75</v>
      </c>
      <c r="N3039" s="12">
        <v>0</v>
      </c>
      <c r="O3039" s="12">
        <v>0</v>
      </c>
      <c r="P3039" s="12">
        <v>-856.75</v>
      </c>
      <c r="Q3039" s="12">
        <v>-1728.05</v>
      </c>
    </row>
    <row r="3040" spans="1:17" x14ac:dyDescent="0.3">
      <c r="A3040" s="12" t="s">
        <v>95</v>
      </c>
      <c r="B3040" s="12" t="s">
        <v>167</v>
      </c>
      <c r="C3040" s="12" t="s">
        <v>123</v>
      </c>
      <c r="D3040" s="12" t="s">
        <v>110</v>
      </c>
      <c r="E3040" s="12" t="s">
        <v>83</v>
      </c>
      <c r="F3040" s="12">
        <v>0</v>
      </c>
      <c r="G3040" s="12">
        <v>0</v>
      </c>
      <c r="H3040" s="12">
        <v>0</v>
      </c>
      <c r="I3040" s="12">
        <v>0</v>
      </c>
      <c r="J3040" s="12">
        <v>0</v>
      </c>
      <c r="K3040" s="12">
        <v>0</v>
      </c>
      <c r="L3040" s="12">
        <v>0</v>
      </c>
      <c r="M3040" s="12">
        <v>-2175</v>
      </c>
      <c r="N3040" s="12">
        <v>0</v>
      </c>
      <c r="O3040" s="12">
        <v>0</v>
      </c>
      <c r="P3040" s="12">
        <v>-2175</v>
      </c>
      <c r="Q3040" s="12">
        <v>-2175</v>
      </c>
    </row>
    <row r="3041" spans="1:17" x14ac:dyDescent="0.3">
      <c r="A3041" s="12" t="s">
        <v>95</v>
      </c>
      <c r="B3041" s="12" t="s">
        <v>167</v>
      </c>
      <c r="C3041" s="12" t="s">
        <v>123</v>
      </c>
      <c r="D3041" s="12" t="s">
        <v>110</v>
      </c>
      <c r="E3041" s="12" t="s">
        <v>77</v>
      </c>
      <c r="F3041" s="12">
        <v>0</v>
      </c>
      <c r="G3041" s="12">
        <v>0</v>
      </c>
      <c r="H3041" s="12">
        <v>0</v>
      </c>
      <c r="I3041" s="12">
        <v>0</v>
      </c>
      <c r="J3041" s="12">
        <v>0</v>
      </c>
      <c r="K3041" s="12">
        <v>0</v>
      </c>
      <c r="L3041" s="12">
        <v>1034.8</v>
      </c>
      <c r="M3041" s="12">
        <v>-24.6</v>
      </c>
      <c r="N3041" s="12">
        <v>0</v>
      </c>
      <c r="O3041" s="12">
        <v>0</v>
      </c>
      <c r="P3041" s="12">
        <v>1010.2</v>
      </c>
      <c r="Q3041" s="12">
        <v>1010.2</v>
      </c>
    </row>
    <row r="3042" spans="1:17" x14ac:dyDescent="0.3">
      <c r="A3042" s="12" t="s">
        <v>95</v>
      </c>
      <c r="B3042" s="12" t="s">
        <v>167</v>
      </c>
      <c r="C3042" s="12" t="s">
        <v>123</v>
      </c>
      <c r="D3042" s="12" t="s">
        <v>110</v>
      </c>
      <c r="E3042" s="12" t="s">
        <v>78</v>
      </c>
      <c r="F3042" s="12">
        <v>0</v>
      </c>
      <c r="G3042" s="12">
        <v>141.6</v>
      </c>
      <c r="H3042" s="12">
        <v>0</v>
      </c>
      <c r="I3042" s="12">
        <v>0</v>
      </c>
      <c r="J3042" s="12">
        <v>0</v>
      </c>
      <c r="K3042" s="12">
        <v>141.6</v>
      </c>
      <c r="L3042" s="12">
        <v>188.4</v>
      </c>
      <c r="M3042" s="12">
        <v>0</v>
      </c>
      <c r="N3042" s="12">
        <v>0</v>
      </c>
      <c r="O3042" s="12">
        <v>0</v>
      </c>
      <c r="P3042" s="12">
        <v>188.4</v>
      </c>
      <c r="Q3042" s="12">
        <v>330</v>
      </c>
    </row>
    <row r="3043" spans="1:17" x14ac:dyDescent="0.3">
      <c r="A3043" s="12" t="s">
        <v>95</v>
      </c>
      <c r="B3043" s="12" t="s">
        <v>167</v>
      </c>
      <c r="C3043" s="12" t="s">
        <v>123</v>
      </c>
      <c r="D3043" s="12" t="s">
        <v>110</v>
      </c>
      <c r="E3043" s="12" t="s">
        <v>32</v>
      </c>
      <c r="F3043" s="12">
        <v>0</v>
      </c>
      <c r="G3043" s="12">
        <v>0</v>
      </c>
      <c r="H3043" s="12">
        <v>0</v>
      </c>
      <c r="I3043" s="12">
        <v>0</v>
      </c>
      <c r="J3043" s="12">
        <v>0</v>
      </c>
      <c r="K3043" s="12">
        <v>0</v>
      </c>
      <c r="L3043" s="12">
        <v>0</v>
      </c>
      <c r="M3043" s="12">
        <v>-121.1</v>
      </c>
      <c r="N3043" s="12">
        <v>0</v>
      </c>
      <c r="O3043" s="12">
        <v>0</v>
      </c>
      <c r="P3043" s="12">
        <v>-121.1</v>
      </c>
      <c r="Q3043" s="12">
        <v>-121.1</v>
      </c>
    </row>
    <row r="3044" spans="1:17" x14ac:dyDescent="0.3">
      <c r="A3044" s="12" t="s">
        <v>95</v>
      </c>
      <c r="B3044" s="12" t="s">
        <v>167</v>
      </c>
      <c r="C3044" s="12" t="s">
        <v>123</v>
      </c>
      <c r="D3044" s="12" t="s">
        <v>110</v>
      </c>
      <c r="E3044" s="12" t="s">
        <v>61</v>
      </c>
      <c r="F3044" s="12">
        <v>0</v>
      </c>
      <c r="G3044" s="12">
        <v>0</v>
      </c>
      <c r="H3044" s="12">
        <v>0</v>
      </c>
      <c r="I3044" s="12">
        <v>0</v>
      </c>
      <c r="J3044" s="12">
        <v>0</v>
      </c>
      <c r="K3044" s="12">
        <v>0</v>
      </c>
      <c r="L3044" s="12">
        <v>0</v>
      </c>
      <c r="M3044" s="12">
        <v>-117</v>
      </c>
      <c r="N3044" s="12">
        <v>0</v>
      </c>
      <c r="O3044" s="12">
        <v>0</v>
      </c>
      <c r="P3044" s="12">
        <v>-117</v>
      </c>
      <c r="Q3044" s="12">
        <v>-117</v>
      </c>
    </row>
    <row r="3045" spans="1:17" x14ac:dyDescent="0.3">
      <c r="A3045" s="12" t="s">
        <v>95</v>
      </c>
      <c r="B3045" s="12" t="s">
        <v>167</v>
      </c>
      <c r="C3045" s="12" t="s">
        <v>123</v>
      </c>
      <c r="D3045" s="12" t="s">
        <v>110</v>
      </c>
      <c r="E3045" s="12" t="s">
        <v>62</v>
      </c>
      <c r="F3045" s="12">
        <v>0</v>
      </c>
      <c r="G3045" s="12">
        <v>0</v>
      </c>
      <c r="H3045" s="12">
        <v>0</v>
      </c>
      <c r="I3045" s="12">
        <v>0</v>
      </c>
      <c r="J3045" s="12">
        <v>0</v>
      </c>
      <c r="K3045" s="12">
        <v>0</v>
      </c>
      <c r="L3045" s="12">
        <v>453.13</v>
      </c>
      <c r="M3045" s="12">
        <v>0</v>
      </c>
      <c r="N3045" s="12">
        <v>0</v>
      </c>
      <c r="O3045" s="12">
        <v>0</v>
      </c>
      <c r="P3045" s="12">
        <v>453.13</v>
      </c>
      <c r="Q3045" s="12">
        <v>453.13</v>
      </c>
    </row>
    <row r="3046" spans="1:17" x14ac:dyDescent="0.3">
      <c r="A3046" s="12" t="s">
        <v>95</v>
      </c>
      <c r="B3046" s="12" t="s">
        <v>167</v>
      </c>
      <c r="C3046" s="12" t="s">
        <v>123</v>
      </c>
      <c r="D3046" s="12" t="s">
        <v>110</v>
      </c>
      <c r="E3046" s="12" t="s">
        <v>41</v>
      </c>
      <c r="F3046" s="12">
        <v>0</v>
      </c>
      <c r="G3046" s="12">
        <v>0</v>
      </c>
      <c r="H3046" s="12">
        <v>0</v>
      </c>
      <c r="I3046" s="12">
        <v>0</v>
      </c>
      <c r="J3046" s="12">
        <v>0</v>
      </c>
      <c r="K3046" s="12">
        <v>0</v>
      </c>
      <c r="L3046" s="12">
        <v>3746.5</v>
      </c>
      <c r="M3046" s="12">
        <v>0</v>
      </c>
      <c r="N3046" s="12">
        <v>0</v>
      </c>
      <c r="O3046" s="12">
        <v>0</v>
      </c>
      <c r="P3046" s="12">
        <v>3746.5</v>
      </c>
      <c r="Q3046" s="12">
        <v>3746.5</v>
      </c>
    </row>
    <row r="3047" spans="1:17" x14ac:dyDescent="0.3">
      <c r="A3047" s="12" t="s">
        <v>95</v>
      </c>
      <c r="B3047" s="12" t="s">
        <v>167</v>
      </c>
      <c r="C3047" s="12" t="s">
        <v>123</v>
      </c>
      <c r="D3047" s="12" t="s">
        <v>110</v>
      </c>
      <c r="E3047" s="12" t="s">
        <v>79</v>
      </c>
      <c r="F3047" s="12">
        <v>0</v>
      </c>
      <c r="G3047" s="12">
        <v>0</v>
      </c>
      <c r="H3047" s="12">
        <v>0</v>
      </c>
      <c r="I3047" s="12">
        <v>0</v>
      </c>
      <c r="J3047" s="12">
        <v>0</v>
      </c>
      <c r="K3047" s="12">
        <v>0</v>
      </c>
      <c r="L3047" s="12">
        <v>544</v>
      </c>
      <c r="M3047" s="12">
        <v>0</v>
      </c>
      <c r="N3047" s="12">
        <v>0</v>
      </c>
      <c r="O3047" s="12">
        <v>0</v>
      </c>
      <c r="P3047" s="12">
        <v>544</v>
      </c>
      <c r="Q3047" s="12">
        <v>544</v>
      </c>
    </row>
    <row r="3048" spans="1:17" x14ac:dyDescent="0.3">
      <c r="A3048" s="12" t="s">
        <v>95</v>
      </c>
      <c r="B3048" s="12" t="s">
        <v>167</v>
      </c>
      <c r="C3048" s="12" t="s">
        <v>123</v>
      </c>
      <c r="D3048" s="12" t="s">
        <v>110</v>
      </c>
      <c r="E3048" s="12" t="s">
        <v>42</v>
      </c>
      <c r="F3048" s="12">
        <v>0</v>
      </c>
      <c r="G3048" s="12">
        <v>0</v>
      </c>
      <c r="H3048" s="12">
        <v>0</v>
      </c>
      <c r="I3048" s="12">
        <v>0</v>
      </c>
      <c r="J3048" s="12">
        <v>0</v>
      </c>
      <c r="K3048" s="12">
        <v>0</v>
      </c>
      <c r="L3048" s="12">
        <v>2833.1</v>
      </c>
      <c r="M3048" s="12">
        <v>0</v>
      </c>
      <c r="N3048" s="12">
        <v>0</v>
      </c>
      <c r="O3048" s="12">
        <v>0</v>
      </c>
      <c r="P3048" s="12">
        <v>2833.1</v>
      </c>
      <c r="Q3048" s="12">
        <v>2833.1</v>
      </c>
    </row>
    <row r="3049" spans="1:17" x14ac:dyDescent="0.3">
      <c r="A3049" s="12" t="s">
        <v>95</v>
      </c>
      <c r="B3049" s="12" t="s">
        <v>167</v>
      </c>
      <c r="C3049" s="12" t="s">
        <v>123</v>
      </c>
      <c r="D3049" s="12" t="s">
        <v>110</v>
      </c>
      <c r="E3049" s="12" t="s">
        <v>43</v>
      </c>
      <c r="F3049" s="12">
        <v>0</v>
      </c>
      <c r="G3049" s="12">
        <v>0</v>
      </c>
      <c r="H3049" s="12">
        <v>0</v>
      </c>
      <c r="I3049" s="12">
        <v>0</v>
      </c>
      <c r="J3049" s="12">
        <v>0</v>
      </c>
      <c r="K3049" s="12">
        <v>0</v>
      </c>
      <c r="L3049" s="12">
        <v>1329.9</v>
      </c>
      <c r="M3049" s="12">
        <v>0</v>
      </c>
      <c r="N3049" s="12">
        <v>0</v>
      </c>
      <c r="O3049" s="12">
        <v>0</v>
      </c>
      <c r="P3049" s="12">
        <v>1329.9</v>
      </c>
      <c r="Q3049" s="12">
        <v>1329.9</v>
      </c>
    </row>
    <row r="3050" spans="1:17" x14ac:dyDescent="0.3">
      <c r="A3050" s="12" t="s">
        <v>95</v>
      </c>
      <c r="B3050" s="12" t="s">
        <v>167</v>
      </c>
      <c r="C3050" s="12" t="s">
        <v>123</v>
      </c>
      <c r="D3050" s="12" t="s">
        <v>110</v>
      </c>
      <c r="E3050" s="12" t="s">
        <v>44</v>
      </c>
      <c r="F3050" s="12">
        <v>0</v>
      </c>
      <c r="G3050" s="12">
        <v>0</v>
      </c>
      <c r="H3050" s="12">
        <v>0</v>
      </c>
      <c r="I3050" s="12">
        <v>0</v>
      </c>
      <c r="J3050" s="12">
        <v>0</v>
      </c>
      <c r="K3050" s="12">
        <v>0</v>
      </c>
      <c r="L3050" s="12">
        <v>388.15</v>
      </c>
      <c r="M3050" s="12">
        <v>0</v>
      </c>
      <c r="N3050" s="12">
        <v>0</v>
      </c>
      <c r="O3050" s="12">
        <v>0</v>
      </c>
      <c r="P3050" s="12">
        <v>388.15</v>
      </c>
      <c r="Q3050" s="12">
        <v>388.15</v>
      </c>
    </row>
    <row r="3051" spans="1:17" x14ac:dyDescent="0.3">
      <c r="A3051" s="12" t="s">
        <v>95</v>
      </c>
      <c r="B3051" s="12" t="s">
        <v>167</v>
      </c>
      <c r="C3051" s="12" t="s">
        <v>123</v>
      </c>
      <c r="D3051" s="12" t="s">
        <v>110</v>
      </c>
      <c r="E3051" s="12" t="s">
        <v>84</v>
      </c>
      <c r="F3051" s="12">
        <v>0</v>
      </c>
      <c r="G3051" s="12">
        <v>0</v>
      </c>
      <c r="H3051" s="12">
        <v>0</v>
      </c>
      <c r="I3051" s="12">
        <v>0</v>
      </c>
      <c r="J3051" s="12">
        <v>0</v>
      </c>
      <c r="K3051" s="12">
        <v>0</v>
      </c>
      <c r="L3051" s="12">
        <v>178.2</v>
      </c>
      <c r="M3051" s="12">
        <v>0</v>
      </c>
      <c r="N3051" s="12">
        <v>0</v>
      </c>
      <c r="O3051" s="12">
        <v>0</v>
      </c>
      <c r="P3051" s="12">
        <v>178.2</v>
      </c>
      <c r="Q3051" s="12">
        <v>178.2</v>
      </c>
    </row>
    <row r="3052" spans="1:17" x14ac:dyDescent="0.3">
      <c r="A3052" s="12" t="s">
        <v>95</v>
      </c>
      <c r="B3052" s="12" t="s">
        <v>167</v>
      </c>
      <c r="C3052" s="12" t="s">
        <v>123</v>
      </c>
      <c r="D3052" s="12" t="s">
        <v>110</v>
      </c>
      <c r="E3052" s="12" t="s">
        <v>35</v>
      </c>
      <c r="F3052" s="12">
        <v>0</v>
      </c>
      <c r="G3052" s="12">
        <v>0</v>
      </c>
      <c r="H3052" s="12">
        <v>-37.5</v>
      </c>
      <c r="I3052" s="12">
        <v>0</v>
      </c>
      <c r="J3052" s="12">
        <v>0</v>
      </c>
      <c r="K3052" s="12">
        <v>-37.5</v>
      </c>
      <c r="L3052" s="12">
        <v>0</v>
      </c>
      <c r="M3052" s="12">
        <v>0</v>
      </c>
      <c r="N3052" s="12">
        <v>0</v>
      </c>
      <c r="O3052" s="12">
        <v>0</v>
      </c>
      <c r="P3052" s="12">
        <v>0</v>
      </c>
      <c r="Q3052" s="12">
        <v>-37.5</v>
      </c>
    </row>
    <row r="3053" spans="1:17" x14ac:dyDescent="0.3">
      <c r="A3053" s="12" t="s">
        <v>95</v>
      </c>
      <c r="B3053" s="12" t="s">
        <v>167</v>
      </c>
      <c r="C3053" s="12" t="s">
        <v>123</v>
      </c>
      <c r="D3053" s="12" t="s">
        <v>97</v>
      </c>
      <c r="F3053" s="12">
        <v>0</v>
      </c>
      <c r="G3053" s="12">
        <v>6753.1474085399996</v>
      </c>
      <c r="H3053" s="12">
        <v>-2726.9650000000001</v>
      </c>
      <c r="I3053" s="12">
        <v>0</v>
      </c>
      <c r="J3053" s="12">
        <v>0</v>
      </c>
      <c r="K3053" s="12">
        <v>4026.1824085399999</v>
      </c>
      <c r="L3053" s="12">
        <v>23731.512215999999</v>
      </c>
      <c r="M3053" s="12">
        <v>-8159.77</v>
      </c>
      <c r="N3053" s="12">
        <v>0</v>
      </c>
      <c r="O3053" s="12">
        <v>0</v>
      </c>
      <c r="P3053" s="12">
        <v>15571.742216000001</v>
      </c>
      <c r="Q3053" s="12">
        <v>19597.924624539999</v>
      </c>
    </row>
    <row r="3054" spans="1:17" x14ac:dyDescent="0.3">
      <c r="A3054" s="12" t="s">
        <v>95</v>
      </c>
      <c r="B3054" s="12" t="s">
        <v>167</v>
      </c>
      <c r="C3054" s="12" t="s">
        <v>123</v>
      </c>
      <c r="D3054" s="12" t="s">
        <v>112</v>
      </c>
      <c r="E3054" s="12" t="s">
        <v>80</v>
      </c>
      <c r="F3054" s="12">
        <v>0</v>
      </c>
      <c r="G3054" s="12">
        <v>2271.25</v>
      </c>
      <c r="H3054" s="12">
        <v>-655</v>
      </c>
      <c r="I3054" s="12">
        <v>0</v>
      </c>
      <c r="J3054" s="12">
        <v>0</v>
      </c>
      <c r="K3054" s="12">
        <v>1616.25</v>
      </c>
      <c r="L3054" s="12">
        <v>215</v>
      </c>
      <c r="M3054" s="12">
        <v>0</v>
      </c>
      <c r="N3054" s="12">
        <v>0</v>
      </c>
      <c r="O3054" s="12">
        <v>0</v>
      </c>
      <c r="P3054" s="12">
        <v>215</v>
      </c>
      <c r="Q3054" s="12">
        <v>1831.25</v>
      </c>
    </row>
    <row r="3055" spans="1:17" x14ac:dyDescent="0.3">
      <c r="A3055" s="12" t="s">
        <v>95</v>
      </c>
      <c r="B3055" s="12" t="s">
        <v>167</v>
      </c>
      <c r="C3055" s="12" t="s">
        <v>123</v>
      </c>
      <c r="D3055" s="12" t="s">
        <v>112</v>
      </c>
      <c r="E3055" s="12" t="s">
        <v>81</v>
      </c>
      <c r="F3055" s="12">
        <v>0</v>
      </c>
      <c r="G3055" s="12">
        <v>1981</v>
      </c>
      <c r="H3055" s="12">
        <v>0</v>
      </c>
      <c r="I3055" s="12">
        <v>0</v>
      </c>
      <c r="J3055" s="12">
        <v>0</v>
      </c>
      <c r="K3055" s="12">
        <v>1981</v>
      </c>
      <c r="L3055" s="12">
        <v>1387.5</v>
      </c>
      <c r="M3055" s="12">
        <v>-4033.5</v>
      </c>
      <c r="N3055" s="12">
        <v>0</v>
      </c>
      <c r="O3055" s="12">
        <v>0</v>
      </c>
      <c r="P3055" s="12">
        <v>-2646</v>
      </c>
      <c r="Q3055" s="12">
        <v>-665</v>
      </c>
    </row>
    <row r="3056" spans="1:17" x14ac:dyDescent="0.3">
      <c r="A3056" s="12" t="s">
        <v>95</v>
      </c>
      <c r="B3056" s="12" t="s">
        <v>167</v>
      </c>
      <c r="C3056" s="12" t="s">
        <v>123</v>
      </c>
      <c r="D3056" s="12" t="s">
        <v>97</v>
      </c>
      <c r="F3056" s="12">
        <v>0</v>
      </c>
      <c r="G3056" s="12">
        <v>4252.25</v>
      </c>
      <c r="H3056" s="12">
        <v>-655</v>
      </c>
      <c r="I3056" s="12">
        <v>0</v>
      </c>
      <c r="J3056" s="12">
        <v>0</v>
      </c>
      <c r="K3056" s="12">
        <v>3597.25</v>
      </c>
      <c r="L3056" s="12">
        <v>1602.5</v>
      </c>
      <c r="M3056" s="12">
        <v>-4033.5</v>
      </c>
      <c r="N3056" s="12">
        <v>0</v>
      </c>
      <c r="O3056" s="12">
        <v>0</v>
      </c>
      <c r="P3056" s="12">
        <v>-2431</v>
      </c>
      <c r="Q3056" s="12">
        <v>1166.25</v>
      </c>
    </row>
    <row r="3057" spans="1:17" x14ac:dyDescent="0.3">
      <c r="A3057" s="12" t="s">
        <v>95</v>
      </c>
      <c r="B3057" s="12" t="s">
        <v>167</v>
      </c>
      <c r="C3057" s="12" t="s">
        <v>123</v>
      </c>
      <c r="D3057" s="12" t="s">
        <v>115</v>
      </c>
      <c r="F3057" s="12">
        <v>0</v>
      </c>
      <c r="G3057" s="12">
        <v>11005.39740854</v>
      </c>
      <c r="H3057" s="12">
        <v>-3381.9650000000001</v>
      </c>
      <c r="I3057" s="12">
        <v>0</v>
      </c>
      <c r="J3057" s="12">
        <v>0</v>
      </c>
      <c r="K3057" s="12">
        <v>7623.4324085400003</v>
      </c>
      <c r="L3057" s="12">
        <v>25334.012215999999</v>
      </c>
      <c r="M3057" s="12">
        <v>-12193.27</v>
      </c>
      <c r="N3057" s="12">
        <v>0</v>
      </c>
      <c r="O3057" s="12">
        <v>0</v>
      </c>
      <c r="P3057" s="12">
        <v>13140.742216000001</v>
      </c>
      <c r="Q3057" s="12">
        <v>20764.174624539999</v>
      </c>
    </row>
    <row r="3058" spans="1:17" x14ac:dyDescent="0.3">
      <c r="A3058" s="12" t="s">
        <v>95</v>
      </c>
      <c r="B3058" s="12" t="s">
        <v>179</v>
      </c>
      <c r="C3058" s="12" t="s">
        <v>120</v>
      </c>
      <c r="D3058" s="12" t="s">
        <v>180</v>
      </c>
      <c r="E3058" s="12" t="s">
        <v>181</v>
      </c>
      <c r="F3058" s="12" t="s">
        <v>97</v>
      </c>
      <c r="G3058" s="12" t="s">
        <v>182</v>
      </c>
      <c r="H3058" s="12" t="s">
        <v>112</v>
      </c>
    </row>
    <row r="3059" spans="1:17" x14ac:dyDescent="0.3">
      <c r="A3059" s="12" t="s">
        <v>95</v>
      </c>
      <c r="B3059" s="12" t="s">
        <v>179</v>
      </c>
      <c r="C3059" s="12" t="s">
        <v>123</v>
      </c>
      <c r="D3059" s="12" t="s">
        <v>183</v>
      </c>
      <c r="E3059" s="12" t="s">
        <v>184</v>
      </c>
      <c r="F3059" s="12">
        <v>48577.981124999998</v>
      </c>
      <c r="G3059" s="12">
        <v>22073.901125</v>
      </c>
      <c r="H3059" s="12">
        <v>26504.080000000002</v>
      </c>
    </row>
    <row r="3060" spans="1:17" x14ac:dyDescent="0.3">
      <c r="A3060" s="12" t="s">
        <v>95</v>
      </c>
      <c r="B3060" s="12" t="s">
        <v>179</v>
      </c>
      <c r="C3060" s="12" t="s">
        <v>123</v>
      </c>
      <c r="D3060" s="12" t="s">
        <v>185</v>
      </c>
      <c r="E3060" s="12" t="s">
        <v>184</v>
      </c>
      <c r="F3060" s="12">
        <v>0</v>
      </c>
      <c r="G3060" s="12">
        <v>-10091.06</v>
      </c>
      <c r="H3060" s="12">
        <v>10091.06</v>
      </c>
    </row>
    <row r="3061" spans="1:17" x14ac:dyDescent="0.3">
      <c r="A3061" s="12" t="s">
        <v>95</v>
      </c>
      <c r="B3061" s="12" t="s">
        <v>179</v>
      </c>
      <c r="C3061" s="12" t="s">
        <v>123</v>
      </c>
      <c r="D3061" s="12" t="s">
        <v>157</v>
      </c>
      <c r="E3061" s="12" t="s">
        <v>184</v>
      </c>
      <c r="F3061" s="12">
        <v>146.74</v>
      </c>
      <c r="G3061" s="12">
        <v>146.74</v>
      </c>
      <c r="H3061" s="12">
        <v>0</v>
      </c>
    </row>
    <row r="3062" spans="1:17" x14ac:dyDescent="0.3">
      <c r="A3062" s="12" t="s">
        <v>95</v>
      </c>
      <c r="B3062" s="12" t="s">
        <v>179</v>
      </c>
      <c r="C3062" s="12" t="s">
        <v>123</v>
      </c>
      <c r="D3062" s="12" t="s">
        <v>116</v>
      </c>
      <c r="E3062" s="12" t="s">
        <v>184</v>
      </c>
      <c r="F3062" s="12">
        <v>94.8</v>
      </c>
      <c r="G3062" s="12">
        <v>94.8</v>
      </c>
      <c r="H3062" s="12">
        <v>0</v>
      </c>
    </row>
    <row r="3063" spans="1:17" x14ac:dyDescent="0.3">
      <c r="A3063" s="12" t="s">
        <v>95</v>
      </c>
      <c r="B3063" s="12" t="s">
        <v>179</v>
      </c>
      <c r="C3063" s="12" t="s">
        <v>123</v>
      </c>
      <c r="D3063" s="12" t="s">
        <v>186</v>
      </c>
      <c r="E3063" s="12" t="s">
        <v>184</v>
      </c>
      <c r="F3063" s="12">
        <v>-2695.75</v>
      </c>
      <c r="G3063" s="12">
        <v>0</v>
      </c>
      <c r="H3063" s="12">
        <v>-2695.75</v>
      </c>
    </row>
    <row r="3064" spans="1:17" x14ac:dyDescent="0.3">
      <c r="A3064" s="12" t="s">
        <v>95</v>
      </c>
      <c r="B3064" s="12" t="s">
        <v>179</v>
      </c>
      <c r="C3064" s="12" t="s">
        <v>123</v>
      </c>
      <c r="D3064" s="12" t="s">
        <v>187</v>
      </c>
      <c r="E3064" s="12" t="s">
        <v>184</v>
      </c>
      <c r="F3064" s="12">
        <v>163640.57</v>
      </c>
      <c r="G3064" s="12">
        <v>163640.57</v>
      </c>
      <c r="H3064" s="12">
        <v>0</v>
      </c>
    </row>
    <row r="3065" spans="1:17" x14ac:dyDescent="0.3">
      <c r="A3065" s="12" t="s">
        <v>95</v>
      </c>
      <c r="B3065" s="12" t="s">
        <v>179</v>
      </c>
      <c r="C3065" s="12" t="s">
        <v>123</v>
      </c>
      <c r="D3065" s="12" t="s">
        <v>188</v>
      </c>
      <c r="E3065" s="12" t="s">
        <v>184</v>
      </c>
      <c r="F3065" s="12">
        <v>-160844.46</v>
      </c>
      <c r="G3065" s="12">
        <v>-160844.46</v>
      </c>
      <c r="H3065" s="12">
        <v>0</v>
      </c>
    </row>
    <row r="3066" spans="1:17" x14ac:dyDescent="0.3">
      <c r="A3066" s="12" t="s">
        <v>95</v>
      </c>
      <c r="B3066" s="12" t="s">
        <v>179</v>
      </c>
      <c r="C3066" s="12" t="s">
        <v>123</v>
      </c>
      <c r="D3066" s="12" t="s">
        <v>158</v>
      </c>
      <c r="E3066" s="12" t="s">
        <v>184</v>
      </c>
      <c r="F3066" s="12">
        <v>-36.71</v>
      </c>
      <c r="G3066" s="12">
        <v>-36.71</v>
      </c>
      <c r="H3066" s="12">
        <v>0</v>
      </c>
    </row>
    <row r="3067" spans="1:17" x14ac:dyDescent="0.3">
      <c r="A3067" s="12" t="s">
        <v>95</v>
      </c>
      <c r="B3067" s="12" t="s">
        <v>179</v>
      </c>
      <c r="C3067" s="12" t="s">
        <v>123</v>
      </c>
      <c r="D3067" s="12" t="s">
        <v>189</v>
      </c>
      <c r="E3067" s="12" t="s">
        <v>184</v>
      </c>
      <c r="F3067" s="12">
        <v>48883.171125000001</v>
      </c>
      <c r="G3067" s="12">
        <v>14983.781125</v>
      </c>
      <c r="H3067" s="12">
        <v>33899.39</v>
      </c>
    </row>
    <row r="3068" spans="1:17" x14ac:dyDescent="0.3">
      <c r="A3068" s="12" t="s">
        <v>95</v>
      </c>
      <c r="B3068" s="12" t="s">
        <v>179</v>
      </c>
      <c r="C3068" s="12" t="s">
        <v>123</v>
      </c>
      <c r="D3068" s="12" t="s">
        <v>190</v>
      </c>
      <c r="E3068" s="12" t="s">
        <v>184</v>
      </c>
      <c r="F3068" s="12">
        <v>56071.821125000002</v>
      </c>
      <c r="G3068" s="12">
        <v>12351.931124999999</v>
      </c>
      <c r="H3068" s="12">
        <v>43719.89</v>
      </c>
    </row>
    <row r="3069" spans="1:17" x14ac:dyDescent="0.3">
      <c r="A3069" s="12" t="s">
        <v>95</v>
      </c>
      <c r="B3069" s="12" t="s">
        <v>191</v>
      </c>
      <c r="C3069" s="12" t="s">
        <v>120</v>
      </c>
      <c r="D3069" s="12" t="s">
        <v>192</v>
      </c>
      <c r="E3069" s="12" t="s">
        <v>100</v>
      </c>
      <c r="F3069" s="12" t="s">
        <v>181</v>
      </c>
      <c r="G3069" s="12" t="s">
        <v>0</v>
      </c>
      <c r="H3069" s="12" t="s">
        <v>193</v>
      </c>
      <c r="I3069" s="12" t="s">
        <v>194</v>
      </c>
      <c r="J3069" s="12" t="s">
        <v>195</v>
      </c>
      <c r="K3069" s="12" t="s">
        <v>196</v>
      </c>
      <c r="L3069" s="12" t="s">
        <v>197</v>
      </c>
      <c r="M3069" s="12" t="s">
        <v>198</v>
      </c>
      <c r="N3069" s="12" t="s">
        <v>199</v>
      </c>
      <c r="O3069" s="12" t="s">
        <v>165</v>
      </c>
    </row>
    <row r="3070" spans="1:17" x14ac:dyDescent="0.3">
      <c r="A3070" s="12" t="s">
        <v>95</v>
      </c>
      <c r="B3070" s="12" t="s">
        <v>191</v>
      </c>
      <c r="C3070" s="12" t="s">
        <v>123</v>
      </c>
      <c r="D3070" s="12" t="s">
        <v>200</v>
      </c>
      <c r="E3070" s="12" t="s">
        <v>110</v>
      </c>
      <c r="F3070" s="12" t="s">
        <v>114</v>
      </c>
      <c r="G3070" s="12" t="s">
        <v>2</v>
      </c>
      <c r="H3070" s="12">
        <v>72</v>
      </c>
      <c r="I3070" s="12">
        <v>1</v>
      </c>
      <c r="J3070" s="12">
        <v>183.47499999999999</v>
      </c>
      <c r="K3070" s="12">
        <v>13210.2</v>
      </c>
      <c r="L3070" s="12">
        <v>222.08</v>
      </c>
      <c r="M3070" s="12">
        <v>15989.76</v>
      </c>
      <c r="N3070" s="12">
        <v>2779.56</v>
      </c>
    </row>
    <row r="3071" spans="1:17" x14ac:dyDescent="0.3">
      <c r="A3071" s="12" t="s">
        <v>95</v>
      </c>
      <c r="B3071" s="12" t="s">
        <v>191</v>
      </c>
      <c r="C3071" s="12" t="s">
        <v>123</v>
      </c>
      <c r="D3071" s="12" t="s">
        <v>200</v>
      </c>
      <c r="E3071" s="12" t="s">
        <v>110</v>
      </c>
      <c r="F3071" s="12" t="s">
        <v>114</v>
      </c>
      <c r="G3071" s="12" t="s">
        <v>45</v>
      </c>
      <c r="H3071" s="12">
        <v>75</v>
      </c>
      <c r="I3071" s="12">
        <v>1</v>
      </c>
      <c r="J3071" s="12">
        <v>141.94</v>
      </c>
      <c r="K3071" s="12">
        <v>10645.5</v>
      </c>
      <c r="L3071" s="12">
        <v>144.47999999999999</v>
      </c>
      <c r="M3071" s="12">
        <v>10836</v>
      </c>
      <c r="N3071" s="12">
        <v>190.5</v>
      </c>
    </row>
    <row r="3072" spans="1:17" x14ac:dyDescent="0.3">
      <c r="A3072" s="12" t="s">
        <v>95</v>
      </c>
      <c r="B3072" s="12" t="s">
        <v>191</v>
      </c>
      <c r="C3072" s="12" t="s">
        <v>123</v>
      </c>
      <c r="D3072" s="12" t="s">
        <v>200</v>
      </c>
      <c r="E3072" s="12" t="s">
        <v>110</v>
      </c>
      <c r="F3072" s="12" t="s">
        <v>114</v>
      </c>
      <c r="G3072" s="12" t="s">
        <v>5</v>
      </c>
      <c r="H3072" s="12">
        <v>78</v>
      </c>
      <c r="I3072" s="12">
        <v>1</v>
      </c>
      <c r="J3072" s="12">
        <v>185.42</v>
      </c>
      <c r="K3072" s="12">
        <v>14462.76</v>
      </c>
      <c r="L3072" s="12">
        <v>186.98</v>
      </c>
      <c r="M3072" s="12">
        <v>14584.44</v>
      </c>
      <c r="N3072" s="12">
        <v>121.68</v>
      </c>
    </row>
    <row r="3073" spans="1:14" x14ac:dyDescent="0.3">
      <c r="A3073" s="12" t="s">
        <v>95</v>
      </c>
      <c r="B3073" s="12" t="s">
        <v>191</v>
      </c>
      <c r="C3073" s="12" t="s">
        <v>123</v>
      </c>
      <c r="D3073" s="12" t="s">
        <v>200</v>
      </c>
      <c r="E3073" s="12" t="s">
        <v>110</v>
      </c>
      <c r="F3073" s="12" t="s">
        <v>114</v>
      </c>
      <c r="G3073" s="12" t="s">
        <v>65</v>
      </c>
      <c r="H3073" s="12">
        <v>70</v>
      </c>
      <c r="I3073" s="12">
        <v>1</v>
      </c>
      <c r="J3073" s="12">
        <v>65.165000000000006</v>
      </c>
      <c r="K3073" s="12">
        <v>4561.55</v>
      </c>
      <c r="L3073" s="12">
        <v>64.260000000000005</v>
      </c>
      <c r="M3073" s="12">
        <v>4498.2</v>
      </c>
      <c r="N3073" s="12">
        <v>-63.35</v>
      </c>
    </row>
    <row r="3074" spans="1:14" x14ac:dyDescent="0.3">
      <c r="A3074" s="12" t="s">
        <v>95</v>
      </c>
      <c r="B3074" s="12" t="s">
        <v>191</v>
      </c>
      <c r="C3074" s="12" t="s">
        <v>123</v>
      </c>
      <c r="D3074" s="12" t="s">
        <v>200</v>
      </c>
      <c r="E3074" s="12" t="s">
        <v>110</v>
      </c>
      <c r="F3074" s="12" t="s">
        <v>114</v>
      </c>
      <c r="G3074" s="12" t="s">
        <v>58</v>
      </c>
      <c r="H3074" s="12">
        <v>15</v>
      </c>
      <c r="I3074" s="12">
        <v>1</v>
      </c>
      <c r="J3074" s="12">
        <v>105.48</v>
      </c>
      <c r="K3074" s="12">
        <v>1582.2</v>
      </c>
      <c r="L3074" s="12">
        <v>144.16999999999999</v>
      </c>
      <c r="M3074" s="12">
        <v>2162.5500000000002</v>
      </c>
      <c r="N3074" s="12">
        <v>580.35</v>
      </c>
    </row>
    <row r="3075" spans="1:14" x14ac:dyDescent="0.3">
      <c r="A3075" s="12" t="s">
        <v>95</v>
      </c>
      <c r="B3075" s="12" t="s">
        <v>191</v>
      </c>
      <c r="C3075" s="12" t="s">
        <v>123</v>
      </c>
      <c r="D3075" s="12" t="s">
        <v>200</v>
      </c>
      <c r="E3075" s="12" t="s">
        <v>110</v>
      </c>
      <c r="F3075" s="12" t="s">
        <v>114</v>
      </c>
      <c r="G3075" s="12" t="s">
        <v>7</v>
      </c>
      <c r="H3075" s="12">
        <v>70</v>
      </c>
      <c r="I3075" s="12">
        <v>1</v>
      </c>
      <c r="J3075" s="12">
        <v>155.59049999999999</v>
      </c>
      <c r="K3075" s="12">
        <v>10891.334999999999</v>
      </c>
      <c r="L3075" s="12">
        <v>160.68</v>
      </c>
      <c r="M3075" s="12">
        <v>11247.6</v>
      </c>
      <c r="N3075" s="12">
        <v>356.26499999999999</v>
      </c>
    </row>
    <row r="3076" spans="1:14" x14ac:dyDescent="0.3">
      <c r="A3076" s="12" t="s">
        <v>95</v>
      </c>
      <c r="B3076" s="12" t="s">
        <v>191</v>
      </c>
      <c r="C3076" s="12" t="s">
        <v>123</v>
      </c>
      <c r="D3076" s="12" t="s">
        <v>200</v>
      </c>
      <c r="E3076" s="12" t="s">
        <v>110</v>
      </c>
      <c r="F3076" s="12" t="s">
        <v>114</v>
      </c>
      <c r="G3076" s="12" t="s">
        <v>8</v>
      </c>
      <c r="H3076" s="12">
        <v>100</v>
      </c>
      <c r="I3076" s="12">
        <v>1</v>
      </c>
      <c r="J3076" s="12">
        <v>38.704999999999998</v>
      </c>
      <c r="K3076" s="12">
        <v>3870.5</v>
      </c>
      <c r="L3076" s="12">
        <v>40.31</v>
      </c>
      <c r="M3076" s="12">
        <v>4031</v>
      </c>
      <c r="N3076" s="12">
        <v>160.5</v>
      </c>
    </row>
    <row r="3077" spans="1:14" x14ac:dyDescent="0.3">
      <c r="A3077" s="12" t="s">
        <v>95</v>
      </c>
      <c r="B3077" s="12" t="s">
        <v>191</v>
      </c>
      <c r="C3077" s="12" t="s">
        <v>123</v>
      </c>
      <c r="D3077" s="12" t="s">
        <v>200</v>
      </c>
      <c r="E3077" s="12" t="s">
        <v>110</v>
      </c>
      <c r="F3077" s="12" t="s">
        <v>114</v>
      </c>
      <c r="G3077" s="12" t="s">
        <v>9</v>
      </c>
      <c r="H3077" s="12">
        <v>2</v>
      </c>
      <c r="I3077" s="12">
        <v>1</v>
      </c>
      <c r="J3077" s="12">
        <v>3781.84</v>
      </c>
      <c r="K3077" s="12">
        <v>7563.68</v>
      </c>
      <c r="L3077" s="12">
        <v>3715.01</v>
      </c>
      <c r="M3077" s="12">
        <v>7430.02</v>
      </c>
      <c r="N3077" s="12">
        <v>-133.66</v>
      </c>
    </row>
    <row r="3078" spans="1:14" x14ac:dyDescent="0.3">
      <c r="A3078" s="12" t="s">
        <v>95</v>
      </c>
      <c r="B3078" s="12" t="s">
        <v>191</v>
      </c>
      <c r="C3078" s="12" t="s">
        <v>123</v>
      </c>
      <c r="D3078" s="12" t="s">
        <v>200</v>
      </c>
      <c r="E3078" s="12" t="s">
        <v>110</v>
      </c>
      <c r="F3078" s="12" t="s">
        <v>114</v>
      </c>
      <c r="G3078" s="12" t="s">
        <v>3</v>
      </c>
      <c r="H3078" s="12">
        <v>140</v>
      </c>
      <c r="I3078" s="12">
        <v>1</v>
      </c>
      <c r="J3078" s="12">
        <v>62.647831328999999</v>
      </c>
      <c r="K3078" s="12">
        <v>8770.6963859999996</v>
      </c>
      <c r="L3078" s="12">
        <v>64.88</v>
      </c>
      <c r="M3078" s="12">
        <v>9083.2000000000007</v>
      </c>
      <c r="N3078" s="12">
        <v>312.50361400000003</v>
      </c>
    </row>
    <row r="3079" spans="1:14" x14ac:dyDescent="0.3">
      <c r="A3079" s="12" t="s">
        <v>95</v>
      </c>
      <c r="B3079" s="12" t="s">
        <v>191</v>
      </c>
      <c r="C3079" s="12" t="s">
        <v>123</v>
      </c>
      <c r="D3079" s="12" t="s">
        <v>200</v>
      </c>
      <c r="E3079" s="12" t="s">
        <v>110</v>
      </c>
      <c r="F3079" s="12" t="s">
        <v>114</v>
      </c>
      <c r="G3079" s="12" t="s">
        <v>11</v>
      </c>
      <c r="H3079" s="12">
        <v>10</v>
      </c>
      <c r="I3079" s="12">
        <v>1</v>
      </c>
      <c r="J3079" s="12">
        <v>812.53</v>
      </c>
      <c r="K3079" s="12">
        <v>8125.3</v>
      </c>
      <c r="L3079" s="12">
        <v>822</v>
      </c>
      <c r="M3079" s="12">
        <v>8220</v>
      </c>
      <c r="N3079" s="12">
        <v>94.7</v>
      </c>
    </row>
    <row r="3080" spans="1:14" x14ac:dyDescent="0.3">
      <c r="A3080" s="12" t="s">
        <v>95</v>
      </c>
      <c r="B3080" s="12" t="s">
        <v>191</v>
      </c>
      <c r="C3080" s="12" t="s">
        <v>123</v>
      </c>
      <c r="D3080" s="12" t="s">
        <v>200</v>
      </c>
      <c r="E3080" s="12" t="s">
        <v>110</v>
      </c>
      <c r="F3080" s="12" t="s">
        <v>114</v>
      </c>
      <c r="G3080" s="12" t="s">
        <v>18</v>
      </c>
      <c r="H3080" s="12">
        <v>30</v>
      </c>
      <c r="I3080" s="12">
        <v>1</v>
      </c>
      <c r="J3080" s="12">
        <v>275.63499999999999</v>
      </c>
      <c r="K3080" s="12">
        <v>8269.0499999999993</v>
      </c>
      <c r="L3080" s="12">
        <v>298.70999999999998</v>
      </c>
      <c r="M3080" s="12">
        <v>8961.2999999999993</v>
      </c>
      <c r="N3080" s="12">
        <v>692.25</v>
      </c>
    </row>
    <row r="3081" spans="1:14" x14ac:dyDescent="0.3">
      <c r="A3081" s="12" t="s">
        <v>95</v>
      </c>
      <c r="B3081" s="12" t="s">
        <v>191</v>
      </c>
      <c r="C3081" s="12" t="s">
        <v>123</v>
      </c>
      <c r="D3081" s="12" t="s">
        <v>200</v>
      </c>
      <c r="E3081" s="12" t="s">
        <v>110</v>
      </c>
      <c r="F3081" s="12" t="s">
        <v>114</v>
      </c>
      <c r="G3081" s="12" t="s">
        <v>48</v>
      </c>
      <c r="H3081" s="12">
        <v>65</v>
      </c>
      <c r="I3081" s="12">
        <v>1</v>
      </c>
      <c r="J3081" s="12">
        <v>162.353846154</v>
      </c>
      <c r="K3081" s="12">
        <v>10553</v>
      </c>
      <c r="L3081" s="12">
        <v>170.2</v>
      </c>
      <c r="M3081" s="12">
        <v>11063</v>
      </c>
      <c r="N3081" s="12">
        <v>510</v>
      </c>
    </row>
    <row r="3082" spans="1:14" x14ac:dyDescent="0.3">
      <c r="A3082" s="12" t="s">
        <v>95</v>
      </c>
      <c r="B3082" s="12" t="s">
        <v>191</v>
      </c>
      <c r="C3082" s="12" t="s">
        <v>123</v>
      </c>
      <c r="D3082" s="12" t="s">
        <v>200</v>
      </c>
      <c r="E3082" s="12" t="s">
        <v>110</v>
      </c>
      <c r="F3082" s="12" t="s">
        <v>114</v>
      </c>
      <c r="G3082" s="12" t="s">
        <v>54</v>
      </c>
      <c r="H3082" s="12">
        <v>30</v>
      </c>
      <c r="I3082" s="12">
        <v>1</v>
      </c>
      <c r="J3082" s="12">
        <v>165.1</v>
      </c>
      <c r="K3082" s="12">
        <v>4953</v>
      </c>
      <c r="L3082" s="12">
        <v>178.24</v>
      </c>
      <c r="M3082" s="12">
        <v>5347.2</v>
      </c>
      <c r="N3082" s="12">
        <v>394.2</v>
      </c>
    </row>
    <row r="3083" spans="1:14" x14ac:dyDescent="0.3">
      <c r="A3083" s="12" t="s">
        <v>95</v>
      </c>
      <c r="B3083" s="12" t="s">
        <v>191</v>
      </c>
      <c r="C3083" s="12" t="s">
        <v>123</v>
      </c>
      <c r="D3083" s="12" t="s">
        <v>200</v>
      </c>
      <c r="E3083" s="12" t="s">
        <v>110</v>
      </c>
      <c r="F3083" s="12" t="s">
        <v>114</v>
      </c>
      <c r="G3083" s="12" t="s">
        <v>19</v>
      </c>
      <c r="H3083" s="12">
        <v>100</v>
      </c>
      <c r="I3083" s="12">
        <v>1</v>
      </c>
      <c r="J3083" s="12">
        <v>173.97462856999999</v>
      </c>
      <c r="K3083" s="12">
        <v>17397.462856999999</v>
      </c>
      <c r="L3083" s="12">
        <v>171.54</v>
      </c>
      <c r="M3083" s="12">
        <v>17154</v>
      </c>
      <c r="N3083" s="12">
        <v>-243.46285700000001</v>
      </c>
    </row>
    <row r="3084" spans="1:14" x14ac:dyDescent="0.3">
      <c r="A3084" s="12" t="s">
        <v>95</v>
      </c>
      <c r="B3084" s="12" t="s">
        <v>191</v>
      </c>
      <c r="C3084" s="12" t="s">
        <v>123</v>
      </c>
      <c r="D3084" s="12" t="s">
        <v>200</v>
      </c>
      <c r="E3084" s="12" t="s">
        <v>110</v>
      </c>
      <c r="F3084" s="12" t="s">
        <v>114</v>
      </c>
      <c r="G3084" s="12" t="s">
        <v>22</v>
      </c>
      <c r="H3084" s="12">
        <v>43</v>
      </c>
      <c r="I3084" s="12">
        <v>1</v>
      </c>
      <c r="J3084" s="12">
        <v>60.662999999999997</v>
      </c>
      <c r="K3084" s="12">
        <v>2608.509</v>
      </c>
      <c r="L3084" s="12">
        <v>95.7</v>
      </c>
      <c r="M3084" s="12">
        <v>4115.1000000000004</v>
      </c>
      <c r="N3084" s="12">
        <v>1506.5909999999999</v>
      </c>
    </row>
    <row r="3085" spans="1:14" x14ac:dyDescent="0.3">
      <c r="A3085" s="12" t="s">
        <v>95</v>
      </c>
      <c r="B3085" s="12" t="s">
        <v>191</v>
      </c>
      <c r="C3085" s="12" t="s">
        <v>123</v>
      </c>
      <c r="D3085" s="12" t="s">
        <v>200</v>
      </c>
      <c r="E3085" s="12" t="s">
        <v>110</v>
      </c>
      <c r="F3085" s="12" t="s">
        <v>114</v>
      </c>
      <c r="G3085" s="12" t="s">
        <v>24</v>
      </c>
      <c r="H3085" s="12">
        <v>50</v>
      </c>
      <c r="I3085" s="12">
        <v>1</v>
      </c>
      <c r="J3085" s="12">
        <v>80.665750000000003</v>
      </c>
      <c r="K3085" s="12">
        <v>4033.2874999999999</v>
      </c>
      <c r="L3085" s="12">
        <v>100.4</v>
      </c>
      <c r="M3085" s="12">
        <v>5020</v>
      </c>
      <c r="N3085" s="12">
        <v>986.71249999999998</v>
      </c>
    </row>
    <row r="3086" spans="1:14" x14ac:dyDescent="0.3">
      <c r="A3086" s="12" t="s">
        <v>95</v>
      </c>
      <c r="B3086" s="12" t="s">
        <v>191</v>
      </c>
      <c r="C3086" s="12" t="s">
        <v>123</v>
      </c>
      <c r="D3086" s="12" t="s">
        <v>200</v>
      </c>
      <c r="E3086" s="12" t="s">
        <v>110</v>
      </c>
      <c r="F3086" s="12" t="s">
        <v>114</v>
      </c>
      <c r="G3086" s="12" t="s">
        <v>70</v>
      </c>
      <c r="H3086" s="12">
        <v>55</v>
      </c>
      <c r="I3086" s="12">
        <v>1</v>
      </c>
      <c r="J3086" s="12">
        <v>206.08500000000001</v>
      </c>
      <c r="K3086" s="12">
        <v>11334.674999999999</v>
      </c>
      <c r="L3086" s="12">
        <v>212.8</v>
      </c>
      <c r="M3086" s="12">
        <v>11704</v>
      </c>
      <c r="N3086" s="12">
        <v>369.32499999999999</v>
      </c>
    </row>
    <row r="3087" spans="1:14" x14ac:dyDescent="0.3">
      <c r="A3087" s="12" t="s">
        <v>95</v>
      </c>
      <c r="B3087" s="12" t="s">
        <v>191</v>
      </c>
      <c r="C3087" s="12" t="s">
        <v>123</v>
      </c>
      <c r="D3087" s="12" t="s">
        <v>200</v>
      </c>
      <c r="E3087" s="12" t="s">
        <v>110</v>
      </c>
      <c r="F3087" s="12" t="s">
        <v>114</v>
      </c>
      <c r="G3087" s="12" t="s">
        <v>49</v>
      </c>
      <c r="H3087" s="12">
        <v>10</v>
      </c>
      <c r="I3087" s="12">
        <v>1</v>
      </c>
      <c r="J3087" s="12">
        <v>760.73800000000006</v>
      </c>
      <c r="K3087" s="12">
        <v>7607.38</v>
      </c>
      <c r="L3087" s="12">
        <v>804.27</v>
      </c>
      <c r="M3087" s="12">
        <v>8042.7</v>
      </c>
      <c r="N3087" s="12">
        <v>435.32</v>
      </c>
    </row>
    <row r="3088" spans="1:14" x14ac:dyDescent="0.3">
      <c r="A3088" s="12" t="s">
        <v>95</v>
      </c>
      <c r="B3088" s="12" t="s">
        <v>191</v>
      </c>
      <c r="C3088" s="12" t="s">
        <v>123</v>
      </c>
      <c r="D3088" s="12" t="s">
        <v>200</v>
      </c>
      <c r="E3088" s="12" t="s">
        <v>110</v>
      </c>
      <c r="F3088" s="12" t="s">
        <v>114</v>
      </c>
      <c r="G3088" s="12" t="s">
        <v>26</v>
      </c>
      <c r="H3088" s="12">
        <v>10</v>
      </c>
      <c r="I3088" s="12">
        <v>1</v>
      </c>
      <c r="J3088" s="12">
        <v>441.55</v>
      </c>
      <c r="K3088" s="12">
        <v>4415.5</v>
      </c>
      <c r="L3088" s="12">
        <v>456.48</v>
      </c>
      <c r="M3088" s="12">
        <v>4564.8</v>
      </c>
      <c r="N3088" s="12">
        <v>149.30000000000001</v>
      </c>
    </row>
    <row r="3089" spans="1:15" x14ac:dyDescent="0.3">
      <c r="A3089" s="12" t="s">
        <v>95</v>
      </c>
      <c r="B3089" s="12" t="s">
        <v>191</v>
      </c>
      <c r="C3089" s="12" t="s">
        <v>123</v>
      </c>
      <c r="D3089" s="12" t="s">
        <v>200</v>
      </c>
      <c r="E3089" s="12" t="s">
        <v>110</v>
      </c>
      <c r="F3089" s="12" t="s">
        <v>114</v>
      </c>
      <c r="G3089" s="12" t="s">
        <v>27</v>
      </c>
      <c r="H3089" s="12">
        <v>15</v>
      </c>
      <c r="I3089" s="12">
        <v>1</v>
      </c>
      <c r="J3089" s="12">
        <v>489.54333333300002</v>
      </c>
      <c r="K3089" s="12">
        <v>7343.15</v>
      </c>
      <c r="L3089" s="12">
        <v>474.83</v>
      </c>
      <c r="M3089" s="12">
        <v>7122.45</v>
      </c>
      <c r="N3089" s="12">
        <v>-220.7</v>
      </c>
    </row>
    <row r="3090" spans="1:15" x14ac:dyDescent="0.3">
      <c r="A3090" s="12" t="s">
        <v>95</v>
      </c>
      <c r="B3090" s="12" t="s">
        <v>191</v>
      </c>
      <c r="C3090" s="12" t="s">
        <v>123</v>
      </c>
      <c r="D3090" s="12" t="s">
        <v>200</v>
      </c>
      <c r="E3090" s="12" t="s">
        <v>110</v>
      </c>
      <c r="F3090" s="12" t="s">
        <v>114</v>
      </c>
      <c r="G3090" s="12" t="s">
        <v>28</v>
      </c>
      <c r="H3090" s="12">
        <v>61</v>
      </c>
      <c r="I3090" s="12">
        <v>1</v>
      </c>
      <c r="J3090" s="12">
        <v>393.18200067200002</v>
      </c>
      <c r="K3090" s="12">
        <v>23984.102040999998</v>
      </c>
      <c r="L3090" s="12">
        <v>418.35</v>
      </c>
      <c r="M3090" s="12">
        <v>25519.35</v>
      </c>
      <c r="N3090" s="12">
        <v>1535.247959</v>
      </c>
    </row>
    <row r="3091" spans="1:15" x14ac:dyDescent="0.3">
      <c r="A3091" s="12" t="s">
        <v>95</v>
      </c>
      <c r="B3091" s="12" t="s">
        <v>191</v>
      </c>
      <c r="C3091" s="12" t="s">
        <v>123</v>
      </c>
      <c r="D3091" s="12" t="s">
        <v>200</v>
      </c>
      <c r="E3091" s="12" t="s">
        <v>110</v>
      </c>
      <c r="F3091" s="12" t="s">
        <v>114</v>
      </c>
      <c r="G3091" s="12" t="s">
        <v>55</v>
      </c>
      <c r="H3091" s="12">
        <v>80</v>
      </c>
      <c r="I3091" s="12">
        <v>1</v>
      </c>
      <c r="J3091" s="12">
        <v>121.50275000000001</v>
      </c>
      <c r="K3091" s="12">
        <v>9720.2199999999993</v>
      </c>
      <c r="L3091" s="12">
        <v>109.82</v>
      </c>
      <c r="M3091" s="12">
        <v>8785.6</v>
      </c>
      <c r="N3091" s="12">
        <v>-934.62</v>
      </c>
    </row>
    <row r="3092" spans="1:15" x14ac:dyDescent="0.3">
      <c r="A3092" s="12" t="s">
        <v>95</v>
      </c>
      <c r="B3092" s="12" t="s">
        <v>191</v>
      </c>
      <c r="C3092" s="12" t="s">
        <v>123</v>
      </c>
      <c r="D3092" s="12" t="s">
        <v>200</v>
      </c>
      <c r="E3092" s="12" t="s">
        <v>110</v>
      </c>
      <c r="F3092" s="12" t="s">
        <v>114</v>
      </c>
      <c r="G3092" s="12" t="s">
        <v>71</v>
      </c>
      <c r="H3092" s="12">
        <v>100</v>
      </c>
      <c r="I3092" s="12">
        <v>1</v>
      </c>
      <c r="J3092" s="12">
        <v>126</v>
      </c>
      <c r="K3092" s="12">
        <v>12600</v>
      </c>
      <c r="L3092" s="12">
        <v>117.02</v>
      </c>
      <c r="M3092" s="12">
        <v>11702</v>
      </c>
      <c r="N3092" s="12">
        <v>-898</v>
      </c>
    </row>
    <row r="3093" spans="1:15" x14ac:dyDescent="0.3">
      <c r="A3093" s="12" t="s">
        <v>95</v>
      </c>
      <c r="B3093" s="12" t="s">
        <v>191</v>
      </c>
      <c r="C3093" s="12" t="s">
        <v>123</v>
      </c>
      <c r="D3093" s="12" t="s">
        <v>200</v>
      </c>
      <c r="E3093" s="12" t="s">
        <v>110</v>
      </c>
      <c r="F3093" s="12" t="s">
        <v>114</v>
      </c>
      <c r="G3093" s="12" t="s">
        <v>56</v>
      </c>
      <c r="H3093" s="12">
        <v>50</v>
      </c>
      <c r="I3093" s="12">
        <v>1</v>
      </c>
      <c r="J3093" s="12">
        <v>126.538</v>
      </c>
      <c r="K3093" s="12">
        <v>6326.9</v>
      </c>
      <c r="L3093" s="12">
        <v>132.63</v>
      </c>
      <c r="M3093" s="12">
        <v>6631.5</v>
      </c>
      <c r="N3093" s="12">
        <v>304.60000000000002</v>
      </c>
    </row>
    <row r="3094" spans="1:15" x14ac:dyDescent="0.3">
      <c r="A3094" s="12" t="s">
        <v>95</v>
      </c>
      <c r="B3094" s="12" t="s">
        <v>191</v>
      </c>
      <c r="C3094" s="12" t="s">
        <v>123</v>
      </c>
      <c r="D3094" s="12" t="s">
        <v>200</v>
      </c>
      <c r="E3094" s="12" t="s">
        <v>110</v>
      </c>
      <c r="F3094" s="12" t="s">
        <v>114</v>
      </c>
      <c r="G3094" s="12" t="s">
        <v>29</v>
      </c>
      <c r="H3094" s="12">
        <v>15</v>
      </c>
      <c r="I3094" s="12">
        <v>1</v>
      </c>
      <c r="J3094" s="12">
        <v>297.58</v>
      </c>
      <c r="K3094" s="12">
        <v>4463.7</v>
      </c>
      <c r="L3094" s="12">
        <v>324.73</v>
      </c>
      <c r="M3094" s="12">
        <v>4870.95</v>
      </c>
      <c r="N3094" s="12">
        <v>407.25</v>
      </c>
    </row>
    <row r="3095" spans="1:15" x14ac:dyDescent="0.3">
      <c r="A3095" s="12" t="s">
        <v>95</v>
      </c>
      <c r="B3095" s="12" t="s">
        <v>191</v>
      </c>
      <c r="C3095" s="12" t="s">
        <v>123</v>
      </c>
      <c r="D3095" s="12" t="s">
        <v>200</v>
      </c>
      <c r="E3095" s="12" t="s">
        <v>110</v>
      </c>
      <c r="F3095" s="12" t="s">
        <v>114</v>
      </c>
      <c r="G3095" s="12" t="s">
        <v>39</v>
      </c>
      <c r="H3095" s="12">
        <v>35</v>
      </c>
      <c r="I3095" s="12">
        <v>1</v>
      </c>
      <c r="J3095" s="12">
        <v>202.32571428599999</v>
      </c>
      <c r="K3095" s="12">
        <v>7081.4</v>
      </c>
      <c r="L3095" s="12">
        <v>180.95</v>
      </c>
      <c r="M3095" s="12">
        <v>6333.25</v>
      </c>
      <c r="N3095" s="12">
        <v>-748.15</v>
      </c>
    </row>
    <row r="3096" spans="1:15" x14ac:dyDescent="0.3">
      <c r="A3096" s="12" t="s">
        <v>95</v>
      </c>
      <c r="B3096" s="12" t="s">
        <v>191</v>
      </c>
      <c r="C3096" s="12" t="s">
        <v>123</v>
      </c>
      <c r="D3096" s="12" t="s">
        <v>200</v>
      </c>
      <c r="E3096" s="12" t="s">
        <v>110</v>
      </c>
      <c r="F3096" s="12" t="s">
        <v>114</v>
      </c>
      <c r="G3096" s="12" t="s">
        <v>82</v>
      </c>
      <c r="H3096" s="12">
        <v>30</v>
      </c>
      <c r="I3096" s="12">
        <v>1</v>
      </c>
      <c r="J3096" s="12">
        <v>486.9</v>
      </c>
      <c r="K3096" s="12">
        <v>14607</v>
      </c>
      <c r="L3096" s="12">
        <v>471.07</v>
      </c>
      <c r="M3096" s="12">
        <v>14132.1</v>
      </c>
      <c r="N3096" s="12">
        <v>-474.9</v>
      </c>
    </row>
    <row r="3097" spans="1:15" x14ac:dyDescent="0.3">
      <c r="A3097" s="12" t="s">
        <v>95</v>
      </c>
      <c r="B3097" s="12" t="s">
        <v>191</v>
      </c>
      <c r="C3097" s="12" t="s">
        <v>123</v>
      </c>
      <c r="D3097" s="12" t="s">
        <v>200</v>
      </c>
      <c r="E3097" s="12" t="s">
        <v>110</v>
      </c>
      <c r="F3097" s="12" t="s">
        <v>114</v>
      </c>
      <c r="G3097" s="12" t="s">
        <v>51</v>
      </c>
      <c r="H3097" s="12">
        <v>5</v>
      </c>
      <c r="I3097" s="12">
        <v>1</v>
      </c>
      <c r="J3097" s="12">
        <v>873</v>
      </c>
      <c r="K3097" s="12">
        <v>4365</v>
      </c>
      <c r="L3097" s="12">
        <v>701.65</v>
      </c>
      <c r="M3097" s="12">
        <v>3508.25</v>
      </c>
      <c r="N3097" s="12">
        <v>-856.75</v>
      </c>
    </row>
    <row r="3098" spans="1:15" x14ac:dyDescent="0.3">
      <c r="A3098" s="12" t="s">
        <v>95</v>
      </c>
      <c r="B3098" s="12" t="s">
        <v>191</v>
      </c>
      <c r="C3098" s="12" t="s">
        <v>123</v>
      </c>
      <c r="D3098" s="12" t="s">
        <v>200</v>
      </c>
      <c r="E3098" s="12" t="s">
        <v>110</v>
      </c>
      <c r="F3098" s="12" t="s">
        <v>114</v>
      </c>
      <c r="G3098" s="12" t="s">
        <v>83</v>
      </c>
      <c r="H3098" s="12">
        <v>120</v>
      </c>
      <c r="I3098" s="12">
        <v>1</v>
      </c>
      <c r="J3098" s="12">
        <v>253.505</v>
      </c>
      <c r="K3098" s="12">
        <v>30420.6</v>
      </c>
      <c r="L3098" s="12">
        <v>235.38</v>
      </c>
      <c r="M3098" s="12">
        <v>28245.599999999999</v>
      </c>
      <c r="N3098" s="12">
        <v>-2175</v>
      </c>
      <c r="O3098" s="12" t="s">
        <v>555</v>
      </c>
    </row>
    <row r="3099" spans="1:15" x14ac:dyDescent="0.3">
      <c r="A3099" s="12" t="s">
        <v>95</v>
      </c>
      <c r="B3099" s="12" t="s">
        <v>191</v>
      </c>
      <c r="C3099" s="12" t="s">
        <v>123</v>
      </c>
      <c r="D3099" s="12" t="s">
        <v>200</v>
      </c>
      <c r="E3099" s="12" t="s">
        <v>110</v>
      </c>
      <c r="F3099" s="12" t="s">
        <v>114</v>
      </c>
      <c r="G3099" s="12" t="s">
        <v>77</v>
      </c>
      <c r="H3099" s="12">
        <v>40</v>
      </c>
      <c r="I3099" s="12">
        <v>1</v>
      </c>
      <c r="J3099" s="12">
        <v>206.815</v>
      </c>
      <c r="K3099" s="12">
        <v>8272.6</v>
      </c>
      <c r="L3099" s="12">
        <v>232.07</v>
      </c>
      <c r="M3099" s="12">
        <v>9282.7999999999993</v>
      </c>
      <c r="N3099" s="12">
        <v>1010.2</v>
      </c>
    </row>
    <row r="3100" spans="1:15" x14ac:dyDescent="0.3">
      <c r="A3100" s="12" t="s">
        <v>95</v>
      </c>
      <c r="B3100" s="12" t="s">
        <v>191</v>
      </c>
      <c r="C3100" s="12" t="s">
        <v>123</v>
      </c>
      <c r="D3100" s="12" t="s">
        <v>200</v>
      </c>
      <c r="E3100" s="12" t="s">
        <v>110</v>
      </c>
      <c r="F3100" s="12" t="s">
        <v>114</v>
      </c>
      <c r="G3100" s="12" t="s">
        <v>78</v>
      </c>
      <c r="H3100" s="12">
        <v>30</v>
      </c>
      <c r="I3100" s="12">
        <v>1</v>
      </c>
      <c r="J3100" s="12">
        <v>197.53</v>
      </c>
      <c r="K3100" s="12">
        <v>5925.9</v>
      </c>
      <c r="L3100" s="12">
        <v>203.81</v>
      </c>
      <c r="M3100" s="12">
        <v>6114.3</v>
      </c>
      <c r="N3100" s="12">
        <v>188.4</v>
      </c>
    </row>
    <row r="3101" spans="1:15" x14ac:dyDescent="0.3">
      <c r="A3101" s="12" t="s">
        <v>95</v>
      </c>
      <c r="B3101" s="12" t="s">
        <v>191</v>
      </c>
      <c r="C3101" s="12" t="s">
        <v>123</v>
      </c>
      <c r="D3101" s="12" t="s">
        <v>200</v>
      </c>
      <c r="E3101" s="12" t="s">
        <v>110</v>
      </c>
      <c r="F3101" s="12" t="s">
        <v>114</v>
      </c>
      <c r="G3101" s="12" t="s">
        <v>32</v>
      </c>
      <c r="H3101" s="12">
        <v>70</v>
      </c>
      <c r="I3101" s="12">
        <v>1</v>
      </c>
      <c r="J3101" s="12">
        <v>66.2</v>
      </c>
      <c r="K3101" s="12">
        <v>4634</v>
      </c>
      <c r="L3101" s="12">
        <v>64.47</v>
      </c>
      <c r="M3101" s="12">
        <v>4512.8999999999996</v>
      </c>
      <c r="N3101" s="12">
        <v>-121.1</v>
      </c>
    </row>
    <row r="3102" spans="1:15" x14ac:dyDescent="0.3">
      <c r="A3102" s="12" t="s">
        <v>95</v>
      </c>
      <c r="B3102" s="12" t="s">
        <v>191</v>
      </c>
      <c r="C3102" s="12" t="s">
        <v>123</v>
      </c>
      <c r="D3102" s="12" t="s">
        <v>200</v>
      </c>
      <c r="E3102" s="12" t="s">
        <v>110</v>
      </c>
      <c r="F3102" s="12" t="s">
        <v>114</v>
      </c>
      <c r="G3102" s="12" t="s">
        <v>61</v>
      </c>
      <c r="H3102" s="12">
        <v>100</v>
      </c>
      <c r="I3102" s="12">
        <v>1</v>
      </c>
      <c r="J3102" s="12">
        <v>94.38</v>
      </c>
      <c r="K3102" s="12">
        <v>9438</v>
      </c>
      <c r="L3102" s="12">
        <v>93.21</v>
      </c>
      <c r="M3102" s="12">
        <v>9321</v>
      </c>
      <c r="N3102" s="12">
        <v>-117</v>
      </c>
    </row>
    <row r="3103" spans="1:15" x14ac:dyDescent="0.3">
      <c r="A3103" s="12" t="s">
        <v>95</v>
      </c>
      <c r="B3103" s="12" t="s">
        <v>191</v>
      </c>
      <c r="C3103" s="12" t="s">
        <v>123</v>
      </c>
      <c r="D3103" s="12" t="s">
        <v>200</v>
      </c>
      <c r="E3103" s="12" t="s">
        <v>110</v>
      </c>
      <c r="F3103" s="12" t="s">
        <v>114</v>
      </c>
      <c r="G3103" s="12" t="s">
        <v>62</v>
      </c>
      <c r="H3103" s="12">
        <v>200</v>
      </c>
      <c r="I3103" s="12">
        <v>1</v>
      </c>
      <c r="J3103" s="12">
        <v>41.474350000000001</v>
      </c>
      <c r="K3103" s="12">
        <v>8294.8700000000008</v>
      </c>
      <c r="L3103" s="12">
        <v>43.74</v>
      </c>
      <c r="M3103" s="12">
        <v>8748</v>
      </c>
      <c r="N3103" s="12">
        <v>453.13</v>
      </c>
    </row>
    <row r="3104" spans="1:15" x14ac:dyDescent="0.3">
      <c r="A3104" s="12" t="s">
        <v>95</v>
      </c>
      <c r="B3104" s="12" t="s">
        <v>191</v>
      </c>
      <c r="C3104" s="12" t="s">
        <v>123</v>
      </c>
      <c r="D3104" s="12" t="s">
        <v>200</v>
      </c>
      <c r="E3104" s="12" t="s">
        <v>110</v>
      </c>
      <c r="F3104" s="12" t="s">
        <v>114</v>
      </c>
      <c r="G3104" s="12" t="s">
        <v>41</v>
      </c>
      <c r="H3104" s="12">
        <v>1100</v>
      </c>
      <c r="I3104" s="12">
        <v>1</v>
      </c>
      <c r="J3104" s="12">
        <v>42.154090908999997</v>
      </c>
      <c r="K3104" s="12">
        <v>46369.5</v>
      </c>
      <c r="L3104" s="12">
        <v>45.56</v>
      </c>
      <c r="M3104" s="12">
        <v>50116</v>
      </c>
      <c r="N3104" s="12">
        <v>3746.5</v>
      </c>
      <c r="O3104" s="12" t="s">
        <v>555</v>
      </c>
    </row>
    <row r="3105" spans="1:17" x14ac:dyDescent="0.3">
      <c r="A3105" s="12" t="s">
        <v>95</v>
      </c>
      <c r="B3105" s="12" t="s">
        <v>191</v>
      </c>
      <c r="C3105" s="12" t="s">
        <v>123</v>
      </c>
      <c r="D3105" s="12" t="s">
        <v>200</v>
      </c>
      <c r="E3105" s="12" t="s">
        <v>110</v>
      </c>
      <c r="F3105" s="12" t="s">
        <v>114</v>
      </c>
      <c r="G3105" s="12" t="s">
        <v>79</v>
      </c>
      <c r="H3105" s="12">
        <v>80</v>
      </c>
      <c r="I3105" s="12">
        <v>1</v>
      </c>
      <c r="J3105" s="12">
        <v>121.06</v>
      </c>
      <c r="K3105" s="12">
        <v>9684.7999999999993</v>
      </c>
      <c r="L3105" s="12">
        <v>127.86</v>
      </c>
      <c r="M3105" s="12">
        <v>10228.799999999999</v>
      </c>
      <c r="N3105" s="12">
        <v>544</v>
      </c>
    </row>
    <row r="3106" spans="1:17" x14ac:dyDescent="0.3">
      <c r="A3106" s="12" t="s">
        <v>95</v>
      </c>
      <c r="B3106" s="12" t="s">
        <v>191</v>
      </c>
      <c r="C3106" s="12" t="s">
        <v>123</v>
      </c>
      <c r="D3106" s="12" t="s">
        <v>200</v>
      </c>
      <c r="E3106" s="12" t="s">
        <v>110</v>
      </c>
      <c r="F3106" s="12" t="s">
        <v>114</v>
      </c>
      <c r="G3106" s="12" t="s">
        <v>42</v>
      </c>
      <c r="H3106" s="12">
        <v>150</v>
      </c>
      <c r="I3106" s="12">
        <v>1</v>
      </c>
      <c r="J3106" s="12">
        <v>199.912666667</v>
      </c>
      <c r="K3106" s="12">
        <v>29986.9</v>
      </c>
      <c r="L3106" s="12">
        <v>218.8</v>
      </c>
      <c r="M3106" s="12">
        <v>32820</v>
      </c>
      <c r="N3106" s="12">
        <v>2833.1</v>
      </c>
    </row>
    <row r="3107" spans="1:17" x14ac:dyDescent="0.3">
      <c r="A3107" s="12" t="s">
        <v>95</v>
      </c>
      <c r="B3107" s="12" t="s">
        <v>191</v>
      </c>
      <c r="C3107" s="12" t="s">
        <v>123</v>
      </c>
      <c r="D3107" s="12" t="s">
        <v>200</v>
      </c>
      <c r="E3107" s="12" t="s">
        <v>110</v>
      </c>
      <c r="F3107" s="12" t="s">
        <v>114</v>
      </c>
      <c r="G3107" s="12" t="s">
        <v>43</v>
      </c>
      <c r="H3107" s="12">
        <v>230</v>
      </c>
      <c r="I3107" s="12">
        <v>1</v>
      </c>
      <c r="J3107" s="12">
        <v>67.007826086999998</v>
      </c>
      <c r="K3107" s="12">
        <v>15411.8</v>
      </c>
      <c r="L3107" s="12">
        <v>72.790000000000006</v>
      </c>
      <c r="M3107" s="12">
        <v>16741.7</v>
      </c>
      <c r="N3107" s="12">
        <v>1329.9</v>
      </c>
    </row>
    <row r="3108" spans="1:17" x14ac:dyDescent="0.3">
      <c r="A3108" s="12" t="s">
        <v>95</v>
      </c>
      <c r="B3108" s="12" t="s">
        <v>191</v>
      </c>
      <c r="C3108" s="12" t="s">
        <v>123</v>
      </c>
      <c r="D3108" s="12" t="s">
        <v>200</v>
      </c>
      <c r="E3108" s="12" t="s">
        <v>110</v>
      </c>
      <c r="F3108" s="12" t="s">
        <v>114</v>
      </c>
      <c r="G3108" s="12" t="s">
        <v>44</v>
      </c>
      <c r="H3108" s="12">
        <v>60</v>
      </c>
      <c r="I3108" s="12">
        <v>1</v>
      </c>
      <c r="J3108" s="12">
        <v>143.160833333</v>
      </c>
      <c r="K3108" s="12">
        <v>8589.65</v>
      </c>
      <c r="L3108" s="12">
        <v>149.63</v>
      </c>
      <c r="M3108" s="12">
        <v>8977.7999999999993</v>
      </c>
      <c r="N3108" s="12">
        <v>388.15</v>
      </c>
    </row>
    <row r="3109" spans="1:17" x14ac:dyDescent="0.3">
      <c r="A3109" s="12" t="s">
        <v>95</v>
      </c>
      <c r="B3109" s="12" t="s">
        <v>191</v>
      </c>
      <c r="C3109" s="12" t="s">
        <v>123</v>
      </c>
      <c r="D3109" s="12" t="s">
        <v>200</v>
      </c>
      <c r="E3109" s="12" t="s">
        <v>110</v>
      </c>
      <c r="F3109" s="12" t="s">
        <v>114</v>
      </c>
      <c r="G3109" s="12" t="s">
        <v>84</v>
      </c>
      <c r="H3109" s="12">
        <v>90</v>
      </c>
      <c r="I3109" s="12">
        <v>1</v>
      </c>
      <c r="J3109" s="12">
        <v>185.51</v>
      </c>
      <c r="K3109" s="12">
        <v>16695.900000000001</v>
      </c>
      <c r="L3109" s="12">
        <v>187.49</v>
      </c>
      <c r="M3109" s="12">
        <v>16874.099999999999</v>
      </c>
      <c r="N3109" s="12">
        <v>178.2</v>
      </c>
    </row>
    <row r="3110" spans="1:17" x14ac:dyDescent="0.3">
      <c r="A3110" s="12" t="s">
        <v>95</v>
      </c>
      <c r="B3110" s="12" t="s">
        <v>191</v>
      </c>
      <c r="C3110" s="12" t="s">
        <v>97</v>
      </c>
      <c r="E3110" s="12" t="s">
        <v>110</v>
      </c>
      <c r="F3110" s="12" t="s">
        <v>114</v>
      </c>
      <c r="K3110" s="12">
        <v>439071.57778400002</v>
      </c>
      <c r="M3110" s="12">
        <v>454643.32</v>
      </c>
      <c r="N3110" s="12">
        <v>15571.742216000001</v>
      </c>
    </row>
    <row r="3111" spans="1:17" x14ac:dyDescent="0.3">
      <c r="A3111" s="12" t="s">
        <v>95</v>
      </c>
      <c r="B3111" s="12" t="s">
        <v>191</v>
      </c>
      <c r="C3111" s="12" t="s">
        <v>120</v>
      </c>
      <c r="D3111" s="12" t="s">
        <v>192</v>
      </c>
      <c r="E3111" s="12" t="s">
        <v>100</v>
      </c>
      <c r="F3111" s="12" t="s">
        <v>181</v>
      </c>
      <c r="G3111" s="12" t="s">
        <v>0</v>
      </c>
      <c r="H3111" s="12" t="s">
        <v>193</v>
      </c>
      <c r="I3111" s="12" t="s">
        <v>194</v>
      </c>
      <c r="J3111" s="12" t="s">
        <v>195</v>
      </c>
      <c r="K3111" s="12" t="s">
        <v>196</v>
      </c>
      <c r="L3111" s="12" t="s">
        <v>197</v>
      </c>
      <c r="M3111" s="12" t="s">
        <v>198</v>
      </c>
      <c r="N3111" s="12" t="s">
        <v>199</v>
      </c>
      <c r="O3111" s="12" t="s">
        <v>165</v>
      </c>
    </row>
    <row r="3112" spans="1:17" x14ac:dyDescent="0.3">
      <c r="A3112" s="12" t="s">
        <v>95</v>
      </c>
      <c r="B3112" s="12" t="s">
        <v>191</v>
      </c>
      <c r="C3112" s="12" t="s">
        <v>123</v>
      </c>
      <c r="D3112" s="12" t="s">
        <v>200</v>
      </c>
      <c r="E3112" s="12" t="s">
        <v>112</v>
      </c>
      <c r="F3112" s="12" t="s">
        <v>114</v>
      </c>
      <c r="G3112" s="12" t="s">
        <v>80</v>
      </c>
      <c r="H3112" s="12">
        <v>-7</v>
      </c>
      <c r="I3112" s="12">
        <v>5</v>
      </c>
      <c r="J3112" s="12">
        <v>5564.1428571429997</v>
      </c>
      <c r="K3112" s="12">
        <v>-194745</v>
      </c>
      <c r="L3112" s="12">
        <v>5558</v>
      </c>
      <c r="M3112" s="12">
        <v>-194530</v>
      </c>
      <c r="N3112" s="12">
        <v>215</v>
      </c>
    </row>
    <row r="3113" spans="1:17" x14ac:dyDescent="0.3">
      <c r="A3113" s="12" t="s">
        <v>95</v>
      </c>
      <c r="B3113" s="12" t="s">
        <v>191</v>
      </c>
      <c r="C3113" s="12" t="s">
        <v>123</v>
      </c>
      <c r="D3113" s="12" t="s">
        <v>200</v>
      </c>
      <c r="E3113" s="12" t="s">
        <v>112</v>
      </c>
      <c r="F3113" s="12" t="s">
        <v>114</v>
      </c>
      <c r="G3113" s="12" t="s">
        <v>81</v>
      </c>
      <c r="H3113" s="12">
        <v>-6</v>
      </c>
      <c r="I3113" s="12">
        <v>2</v>
      </c>
      <c r="J3113" s="12">
        <v>19284.75</v>
      </c>
      <c r="K3113" s="12">
        <v>-231417</v>
      </c>
      <c r="L3113" s="12">
        <v>19505.25</v>
      </c>
      <c r="M3113" s="12">
        <v>-234063</v>
      </c>
      <c r="N3113" s="12">
        <v>-2646</v>
      </c>
    </row>
    <row r="3114" spans="1:17" x14ac:dyDescent="0.3">
      <c r="A3114" s="12" t="s">
        <v>95</v>
      </c>
      <c r="B3114" s="12" t="s">
        <v>191</v>
      </c>
      <c r="C3114" s="12" t="s">
        <v>97</v>
      </c>
      <c r="E3114" s="12" t="s">
        <v>112</v>
      </c>
      <c r="F3114" s="12" t="s">
        <v>114</v>
      </c>
      <c r="K3114" s="12">
        <v>-426162</v>
      </c>
      <c r="M3114" s="12">
        <v>-428593</v>
      </c>
      <c r="N3114" s="12">
        <v>-2431</v>
      </c>
    </row>
    <row r="3115" spans="1:17" x14ac:dyDescent="0.3">
      <c r="A3115" s="12" t="s">
        <v>95</v>
      </c>
      <c r="B3115" s="12" t="s">
        <v>191</v>
      </c>
      <c r="C3115" s="12" t="s">
        <v>520</v>
      </c>
      <c r="D3115" s="12" t="s">
        <v>979</v>
      </c>
    </row>
    <row r="3116" spans="1:17" x14ac:dyDescent="0.3">
      <c r="A3116" s="12" t="s">
        <v>95</v>
      </c>
      <c r="B3116" s="12" t="s">
        <v>201</v>
      </c>
      <c r="C3116" s="12" t="s">
        <v>120</v>
      </c>
      <c r="D3116" s="12" t="s">
        <v>192</v>
      </c>
      <c r="E3116" s="12" t="s">
        <v>100</v>
      </c>
      <c r="F3116" s="12" t="s">
        <v>181</v>
      </c>
      <c r="G3116" s="12" t="s">
        <v>0</v>
      </c>
      <c r="H3116" s="12" t="s">
        <v>202</v>
      </c>
      <c r="I3116" s="12" t="s">
        <v>193</v>
      </c>
      <c r="J3116" s="12" t="s">
        <v>203</v>
      </c>
      <c r="K3116" s="12" t="s">
        <v>204</v>
      </c>
      <c r="L3116" s="12" t="s">
        <v>205</v>
      </c>
      <c r="M3116" s="12" t="s">
        <v>206</v>
      </c>
      <c r="N3116" s="12" t="s">
        <v>1</v>
      </c>
      <c r="O3116" s="12" t="s">
        <v>207</v>
      </c>
      <c r="P3116" s="12" t="s">
        <v>208</v>
      </c>
      <c r="Q3116" s="12" t="s">
        <v>165</v>
      </c>
    </row>
    <row r="3117" spans="1:17" x14ac:dyDescent="0.3">
      <c r="A3117" s="12" t="s">
        <v>95</v>
      </c>
      <c r="B3117" s="12" t="s">
        <v>201</v>
      </c>
      <c r="C3117" s="12" t="s">
        <v>123</v>
      </c>
      <c r="D3117" s="12" t="s">
        <v>209</v>
      </c>
      <c r="E3117" s="12" t="s">
        <v>110</v>
      </c>
      <c r="F3117" s="12" t="s">
        <v>114</v>
      </c>
      <c r="G3117" s="12" t="s">
        <v>63</v>
      </c>
      <c r="H3117" s="12" t="s">
        <v>980</v>
      </c>
      <c r="I3117" s="12">
        <v>-55</v>
      </c>
      <c r="J3117" s="12">
        <v>98.25</v>
      </c>
      <c r="K3117" s="12">
        <v>97.65</v>
      </c>
      <c r="L3117" s="12">
        <v>5403.75</v>
      </c>
      <c r="M3117" s="12">
        <v>0</v>
      </c>
      <c r="N3117" s="12">
        <v>-5441.7</v>
      </c>
      <c r="O3117" s="12">
        <v>-37.950000000000003</v>
      </c>
      <c r="P3117" s="12">
        <v>33</v>
      </c>
      <c r="Q3117" s="12" t="s">
        <v>3</v>
      </c>
    </row>
    <row r="3118" spans="1:17" x14ac:dyDescent="0.3">
      <c r="A3118" s="12" t="s">
        <v>95</v>
      </c>
      <c r="B3118" s="12" t="s">
        <v>201</v>
      </c>
      <c r="C3118" s="12" t="s">
        <v>213</v>
      </c>
      <c r="E3118" s="12" t="s">
        <v>110</v>
      </c>
      <c r="F3118" s="12" t="s">
        <v>114</v>
      </c>
      <c r="G3118" s="12" t="s">
        <v>63</v>
      </c>
      <c r="I3118" s="12">
        <v>-55</v>
      </c>
      <c r="L3118" s="12">
        <v>5403.75</v>
      </c>
      <c r="M3118" s="12">
        <v>0</v>
      </c>
      <c r="N3118" s="12">
        <v>-5441.7</v>
      </c>
      <c r="O3118" s="12">
        <v>-37.950000000000003</v>
      </c>
      <c r="P3118" s="12">
        <v>33</v>
      </c>
    </row>
    <row r="3119" spans="1:17" x14ac:dyDescent="0.3">
      <c r="A3119" s="12" t="s">
        <v>95</v>
      </c>
      <c r="B3119" s="12" t="s">
        <v>201</v>
      </c>
      <c r="C3119" s="12" t="s">
        <v>123</v>
      </c>
      <c r="D3119" s="12" t="s">
        <v>209</v>
      </c>
      <c r="E3119" s="12" t="s">
        <v>110</v>
      </c>
      <c r="F3119" s="12" t="s">
        <v>114</v>
      </c>
      <c r="G3119" s="12" t="s">
        <v>64</v>
      </c>
      <c r="H3119" s="12" t="s">
        <v>981</v>
      </c>
      <c r="I3119" s="12">
        <v>-23</v>
      </c>
      <c r="J3119" s="12">
        <v>237</v>
      </c>
      <c r="K3119" s="12">
        <v>238.33</v>
      </c>
      <c r="L3119" s="12">
        <v>5451</v>
      </c>
      <c r="M3119" s="12">
        <v>0</v>
      </c>
      <c r="N3119" s="12">
        <v>-5348.19</v>
      </c>
      <c r="O3119" s="12">
        <v>102.81</v>
      </c>
      <c r="P3119" s="12">
        <v>-30.59</v>
      </c>
      <c r="Q3119" s="12" t="s">
        <v>3</v>
      </c>
    </row>
    <row r="3120" spans="1:17" x14ac:dyDescent="0.3">
      <c r="A3120" s="12" t="s">
        <v>95</v>
      </c>
      <c r="B3120" s="12" t="s">
        <v>201</v>
      </c>
      <c r="C3120" s="12" t="s">
        <v>213</v>
      </c>
      <c r="E3120" s="12" t="s">
        <v>110</v>
      </c>
      <c r="F3120" s="12" t="s">
        <v>114</v>
      </c>
      <c r="G3120" s="12" t="s">
        <v>64</v>
      </c>
      <c r="I3120" s="12">
        <v>-23</v>
      </c>
      <c r="L3120" s="12">
        <v>5451</v>
      </c>
      <c r="M3120" s="12">
        <v>0</v>
      </c>
      <c r="N3120" s="12">
        <v>-5348.19</v>
      </c>
      <c r="O3120" s="12">
        <v>102.81</v>
      </c>
      <c r="P3120" s="12">
        <v>-30.59</v>
      </c>
    </row>
    <row r="3121" spans="1:17" x14ac:dyDescent="0.3">
      <c r="A3121" s="12" t="s">
        <v>95</v>
      </c>
      <c r="B3121" s="12" t="s">
        <v>201</v>
      </c>
      <c r="C3121" s="12" t="s">
        <v>123</v>
      </c>
      <c r="D3121" s="12" t="s">
        <v>209</v>
      </c>
      <c r="E3121" s="12" t="s">
        <v>110</v>
      </c>
      <c r="F3121" s="12" t="s">
        <v>114</v>
      </c>
      <c r="G3121" s="12" t="s">
        <v>45</v>
      </c>
      <c r="H3121" s="12" t="s">
        <v>982</v>
      </c>
      <c r="I3121" s="12">
        <v>-30</v>
      </c>
      <c r="J3121" s="12">
        <v>162</v>
      </c>
      <c r="K3121" s="12">
        <v>164.31</v>
      </c>
      <c r="L3121" s="12">
        <v>4860</v>
      </c>
      <c r="M3121" s="12">
        <v>0</v>
      </c>
      <c r="N3121" s="12">
        <v>-4886.55</v>
      </c>
      <c r="O3121" s="12">
        <v>-26.55</v>
      </c>
      <c r="P3121" s="12">
        <v>-69.3</v>
      </c>
      <c r="Q3121" s="12" t="s">
        <v>3</v>
      </c>
    </row>
    <row r="3122" spans="1:17" x14ac:dyDescent="0.3">
      <c r="A3122" s="12" t="s">
        <v>95</v>
      </c>
      <c r="B3122" s="12" t="s">
        <v>201</v>
      </c>
      <c r="C3122" s="12" t="s">
        <v>123</v>
      </c>
      <c r="D3122" s="12" t="s">
        <v>209</v>
      </c>
      <c r="E3122" s="12" t="s">
        <v>110</v>
      </c>
      <c r="F3122" s="12" t="s">
        <v>114</v>
      </c>
      <c r="G3122" s="12" t="s">
        <v>45</v>
      </c>
      <c r="H3122" s="12" t="s">
        <v>983</v>
      </c>
      <c r="I3122" s="12">
        <v>75</v>
      </c>
      <c r="J3122" s="12">
        <v>141.94</v>
      </c>
      <c r="K3122" s="12">
        <v>144.47999999999999</v>
      </c>
      <c r="L3122" s="12">
        <v>-10645.5</v>
      </c>
      <c r="M3122" s="12">
        <v>0</v>
      </c>
      <c r="N3122" s="12">
        <v>10645.5</v>
      </c>
      <c r="O3122" s="12">
        <v>0</v>
      </c>
      <c r="P3122" s="12">
        <v>190.5</v>
      </c>
      <c r="Q3122" s="12" t="s">
        <v>215</v>
      </c>
    </row>
    <row r="3123" spans="1:17" x14ac:dyDescent="0.3">
      <c r="A3123" s="12" t="s">
        <v>95</v>
      </c>
      <c r="B3123" s="12" t="s">
        <v>201</v>
      </c>
      <c r="C3123" s="12" t="s">
        <v>213</v>
      </c>
      <c r="E3123" s="12" t="s">
        <v>110</v>
      </c>
      <c r="F3123" s="12" t="s">
        <v>114</v>
      </c>
      <c r="G3123" s="12" t="s">
        <v>45</v>
      </c>
      <c r="I3123" s="12">
        <v>45</v>
      </c>
      <c r="L3123" s="12">
        <v>-5785.5</v>
      </c>
      <c r="M3123" s="12">
        <v>0</v>
      </c>
      <c r="N3123" s="12">
        <v>5758.95</v>
      </c>
      <c r="O3123" s="12">
        <v>-26.55</v>
      </c>
      <c r="P3123" s="12">
        <v>121.2</v>
      </c>
    </row>
    <row r="3124" spans="1:17" x14ac:dyDescent="0.3">
      <c r="A3124" s="12" t="s">
        <v>95</v>
      </c>
      <c r="B3124" s="12" t="s">
        <v>201</v>
      </c>
      <c r="C3124" s="12" t="s">
        <v>123</v>
      </c>
      <c r="D3124" s="12" t="s">
        <v>209</v>
      </c>
      <c r="E3124" s="12" t="s">
        <v>110</v>
      </c>
      <c r="F3124" s="12" t="s">
        <v>114</v>
      </c>
      <c r="G3124" s="12" t="s">
        <v>58</v>
      </c>
      <c r="H3124" s="12" t="s">
        <v>984</v>
      </c>
      <c r="I3124" s="12">
        <v>-15</v>
      </c>
      <c r="J3124" s="12">
        <v>148.9</v>
      </c>
      <c r="K3124" s="12">
        <v>141.44</v>
      </c>
      <c r="L3124" s="12">
        <v>2233.5</v>
      </c>
      <c r="M3124" s="12">
        <v>0</v>
      </c>
      <c r="N3124" s="12">
        <v>-1582.2</v>
      </c>
      <c r="O3124" s="12">
        <v>651.29999999999995</v>
      </c>
      <c r="P3124" s="12">
        <v>111.9</v>
      </c>
      <c r="Q3124" s="12" t="s">
        <v>3</v>
      </c>
    </row>
    <row r="3125" spans="1:17" x14ac:dyDescent="0.3">
      <c r="A3125" s="12" t="s">
        <v>95</v>
      </c>
      <c r="B3125" s="12" t="s">
        <v>201</v>
      </c>
      <c r="C3125" s="12" t="s">
        <v>213</v>
      </c>
      <c r="E3125" s="12" t="s">
        <v>110</v>
      </c>
      <c r="F3125" s="12" t="s">
        <v>114</v>
      </c>
      <c r="G3125" s="12" t="s">
        <v>58</v>
      </c>
      <c r="I3125" s="12">
        <v>-15</v>
      </c>
      <c r="L3125" s="12">
        <v>2233.5</v>
      </c>
      <c r="M3125" s="12">
        <v>0</v>
      </c>
      <c r="N3125" s="12">
        <v>-1582.2</v>
      </c>
      <c r="O3125" s="12">
        <v>651.29999999999995</v>
      </c>
      <c r="P3125" s="12">
        <v>111.9</v>
      </c>
    </row>
    <row r="3126" spans="1:17" x14ac:dyDescent="0.3">
      <c r="A3126" s="12" t="s">
        <v>95</v>
      </c>
      <c r="B3126" s="12" t="s">
        <v>201</v>
      </c>
      <c r="C3126" s="12" t="s">
        <v>123</v>
      </c>
      <c r="D3126" s="12" t="s">
        <v>209</v>
      </c>
      <c r="E3126" s="12" t="s">
        <v>110</v>
      </c>
      <c r="F3126" s="12" t="s">
        <v>114</v>
      </c>
      <c r="G3126" s="12" t="s">
        <v>7</v>
      </c>
      <c r="H3126" s="12" t="s">
        <v>985</v>
      </c>
      <c r="I3126" s="12">
        <v>2</v>
      </c>
      <c r="J3126" s="12">
        <v>1732.89</v>
      </c>
      <c r="K3126" s="12">
        <v>1745.86</v>
      </c>
      <c r="L3126" s="12">
        <v>-3465.78</v>
      </c>
      <c r="M3126" s="12">
        <v>0</v>
      </c>
      <c r="N3126" s="12">
        <v>3465.78</v>
      </c>
      <c r="O3126" s="12">
        <v>0</v>
      </c>
      <c r="P3126" s="12">
        <v>25.94</v>
      </c>
      <c r="Q3126" s="12" t="s">
        <v>215</v>
      </c>
    </row>
    <row r="3127" spans="1:17" x14ac:dyDescent="0.3">
      <c r="A3127" s="12" t="s">
        <v>95</v>
      </c>
      <c r="B3127" s="12" t="s">
        <v>201</v>
      </c>
      <c r="C3127" s="12" t="s">
        <v>213</v>
      </c>
      <c r="E3127" s="12" t="s">
        <v>110</v>
      </c>
      <c r="F3127" s="12" t="s">
        <v>114</v>
      </c>
      <c r="G3127" s="12" t="s">
        <v>7</v>
      </c>
      <c r="I3127" s="12">
        <v>2</v>
      </c>
      <c r="L3127" s="12">
        <v>-3465.78</v>
      </c>
      <c r="M3127" s="12">
        <v>0</v>
      </c>
      <c r="N3127" s="12">
        <v>3465.78</v>
      </c>
      <c r="O3127" s="12">
        <v>0</v>
      </c>
      <c r="P3127" s="12">
        <v>25.94</v>
      </c>
    </row>
    <row r="3128" spans="1:17" x14ac:dyDescent="0.3">
      <c r="A3128" s="12" t="s">
        <v>95</v>
      </c>
      <c r="B3128" s="12" t="s">
        <v>201</v>
      </c>
      <c r="C3128" s="12" t="s">
        <v>123</v>
      </c>
      <c r="D3128" s="12" t="s">
        <v>209</v>
      </c>
      <c r="E3128" s="12" t="s">
        <v>110</v>
      </c>
      <c r="F3128" s="12" t="s">
        <v>114</v>
      </c>
      <c r="G3128" s="12" t="s">
        <v>8</v>
      </c>
      <c r="H3128" s="12" t="s">
        <v>986</v>
      </c>
      <c r="I3128" s="12">
        <v>-191</v>
      </c>
      <c r="J3128" s="12">
        <v>41.8</v>
      </c>
      <c r="K3128" s="12">
        <v>41.89</v>
      </c>
      <c r="L3128" s="12">
        <v>7983.8</v>
      </c>
      <c r="M3128" s="12">
        <v>0</v>
      </c>
      <c r="N3128" s="12">
        <v>-6435.6645179999996</v>
      </c>
      <c r="O3128" s="12">
        <v>1548.1354819999999</v>
      </c>
      <c r="P3128" s="12">
        <v>-17.190000000000001</v>
      </c>
      <c r="Q3128" s="12" t="s">
        <v>230</v>
      </c>
    </row>
    <row r="3129" spans="1:17" x14ac:dyDescent="0.3">
      <c r="A3129" s="12" t="s">
        <v>95</v>
      </c>
      <c r="B3129" s="12" t="s">
        <v>201</v>
      </c>
      <c r="C3129" s="12" t="s">
        <v>213</v>
      </c>
      <c r="E3129" s="12" t="s">
        <v>110</v>
      </c>
      <c r="F3129" s="12" t="s">
        <v>114</v>
      </c>
      <c r="G3129" s="12" t="s">
        <v>8</v>
      </c>
      <c r="I3129" s="12">
        <v>-191</v>
      </c>
      <c r="L3129" s="12">
        <v>7983.8</v>
      </c>
      <c r="M3129" s="12">
        <v>0</v>
      </c>
      <c r="N3129" s="12">
        <v>-6435.6645179999996</v>
      </c>
      <c r="O3129" s="12">
        <v>1548.1354819999999</v>
      </c>
      <c r="P3129" s="12">
        <v>-17.190000000000001</v>
      </c>
    </row>
    <row r="3130" spans="1:17" x14ac:dyDescent="0.3">
      <c r="A3130" s="12" t="s">
        <v>95</v>
      </c>
      <c r="B3130" s="12" t="s">
        <v>201</v>
      </c>
      <c r="C3130" s="12" t="s">
        <v>123</v>
      </c>
      <c r="D3130" s="12" t="s">
        <v>209</v>
      </c>
      <c r="E3130" s="12" t="s">
        <v>110</v>
      </c>
      <c r="F3130" s="12" t="s">
        <v>114</v>
      </c>
      <c r="G3130" s="12" t="s">
        <v>9</v>
      </c>
      <c r="H3130" s="12" t="s">
        <v>987</v>
      </c>
      <c r="I3130" s="12">
        <v>2</v>
      </c>
      <c r="J3130" s="12">
        <v>3781.84</v>
      </c>
      <c r="K3130" s="12">
        <v>3659.88</v>
      </c>
      <c r="L3130" s="12">
        <v>-7563.68</v>
      </c>
      <c r="M3130" s="12">
        <v>0</v>
      </c>
      <c r="N3130" s="12">
        <v>7563.68</v>
      </c>
      <c r="O3130" s="12">
        <v>0</v>
      </c>
      <c r="P3130" s="12">
        <v>-243.92</v>
      </c>
      <c r="Q3130" s="12" t="s">
        <v>215</v>
      </c>
    </row>
    <row r="3131" spans="1:17" x14ac:dyDescent="0.3">
      <c r="A3131" s="12" t="s">
        <v>95</v>
      </c>
      <c r="B3131" s="12" t="s">
        <v>201</v>
      </c>
      <c r="C3131" s="12" t="s">
        <v>213</v>
      </c>
      <c r="E3131" s="12" t="s">
        <v>110</v>
      </c>
      <c r="F3131" s="12" t="s">
        <v>114</v>
      </c>
      <c r="G3131" s="12" t="s">
        <v>9</v>
      </c>
      <c r="I3131" s="12">
        <v>2</v>
      </c>
      <c r="L3131" s="12">
        <v>-7563.68</v>
      </c>
      <c r="M3131" s="12">
        <v>0</v>
      </c>
      <c r="N3131" s="12">
        <v>7563.68</v>
      </c>
      <c r="O3131" s="12">
        <v>0</v>
      </c>
      <c r="P3131" s="12">
        <v>-243.92</v>
      </c>
    </row>
    <row r="3132" spans="1:17" x14ac:dyDescent="0.3">
      <c r="A3132" s="12" t="s">
        <v>95</v>
      </c>
      <c r="B3132" s="12" t="s">
        <v>201</v>
      </c>
      <c r="C3132" s="12" t="s">
        <v>123</v>
      </c>
      <c r="D3132" s="12" t="s">
        <v>209</v>
      </c>
      <c r="E3132" s="12" t="s">
        <v>110</v>
      </c>
      <c r="F3132" s="12" t="s">
        <v>114</v>
      </c>
      <c r="G3132" s="12" t="s">
        <v>3</v>
      </c>
      <c r="H3132" s="12" t="s">
        <v>988</v>
      </c>
      <c r="I3132" s="12">
        <v>-96</v>
      </c>
      <c r="J3132" s="12">
        <v>66.150000000000006</v>
      </c>
      <c r="K3132" s="12">
        <v>65.709999999999994</v>
      </c>
      <c r="L3132" s="12">
        <v>6350.4</v>
      </c>
      <c r="M3132" s="12">
        <v>0</v>
      </c>
      <c r="N3132" s="12">
        <v>-5279.2130729999999</v>
      </c>
      <c r="O3132" s="12">
        <v>1071.186927</v>
      </c>
      <c r="P3132" s="12">
        <v>42.24</v>
      </c>
      <c r="Q3132" s="12" t="s">
        <v>3</v>
      </c>
    </row>
    <row r="3133" spans="1:17" x14ac:dyDescent="0.3">
      <c r="A3133" s="12" t="s">
        <v>95</v>
      </c>
      <c r="B3133" s="12" t="s">
        <v>201</v>
      </c>
      <c r="C3133" s="12" t="s">
        <v>123</v>
      </c>
      <c r="D3133" s="12" t="s">
        <v>209</v>
      </c>
      <c r="E3133" s="12" t="s">
        <v>110</v>
      </c>
      <c r="F3133" s="12" t="s">
        <v>114</v>
      </c>
      <c r="G3133" s="12" t="s">
        <v>3</v>
      </c>
      <c r="H3133" s="12" t="s">
        <v>989</v>
      </c>
      <c r="I3133" s="12">
        <v>70</v>
      </c>
      <c r="J3133" s="12">
        <v>64.37</v>
      </c>
      <c r="K3133" s="12">
        <v>64.52</v>
      </c>
      <c r="L3133" s="12">
        <v>-4505.8999999999996</v>
      </c>
      <c r="M3133" s="12">
        <v>0</v>
      </c>
      <c r="N3133" s="12">
        <v>4505.8999999999996</v>
      </c>
      <c r="O3133" s="12">
        <v>0</v>
      </c>
      <c r="P3133" s="12">
        <v>10.5</v>
      </c>
      <c r="Q3133" s="12" t="s">
        <v>211</v>
      </c>
    </row>
    <row r="3134" spans="1:17" x14ac:dyDescent="0.3">
      <c r="A3134" s="12" t="s">
        <v>95</v>
      </c>
      <c r="B3134" s="12" t="s">
        <v>201</v>
      </c>
      <c r="C3134" s="12" t="s">
        <v>213</v>
      </c>
      <c r="E3134" s="12" t="s">
        <v>110</v>
      </c>
      <c r="F3134" s="12" t="s">
        <v>114</v>
      </c>
      <c r="G3134" s="12" t="s">
        <v>3</v>
      </c>
      <c r="I3134" s="12">
        <v>-26</v>
      </c>
      <c r="L3134" s="12">
        <v>1844.5</v>
      </c>
      <c r="M3134" s="12">
        <v>0</v>
      </c>
      <c r="N3134" s="12">
        <v>-773.31307300000003</v>
      </c>
      <c r="O3134" s="12">
        <v>1071.186927</v>
      </c>
      <c r="P3134" s="12">
        <v>52.74</v>
      </c>
    </row>
    <row r="3135" spans="1:17" x14ac:dyDescent="0.3">
      <c r="A3135" s="12" t="s">
        <v>95</v>
      </c>
      <c r="B3135" s="12" t="s">
        <v>201</v>
      </c>
      <c r="C3135" s="12" t="s">
        <v>123</v>
      </c>
      <c r="D3135" s="12" t="s">
        <v>209</v>
      </c>
      <c r="E3135" s="12" t="s">
        <v>110</v>
      </c>
      <c r="F3135" s="12" t="s">
        <v>114</v>
      </c>
      <c r="G3135" s="12" t="s">
        <v>11</v>
      </c>
      <c r="H3135" s="12" t="s">
        <v>990</v>
      </c>
      <c r="I3135" s="12">
        <v>5</v>
      </c>
      <c r="J3135" s="12">
        <v>841.56</v>
      </c>
      <c r="K3135" s="12">
        <v>830.82</v>
      </c>
      <c r="L3135" s="12">
        <v>-4207.8</v>
      </c>
      <c r="M3135" s="12">
        <v>0</v>
      </c>
      <c r="N3135" s="12">
        <v>4207.8</v>
      </c>
      <c r="O3135" s="12">
        <v>0</v>
      </c>
      <c r="P3135" s="12">
        <v>-53.7</v>
      </c>
      <c r="Q3135" s="12" t="s">
        <v>215</v>
      </c>
    </row>
    <row r="3136" spans="1:17" x14ac:dyDescent="0.3">
      <c r="A3136" s="12" t="s">
        <v>95</v>
      </c>
      <c r="B3136" s="12" t="s">
        <v>201</v>
      </c>
      <c r="C3136" s="12" t="s">
        <v>213</v>
      </c>
      <c r="E3136" s="12" t="s">
        <v>110</v>
      </c>
      <c r="F3136" s="12" t="s">
        <v>114</v>
      </c>
      <c r="G3136" s="12" t="s">
        <v>11</v>
      </c>
      <c r="I3136" s="12">
        <v>5</v>
      </c>
      <c r="L3136" s="12">
        <v>-4207.8</v>
      </c>
      <c r="M3136" s="12">
        <v>0</v>
      </c>
      <c r="N3136" s="12">
        <v>4207.8</v>
      </c>
      <c r="O3136" s="12">
        <v>0</v>
      </c>
      <c r="P3136" s="12">
        <v>-53.7</v>
      </c>
    </row>
    <row r="3137" spans="1:17" x14ac:dyDescent="0.3">
      <c r="A3137" s="12" t="s">
        <v>95</v>
      </c>
      <c r="B3137" s="12" t="s">
        <v>201</v>
      </c>
      <c r="C3137" s="12" t="s">
        <v>123</v>
      </c>
      <c r="D3137" s="12" t="s">
        <v>209</v>
      </c>
      <c r="E3137" s="12" t="s">
        <v>110</v>
      </c>
      <c r="F3137" s="12" t="s">
        <v>114</v>
      </c>
      <c r="G3137" s="12" t="s">
        <v>66</v>
      </c>
      <c r="H3137" s="12" t="s">
        <v>991</v>
      </c>
      <c r="I3137" s="12">
        <v>-65</v>
      </c>
      <c r="J3137" s="12">
        <v>79.44</v>
      </c>
      <c r="K3137" s="12">
        <v>79.19</v>
      </c>
      <c r="L3137" s="12">
        <v>5163.6000000000004</v>
      </c>
      <c r="M3137" s="12">
        <v>0</v>
      </c>
      <c r="N3137" s="12">
        <v>-5201.95</v>
      </c>
      <c r="O3137" s="12">
        <v>-38.35</v>
      </c>
      <c r="P3137" s="12">
        <v>16.25</v>
      </c>
      <c r="Q3137" s="12" t="s">
        <v>3</v>
      </c>
    </row>
    <row r="3138" spans="1:17" x14ac:dyDescent="0.3">
      <c r="A3138" s="12" t="s">
        <v>95</v>
      </c>
      <c r="B3138" s="12" t="s">
        <v>201</v>
      </c>
      <c r="C3138" s="12" t="s">
        <v>213</v>
      </c>
      <c r="E3138" s="12" t="s">
        <v>110</v>
      </c>
      <c r="F3138" s="12" t="s">
        <v>114</v>
      </c>
      <c r="G3138" s="12" t="s">
        <v>66</v>
      </c>
      <c r="I3138" s="12">
        <v>-65</v>
      </c>
      <c r="L3138" s="12">
        <v>5163.6000000000004</v>
      </c>
      <c r="M3138" s="12">
        <v>0</v>
      </c>
      <c r="N3138" s="12">
        <v>-5201.95</v>
      </c>
      <c r="O3138" s="12">
        <v>-38.35</v>
      </c>
      <c r="P3138" s="12">
        <v>16.25</v>
      </c>
    </row>
    <row r="3139" spans="1:17" x14ac:dyDescent="0.3">
      <c r="A3139" s="12" t="s">
        <v>95</v>
      </c>
      <c r="B3139" s="12" t="s">
        <v>201</v>
      </c>
      <c r="C3139" s="12" t="s">
        <v>123</v>
      </c>
      <c r="D3139" s="12" t="s">
        <v>209</v>
      </c>
      <c r="E3139" s="12" t="s">
        <v>110</v>
      </c>
      <c r="F3139" s="12" t="s">
        <v>114</v>
      </c>
      <c r="G3139" s="12" t="s">
        <v>14</v>
      </c>
      <c r="H3139" s="12" t="s">
        <v>992</v>
      </c>
      <c r="I3139" s="12">
        <v>-30</v>
      </c>
      <c r="J3139" s="12">
        <v>241.27</v>
      </c>
      <c r="K3139" s="12">
        <v>240</v>
      </c>
      <c r="L3139" s="12">
        <v>7238.1</v>
      </c>
      <c r="M3139" s="12">
        <v>0</v>
      </c>
      <c r="N3139" s="12">
        <v>-7593.3</v>
      </c>
      <c r="O3139" s="12">
        <v>-355.2</v>
      </c>
      <c r="P3139" s="12">
        <v>38.1</v>
      </c>
      <c r="Q3139" s="12" t="s">
        <v>3</v>
      </c>
    </row>
    <row r="3140" spans="1:17" x14ac:dyDescent="0.3">
      <c r="A3140" s="12" t="s">
        <v>95</v>
      </c>
      <c r="B3140" s="12" t="s">
        <v>201</v>
      </c>
      <c r="C3140" s="12" t="s">
        <v>213</v>
      </c>
      <c r="E3140" s="12" t="s">
        <v>110</v>
      </c>
      <c r="F3140" s="12" t="s">
        <v>114</v>
      </c>
      <c r="G3140" s="12" t="s">
        <v>14</v>
      </c>
      <c r="I3140" s="12">
        <v>-30</v>
      </c>
      <c r="L3140" s="12">
        <v>7238.1</v>
      </c>
      <c r="M3140" s="12">
        <v>0</v>
      </c>
      <c r="N3140" s="12">
        <v>-7593.3</v>
      </c>
      <c r="O3140" s="12">
        <v>-355.2</v>
      </c>
      <c r="P3140" s="12">
        <v>38.1</v>
      </c>
    </row>
    <row r="3141" spans="1:17" x14ac:dyDescent="0.3">
      <c r="A3141" s="12" t="s">
        <v>95</v>
      </c>
      <c r="B3141" s="12" t="s">
        <v>201</v>
      </c>
      <c r="C3141" s="12" t="s">
        <v>123</v>
      </c>
      <c r="D3141" s="12" t="s">
        <v>209</v>
      </c>
      <c r="E3141" s="12" t="s">
        <v>110</v>
      </c>
      <c r="F3141" s="12" t="s">
        <v>114</v>
      </c>
      <c r="G3141" s="12" t="s">
        <v>67</v>
      </c>
      <c r="H3141" s="12" t="s">
        <v>993</v>
      </c>
      <c r="I3141" s="12">
        <v>-20</v>
      </c>
      <c r="J3141" s="12">
        <v>244.52</v>
      </c>
      <c r="K3141" s="12">
        <v>242.27</v>
      </c>
      <c r="L3141" s="12">
        <v>4890.3999999999996</v>
      </c>
      <c r="M3141" s="12">
        <v>0</v>
      </c>
      <c r="N3141" s="12">
        <v>-4765.2</v>
      </c>
      <c r="O3141" s="12">
        <v>125.2</v>
      </c>
      <c r="P3141" s="12">
        <v>45</v>
      </c>
      <c r="Q3141" s="12" t="s">
        <v>3</v>
      </c>
    </row>
    <row r="3142" spans="1:17" x14ac:dyDescent="0.3">
      <c r="A3142" s="12" t="s">
        <v>95</v>
      </c>
      <c r="B3142" s="12" t="s">
        <v>201</v>
      </c>
      <c r="C3142" s="12" t="s">
        <v>213</v>
      </c>
      <c r="E3142" s="12" t="s">
        <v>110</v>
      </c>
      <c r="F3142" s="12" t="s">
        <v>114</v>
      </c>
      <c r="G3142" s="12" t="s">
        <v>67</v>
      </c>
      <c r="I3142" s="12">
        <v>-20</v>
      </c>
      <c r="L3142" s="12">
        <v>4890.3999999999996</v>
      </c>
      <c r="M3142" s="12">
        <v>0</v>
      </c>
      <c r="N3142" s="12">
        <v>-4765.2</v>
      </c>
      <c r="O3142" s="12">
        <v>125.2</v>
      </c>
      <c r="P3142" s="12">
        <v>45</v>
      </c>
    </row>
    <row r="3143" spans="1:17" x14ac:dyDescent="0.3">
      <c r="A3143" s="12" t="s">
        <v>95</v>
      </c>
      <c r="B3143" s="12" t="s">
        <v>201</v>
      </c>
      <c r="C3143" s="12" t="s">
        <v>123</v>
      </c>
      <c r="D3143" s="12" t="s">
        <v>209</v>
      </c>
      <c r="E3143" s="12" t="s">
        <v>110</v>
      </c>
      <c r="F3143" s="12" t="s">
        <v>114</v>
      </c>
      <c r="G3143" s="12" t="s">
        <v>68</v>
      </c>
      <c r="H3143" s="12" t="s">
        <v>994</v>
      </c>
      <c r="I3143" s="12">
        <v>-30</v>
      </c>
      <c r="J3143" s="12">
        <v>222.72</v>
      </c>
      <c r="K3143" s="12">
        <v>222.71</v>
      </c>
      <c r="L3143" s="12">
        <v>6681.6</v>
      </c>
      <c r="M3143" s="12">
        <v>0</v>
      </c>
      <c r="N3143" s="12">
        <v>-6750</v>
      </c>
      <c r="O3143" s="12">
        <v>-68.400000000000006</v>
      </c>
      <c r="P3143" s="12">
        <v>0.3</v>
      </c>
      <c r="Q3143" s="12" t="s">
        <v>3</v>
      </c>
    </row>
    <row r="3144" spans="1:17" x14ac:dyDescent="0.3">
      <c r="A3144" s="12" t="s">
        <v>95</v>
      </c>
      <c r="B3144" s="12" t="s">
        <v>201</v>
      </c>
      <c r="C3144" s="12" t="s">
        <v>213</v>
      </c>
      <c r="E3144" s="12" t="s">
        <v>110</v>
      </c>
      <c r="F3144" s="12" t="s">
        <v>114</v>
      </c>
      <c r="G3144" s="12" t="s">
        <v>68</v>
      </c>
      <c r="I3144" s="12">
        <v>-30</v>
      </c>
      <c r="L3144" s="12">
        <v>6681.6</v>
      </c>
      <c r="M3144" s="12">
        <v>0</v>
      </c>
      <c r="N3144" s="12">
        <v>-6750</v>
      </c>
      <c r="O3144" s="12">
        <v>-68.400000000000006</v>
      </c>
      <c r="P3144" s="12">
        <v>0.3</v>
      </c>
    </row>
    <row r="3145" spans="1:17" x14ac:dyDescent="0.3">
      <c r="A3145" s="12" t="s">
        <v>95</v>
      </c>
      <c r="B3145" s="12" t="s">
        <v>201</v>
      </c>
      <c r="C3145" s="12" t="s">
        <v>123</v>
      </c>
      <c r="D3145" s="12" t="s">
        <v>209</v>
      </c>
      <c r="E3145" s="12" t="s">
        <v>110</v>
      </c>
      <c r="F3145" s="12" t="s">
        <v>114</v>
      </c>
      <c r="G3145" s="12" t="s">
        <v>48</v>
      </c>
      <c r="H3145" s="12" t="s">
        <v>995</v>
      </c>
      <c r="I3145" s="12">
        <v>15</v>
      </c>
      <c r="J3145" s="12">
        <v>158.6</v>
      </c>
      <c r="K3145" s="12">
        <v>156.66</v>
      </c>
      <c r="L3145" s="12">
        <v>-2379</v>
      </c>
      <c r="M3145" s="12">
        <v>0</v>
      </c>
      <c r="N3145" s="12">
        <v>2379</v>
      </c>
      <c r="O3145" s="12">
        <v>0</v>
      </c>
      <c r="P3145" s="12">
        <v>-29.1</v>
      </c>
      <c r="Q3145" s="12" t="s">
        <v>215</v>
      </c>
    </row>
    <row r="3146" spans="1:17" x14ac:dyDescent="0.3">
      <c r="A3146" s="12" t="s">
        <v>95</v>
      </c>
      <c r="B3146" s="12" t="s">
        <v>201</v>
      </c>
      <c r="C3146" s="12" t="s">
        <v>123</v>
      </c>
      <c r="D3146" s="12" t="s">
        <v>209</v>
      </c>
      <c r="E3146" s="12" t="s">
        <v>110</v>
      </c>
      <c r="F3146" s="12" t="s">
        <v>114</v>
      </c>
      <c r="G3146" s="12" t="s">
        <v>48</v>
      </c>
      <c r="H3146" s="12" t="s">
        <v>996</v>
      </c>
      <c r="I3146" s="12">
        <v>-45</v>
      </c>
      <c r="J3146" s="12">
        <v>171.29</v>
      </c>
      <c r="K3146" s="12">
        <v>172</v>
      </c>
      <c r="L3146" s="12">
        <v>7708.05</v>
      </c>
      <c r="M3146" s="12">
        <v>0</v>
      </c>
      <c r="N3146" s="12">
        <v>-7300.45</v>
      </c>
      <c r="O3146" s="12">
        <v>407.6</v>
      </c>
      <c r="P3146" s="12">
        <v>-31.95</v>
      </c>
      <c r="Q3146" s="12" t="s">
        <v>3</v>
      </c>
    </row>
    <row r="3147" spans="1:17" x14ac:dyDescent="0.3">
      <c r="A3147" s="12" t="s">
        <v>95</v>
      </c>
      <c r="B3147" s="12" t="s">
        <v>201</v>
      </c>
      <c r="C3147" s="12" t="s">
        <v>123</v>
      </c>
      <c r="D3147" s="12" t="s">
        <v>209</v>
      </c>
      <c r="E3147" s="12" t="s">
        <v>110</v>
      </c>
      <c r="F3147" s="12" t="s">
        <v>114</v>
      </c>
      <c r="G3147" s="12" t="s">
        <v>48</v>
      </c>
      <c r="H3147" s="12" t="s">
        <v>997</v>
      </c>
      <c r="I3147" s="12">
        <v>50</v>
      </c>
      <c r="J3147" s="12">
        <v>163.47999999999999</v>
      </c>
      <c r="K3147" s="12">
        <v>162.30000000000001</v>
      </c>
      <c r="L3147" s="12">
        <v>-8174</v>
      </c>
      <c r="M3147" s="12">
        <v>0</v>
      </c>
      <c r="N3147" s="12">
        <v>8174</v>
      </c>
      <c r="O3147" s="12">
        <v>0</v>
      </c>
      <c r="P3147" s="12">
        <v>-59</v>
      </c>
      <c r="Q3147" s="12" t="s">
        <v>215</v>
      </c>
    </row>
    <row r="3148" spans="1:17" x14ac:dyDescent="0.3">
      <c r="A3148" s="12" t="s">
        <v>95</v>
      </c>
      <c r="B3148" s="12" t="s">
        <v>201</v>
      </c>
      <c r="C3148" s="12" t="s">
        <v>213</v>
      </c>
      <c r="E3148" s="12" t="s">
        <v>110</v>
      </c>
      <c r="F3148" s="12" t="s">
        <v>114</v>
      </c>
      <c r="G3148" s="12" t="s">
        <v>48</v>
      </c>
      <c r="I3148" s="12">
        <v>20</v>
      </c>
      <c r="L3148" s="12">
        <v>-2844.95</v>
      </c>
      <c r="M3148" s="12">
        <v>0</v>
      </c>
      <c r="N3148" s="12">
        <v>3252.55</v>
      </c>
      <c r="O3148" s="12">
        <v>407.6</v>
      </c>
      <c r="P3148" s="12">
        <v>-120.05</v>
      </c>
    </row>
    <row r="3149" spans="1:17" x14ac:dyDescent="0.3">
      <c r="A3149" s="12" t="s">
        <v>95</v>
      </c>
      <c r="B3149" s="12" t="s">
        <v>201</v>
      </c>
      <c r="C3149" s="12" t="s">
        <v>123</v>
      </c>
      <c r="D3149" s="12" t="s">
        <v>209</v>
      </c>
      <c r="E3149" s="12" t="s">
        <v>110</v>
      </c>
      <c r="F3149" s="12" t="s">
        <v>114</v>
      </c>
      <c r="G3149" s="12" t="s">
        <v>54</v>
      </c>
      <c r="H3149" s="12" t="s">
        <v>998</v>
      </c>
      <c r="I3149" s="12">
        <v>-26</v>
      </c>
      <c r="J3149" s="12">
        <v>181.87</v>
      </c>
      <c r="K3149" s="12">
        <v>176.7</v>
      </c>
      <c r="L3149" s="12">
        <v>4728.62</v>
      </c>
      <c r="M3149" s="12">
        <v>0</v>
      </c>
      <c r="N3149" s="12">
        <v>-4416.3599999999997</v>
      </c>
      <c r="O3149" s="12">
        <v>312.26</v>
      </c>
      <c r="P3149" s="12">
        <v>134.41999999999999</v>
      </c>
      <c r="Q3149" s="12" t="s">
        <v>3</v>
      </c>
    </row>
    <row r="3150" spans="1:17" x14ac:dyDescent="0.3">
      <c r="A3150" s="12" t="s">
        <v>95</v>
      </c>
      <c r="B3150" s="12" t="s">
        <v>201</v>
      </c>
      <c r="C3150" s="12" t="s">
        <v>123</v>
      </c>
      <c r="D3150" s="12" t="s">
        <v>209</v>
      </c>
      <c r="E3150" s="12" t="s">
        <v>110</v>
      </c>
      <c r="F3150" s="12" t="s">
        <v>114</v>
      </c>
      <c r="G3150" s="12" t="s">
        <v>54</v>
      </c>
      <c r="H3150" s="12" t="s">
        <v>999</v>
      </c>
      <c r="I3150" s="12">
        <v>30</v>
      </c>
      <c r="J3150" s="12">
        <v>165.1</v>
      </c>
      <c r="K3150" s="12">
        <v>165.83</v>
      </c>
      <c r="L3150" s="12">
        <v>-4953</v>
      </c>
      <c r="M3150" s="12">
        <v>0</v>
      </c>
      <c r="N3150" s="12">
        <v>4953</v>
      </c>
      <c r="O3150" s="12">
        <v>0</v>
      </c>
      <c r="P3150" s="12">
        <v>21.9</v>
      </c>
      <c r="Q3150" s="12" t="s">
        <v>211</v>
      </c>
    </row>
    <row r="3151" spans="1:17" x14ac:dyDescent="0.3">
      <c r="A3151" s="12" t="s">
        <v>95</v>
      </c>
      <c r="B3151" s="12" t="s">
        <v>201</v>
      </c>
      <c r="C3151" s="12" t="s">
        <v>213</v>
      </c>
      <c r="E3151" s="12" t="s">
        <v>110</v>
      </c>
      <c r="F3151" s="12" t="s">
        <v>114</v>
      </c>
      <c r="G3151" s="12" t="s">
        <v>54</v>
      </c>
      <c r="I3151" s="12">
        <v>4</v>
      </c>
      <c r="L3151" s="12">
        <v>-224.38</v>
      </c>
      <c r="M3151" s="12">
        <v>0</v>
      </c>
      <c r="N3151" s="12">
        <v>536.64</v>
      </c>
      <c r="O3151" s="12">
        <v>312.26</v>
      </c>
      <c r="P3151" s="12">
        <v>156.32</v>
      </c>
    </row>
    <row r="3152" spans="1:17" x14ac:dyDescent="0.3">
      <c r="A3152" s="12" t="s">
        <v>95</v>
      </c>
      <c r="B3152" s="12" t="s">
        <v>201</v>
      </c>
      <c r="C3152" s="12" t="s">
        <v>123</v>
      </c>
      <c r="D3152" s="12" t="s">
        <v>209</v>
      </c>
      <c r="E3152" s="12" t="s">
        <v>110</v>
      </c>
      <c r="F3152" s="12" t="s">
        <v>114</v>
      </c>
      <c r="G3152" s="12" t="s">
        <v>19</v>
      </c>
      <c r="H3152" s="12" t="s">
        <v>1000</v>
      </c>
      <c r="I3152" s="12">
        <v>36</v>
      </c>
      <c r="J3152" s="12">
        <v>185.76</v>
      </c>
      <c r="K3152" s="12">
        <v>185.57</v>
      </c>
      <c r="L3152" s="12">
        <v>-6687.36</v>
      </c>
      <c r="M3152" s="12">
        <v>0</v>
      </c>
      <c r="N3152" s="12">
        <v>6687.36</v>
      </c>
      <c r="O3152" s="12">
        <v>0</v>
      </c>
      <c r="P3152" s="12">
        <v>-6.84</v>
      </c>
      <c r="Q3152" s="12" t="s">
        <v>215</v>
      </c>
    </row>
    <row r="3153" spans="1:17" x14ac:dyDescent="0.3">
      <c r="A3153" s="12" t="s">
        <v>95</v>
      </c>
      <c r="B3153" s="12" t="s">
        <v>201</v>
      </c>
      <c r="C3153" s="12" t="s">
        <v>213</v>
      </c>
      <c r="E3153" s="12" t="s">
        <v>110</v>
      </c>
      <c r="F3153" s="12" t="s">
        <v>114</v>
      </c>
      <c r="G3153" s="12" t="s">
        <v>19</v>
      </c>
      <c r="I3153" s="12">
        <v>36</v>
      </c>
      <c r="L3153" s="12">
        <v>-6687.36</v>
      </c>
      <c r="M3153" s="12">
        <v>0</v>
      </c>
      <c r="N3153" s="12">
        <v>6687.36</v>
      </c>
      <c r="O3153" s="12">
        <v>0</v>
      </c>
      <c r="P3153" s="12">
        <v>-6.84</v>
      </c>
    </row>
    <row r="3154" spans="1:17" x14ac:dyDescent="0.3">
      <c r="A3154" s="12" t="s">
        <v>95</v>
      </c>
      <c r="B3154" s="12" t="s">
        <v>201</v>
      </c>
      <c r="C3154" s="12" t="s">
        <v>123</v>
      </c>
      <c r="D3154" s="12" t="s">
        <v>209</v>
      </c>
      <c r="E3154" s="12" t="s">
        <v>110</v>
      </c>
      <c r="F3154" s="12" t="s">
        <v>114</v>
      </c>
      <c r="G3154" s="12" t="s">
        <v>69</v>
      </c>
      <c r="H3154" s="12" t="s">
        <v>1001</v>
      </c>
      <c r="I3154" s="12">
        <v>-15</v>
      </c>
      <c r="J3154" s="12">
        <v>326.06</v>
      </c>
      <c r="K3154" s="12">
        <v>324.32</v>
      </c>
      <c r="L3154" s="12">
        <v>4890.8999999999996</v>
      </c>
      <c r="M3154" s="12">
        <v>0</v>
      </c>
      <c r="N3154" s="12">
        <v>-5024.25</v>
      </c>
      <c r="O3154" s="12">
        <v>-133.35</v>
      </c>
      <c r="P3154" s="12">
        <v>26.1</v>
      </c>
      <c r="Q3154" s="12" t="s">
        <v>3</v>
      </c>
    </row>
    <row r="3155" spans="1:17" x14ac:dyDescent="0.3">
      <c r="A3155" s="12" t="s">
        <v>95</v>
      </c>
      <c r="B3155" s="12" t="s">
        <v>201</v>
      </c>
      <c r="C3155" s="12" t="s">
        <v>213</v>
      </c>
      <c r="E3155" s="12" t="s">
        <v>110</v>
      </c>
      <c r="F3155" s="12" t="s">
        <v>114</v>
      </c>
      <c r="G3155" s="12" t="s">
        <v>69</v>
      </c>
      <c r="I3155" s="12">
        <v>-15</v>
      </c>
      <c r="L3155" s="12">
        <v>4890.8999999999996</v>
      </c>
      <c r="M3155" s="12">
        <v>0</v>
      </c>
      <c r="N3155" s="12">
        <v>-5024.25</v>
      </c>
      <c r="O3155" s="12">
        <v>-133.35</v>
      </c>
      <c r="P3155" s="12">
        <v>26.1</v>
      </c>
    </row>
    <row r="3156" spans="1:17" x14ac:dyDescent="0.3">
      <c r="A3156" s="12" t="s">
        <v>95</v>
      </c>
      <c r="B3156" s="12" t="s">
        <v>201</v>
      </c>
      <c r="C3156" s="12" t="s">
        <v>123</v>
      </c>
      <c r="D3156" s="12" t="s">
        <v>209</v>
      </c>
      <c r="E3156" s="12" t="s">
        <v>110</v>
      </c>
      <c r="F3156" s="12" t="s">
        <v>114</v>
      </c>
      <c r="G3156" s="12" t="s">
        <v>20</v>
      </c>
      <c r="H3156" s="12" t="s">
        <v>1002</v>
      </c>
      <c r="I3156" s="12">
        <v>-31</v>
      </c>
      <c r="J3156" s="12">
        <v>335.57</v>
      </c>
      <c r="K3156" s="12">
        <v>334.58</v>
      </c>
      <c r="L3156" s="12">
        <v>10402.67</v>
      </c>
      <c r="M3156" s="12">
        <v>0</v>
      </c>
      <c r="N3156" s="12">
        <v>-10664.57</v>
      </c>
      <c r="O3156" s="12">
        <v>-261.89999999999998</v>
      </c>
      <c r="P3156" s="12">
        <v>30.69</v>
      </c>
      <c r="Q3156" s="12" t="s">
        <v>3</v>
      </c>
    </row>
    <row r="3157" spans="1:17" x14ac:dyDescent="0.3">
      <c r="A3157" s="12" t="s">
        <v>95</v>
      </c>
      <c r="B3157" s="12" t="s">
        <v>201</v>
      </c>
      <c r="C3157" s="12" t="s">
        <v>213</v>
      </c>
      <c r="E3157" s="12" t="s">
        <v>110</v>
      </c>
      <c r="F3157" s="12" t="s">
        <v>114</v>
      </c>
      <c r="G3157" s="12" t="s">
        <v>20</v>
      </c>
      <c r="I3157" s="12">
        <v>-31</v>
      </c>
      <c r="L3157" s="12">
        <v>10402.67</v>
      </c>
      <c r="M3157" s="12">
        <v>0</v>
      </c>
      <c r="N3157" s="12">
        <v>-10664.57</v>
      </c>
      <c r="O3157" s="12">
        <v>-261.89999999999998</v>
      </c>
      <c r="P3157" s="12">
        <v>30.69</v>
      </c>
    </row>
    <row r="3158" spans="1:17" x14ac:dyDescent="0.3">
      <c r="A3158" s="12" t="s">
        <v>95</v>
      </c>
      <c r="B3158" s="12" t="s">
        <v>201</v>
      </c>
      <c r="C3158" s="12" t="s">
        <v>123</v>
      </c>
      <c r="D3158" s="12" t="s">
        <v>209</v>
      </c>
      <c r="E3158" s="12" t="s">
        <v>110</v>
      </c>
      <c r="F3158" s="12" t="s">
        <v>114</v>
      </c>
      <c r="G3158" s="12" t="s">
        <v>22</v>
      </c>
      <c r="H3158" s="12" t="s">
        <v>1003</v>
      </c>
      <c r="I3158" s="12">
        <v>-40</v>
      </c>
      <c r="J3158" s="12">
        <v>81.349999999999994</v>
      </c>
      <c r="K3158" s="12">
        <v>82.41</v>
      </c>
      <c r="L3158" s="12">
        <v>3254</v>
      </c>
      <c r="M3158" s="12">
        <v>0</v>
      </c>
      <c r="N3158" s="12">
        <v>-2426.52</v>
      </c>
      <c r="O3158" s="12">
        <v>827.48</v>
      </c>
      <c r="P3158" s="12">
        <v>-42.4</v>
      </c>
      <c r="Q3158" s="12" t="s">
        <v>3</v>
      </c>
    </row>
    <row r="3159" spans="1:17" x14ac:dyDescent="0.3">
      <c r="A3159" s="12" t="s">
        <v>95</v>
      </c>
      <c r="B3159" s="12" t="s">
        <v>201</v>
      </c>
      <c r="C3159" s="12" t="s">
        <v>213</v>
      </c>
      <c r="E3159" s="12" t="s">
        <v>110</v>
      </c>
      <c r="F3159" s="12" t="s">
        <v>114</v>
      </c>
      <c r="G3159" s="12" t="s">
        <v>22</v>
      </c>
      <c r="I3159" s="12">
        <v>-40</v>
      </c>
      <c r="L3159" s="12">
        <v>3254</v>
      </c>
      <c r="M3159" s="12">
        <v>0</v>
      </c>
      <c r="N3159" s="12">
        <v>-2426.52</v>
      </c>
      <c r="O3159" s="12">
        <v>827.48</v>
      </c>
      <c r="P3159" s="12">
        <v>-42.4</v>
      </c>
    </row>
    <row r="3160" spans="1:17" x14ac:dyDescent="0.3">
      <c r="A3160" s="12" t="s">
        <v>95</v>
      </c>
      <c r="B3160" s="12" t="s">
        <v>201</v>
      </c>
      <c r="C3160" s="12" t="s">
        <v>123</v>
      </c>
      <c r="D3160" s="12" t="s">
        <v>209</v>
      </c>
      <c r="E3160" s="12" t="s">
        <v>110</v>
      </c>
      <c r="F3160" s="12" t="s">
        <v>114</v>
      </c>
      <c r="G3160" s="12" t="s">
        <v>37</v>
      </c>
      <c r="H3160" s="12" t="s">
        <v>1004</v>
      </c>
      <c r="I3160" s="12">
        <v>-15</v>
      </c>
      <c r="J3160" s="12">
        <v>183</v>
      </c>
      <c r="K3160" s="12">
        <v>182.83</v>
      </c>
      <c r="L3160" s="12">
        <v>2745</v>
      </c>
      <c r="M3160" s="12">
        <v>0</v>
      </c>
      <c r="N3160" s="12">
        <v>-2595.3249999999998</v>
      </c>
      <c r="O3160" s="12">
        <v>149.67500000000001</v>
      </c>
      <c r="P3160" s="12">
        <v>2.5499999999999998</v>
      </c>
      <c r="Q3160" s="12" t="s">
        <v>3</v>
      </c>
    </row>
    <row r="3161" spans="1:17" x14ac:dyDescent="0.3">
      <c r="A3161" s="12" t="s">
        <v>95</v>
      </c>
      <c r="B3161" s="12" t="s">
        <v>201</v>
      </c>
      <c r="C3161" s="12" t="s">
        <v>213</v>
      </c>
      <c r="E3161" s="12" t="s">
        <v>110</v>
      </c>
      <c r="F3161" s="12" t="s">
        <v>114</v>
      </c>
      <c r="G3161" s="12" t="s">
        <v>37</v>
      </c>
      <c r="I3161" s="12">
        <v>-15</v>
      </c>
      <c r="L3161" s="12">
        <v>2745</v>
      </c>
      <c r="M3161" s="12">
        <v>0</v>
      </c>
      <c r="N3161" s="12">
        <v>-2595.3249999999998</v>
      </c>
      <c r="O3161" s="12">
        <v>149.67500000000001</v>
      </c>
      <c r="P3161" s="12">
        <v>2.5499999999999998</v>
      </c>
    </row>
    <row r="3162" spans="1:17" x14ac:dyDescent="0.3">
      <c r="A3162" s="12" t="s">
        <v>95</v>
      </c>
      <c r="B3162" s="12" t="s">
        <v>201</v>
      </c>
      <c r="C3162" s="12" t="s">
        <v>123</v>
      </c>
      <c r="D3162" s="12" t="s">
        <v>209</v>
      </c>
      <c r="E3162" s="12" t="s">
        <v>110</v>
      </c>
      <c r="F3162" s="12" t="s">
        <v>114</v>
      </c>
      <c r="G3162" s="12" t="s">
        <v>70</v>
      </c>
      <c r="H3162" s="12" t="s">
        <v>1005</v>
      </c>
      <c r="I3162" s="12">
        <v>-15</v>
      </c>
      <c r="J3162" s="12">
        <v>205.62</v>
      </c>
      <c r="K3162" s="12">
        <v>207.45</v>
      </c>
      <c r="L3162" s="12">
        <v>3084.3</v>
      </c>
      <c r="M3162" s="12">
        <v>0</v>
      </c>
      <c r="N3162" s="12">
        <v>-2933.85</v>
      </c>
      <c r="O3162" s="12">
        <v>150.44999999999999</v>
      </c>
      <c r="P3162" s="12">
        <v>-27.45</v>
      </c>
      <c r="Q3162" s="12" t="s">
        <v>3</v>
      </c>
    </row>
    <row r="3163" spans="1:17" x14ac:dyDescent="0.3">
      <c r="A3163" s="12" t="s">
        <v>95</v>
      </c>
      <c r="B3163" s="12" t="s">
        <v>201</v>
      </c>
      <c r="C3163" s="12" t="s">
        <v>123</v>
      </c>
      <c r="D3163" s="12" t="s">
        <v>209</v>
      </c>
      <c r="E3163" s="12" t="s">
        <v>110</v>
      </c>
      <c r="F3163" s="12" t="s">
        <v>114</v>
      </c>
      <c r="G3163" s="12" t="s">
        <v>70</v>
      </c>
      <c r="H3163" s="12" t="s">
        <v>1006</v>
      </c>
      <c r="I3163" s="12">
        <v>100</v>
      </c>
      <c r="J3163" s="12">
        <v>206.08500000000001</v>
      </c>
      <c r="K3163" s="12">
        <v>204.94</v>
      </c>
      <c r="L3163" s="12">
        <v>-20608.5</v>
      </c>
      <c r="M3163" s="12">
        <v>0</v>
      </c>
      <c r="N3163" s="12">
        <v>20608.5</v>
      </c>
      <c r="O3163" s="12">
        <v>0</v>
      </c>
      <c r="P3163" s="12">
        <v>-114.5</v>
      </c>
      <c r="Q3163" s="12" t="s">
        <v>215</v>
      </c>
    </row>
    <row r="3164" spans="1:17" x14ac:dyDescent="0.3">
      <c r="A3164" s="12" t="s">
        <v>95</v>
      </c>
      <c r="B3164" s="12" t="s">
        <v>201</v>
      </c>
      <c r="C3164" s="12" t="s">
        <v>123</v>
      </c>
      <c r="D3164" s="12" t="s">
        <v>209</v>
      </c>
      <c r="E3164" s="12" t="s">
        <v>110</v>
      </c>
      <c r="F3164" s="12" t="s">
        <v>114</v>
      </c>
      <c r="G3164" s="12" t="s">
        <v>70</v>
      </c>
      <c r="H3164" s="12" t="s">
        <v>1007</v>
      </c>
      <c r="I3164" s="12">
        <v>-55</v>
      </c>
      <c r="J3164" s="12">
        <v>205.77</v>
      </c>
      <c r="K3164" s="12">
        <v>204.94</v>
      </c>
      <c r="L3164" s="12">
        <v>11317.35</v>
      </c>
      <c r="M3164" s="12">
        <v>0</v>
      </c>
      <c r="N3164" s="12">
        <v>-11229.725</v>
      </c>
      <c r="O3164" s="12">
        <v>87.625</v>
      </c>
      <c r="P3164" s="12">
        <v>45.65</v>
      </c>
      <c r="Q3164" s="12" t="s">
        <v>230</v>
      </c>
    </row>
    <row r="3165" spans="1:17" x14ac:dyDescent="0.3">
      <c r="A3165" s="12" t="s">
        <v>95</v>
      </c>
      <c r="B3165" s="12" t="s">
        <v>201</v>
      </c>
      <c r="C3165" s="12" t="s">
        <v>213</v>
      </c>
      <c r="E3165" s="12" t="s">
        <v>110</v>
      </c>
      <c r="F3165" s="12" t="s">
        <v>114</v>
      </c>
      <c r="G3165" s="12" t="s">
        <v>70</v>
      </c>
      <c r="I3165" s="12">
        <v>30</v>
      </c>
      <c r="L3165" s="12">
        <v>-6206.85</v>
      </c>
      <c r="M3165" s="12">
        <v>0</v>
      </c>
      <c r="N3165" s="12">
        <v>6444.9250000000002</v>
      </c>
      <c r="O3165" s="12">
        <v>238.07499999999999</v>
      </c>
      <c r="P3165" s="12">
        <v>-96.3</v>
      </c>
    </row>
    <row r="3166" spans="1:17" x14ac:dyDescent="0.3">
      <c r="A3166" s="12" t="s">
        <v>95</v>
      </c>
      <c r="B3166" s="12" t="s">
        <v>201</v>
      </c>
      <c r="C3166" s="12" t="s">
        <v>123</v>
      </c>
      <c r="D3166" s="12" t="s">
        <v>209</v>
      </c>
      <c r="E3166" s="12" t="s">
        <v>110</v>
      </c>
      <c r="F3166" s="12" t="s">
        <v>114</v>
      </c>
      <c r="G3166" s="12" t="s">
        <v>26</v>
      </c>
      <c r="H3166" s="12" t="s">
        <v>1008</v>
      </c>
      <c r="I3166" s="12">
        <v>10</v>
      </c>
      <c r="J3166" s="12">
        <v>441.55</v>
      </c>
      <c r="K3166" s="12">
        <v>433.81</v>
      </c>
      <c r="L3166" s="12">
        <v>-4415.5</v>
      </c>
      <c r="M3166" s="12">
        <v>0</v>
      </c>
      <c r="N3166" s="12">
        <v>4415.5</v>
      </c>
      <c r="O3166" s="12">
        <v>0</v>
      </c>
      <c r="P3166" s="12">
        <v>-77.400000000000006</v>
      </c>
      <c r="Q3166" s="12" t="s">
        <v>215</v>
      </c>
    </row>
    <row r="3167" spans="1:17" x14ac:dyDescent="0.3">
      <c r="A3167" s="12" t="s">
        <v>95</v>
      </c>
      <c r="B3167" s="12" t="s">
        <v>201</v>
      </c>
      <c r="C3167" s="12" t="s">
        <v>213</v>
      </c>
      <c r="E3167" s="12" t="s">
        <v>110</v>
      </c>
      <c r="F3167" s="12" t="s">
        <v>114</v>
      </c>
      <c r="G3167" s="12" t="s">
        <v>26</v>
      </c>
      <c r="I3167" s="12">
        <v>10</v>
      </c>
      <c r="L3167" s="12">
        <v>-4415.5</v>
      </c>
      <c r="M3167" s="12">
        <v>0</v>
      </c>
      <c r="N3167" s="12">
        <v>4415.5</v>
      </c>
      <c r="O3167" s="12">
        <v>0</v>
      </c>
      <c r="P3167" s="12">
        <v>-77.400000000000006</v>
      </c>
    </row>
    <row r="3168" spans="1:17" x14ac:dyDescent="0.3">
      <c r="A3168" s="12" t="s">
        <v>95</v>
      </c>
      <c r="B3168" s="12" t="s">
        <v>201</v>
      </c>
      <c r="C3168" s="12" t="s">
        <v>123</v>
      </c>
      <c r="D3168" s="12" t="s">
        <v>209</v>
      </c>
      <c r="E3168" s="12" t="s">
        <v>110</v>
      </c>
      <c r="F3168" s="12" t="s">
        <v>114</v>
      </c>
      <c r="G3168" s="12" t="s">
        <v>27</v>
      </c>
      <c r="H3168" s="12" t="s">
        <v>1009</v>
      </c>
      <c r="I3168" s="12">
        <v>-15</v>
      </c>
      <c r="J3168" s="12">
        <v>474.77</v>
      </c>
      <c r="K3168" s="12">
        <v>474.83</v>
      </c>
      <c r="L3168" s="12">
        <v>7121.55</v>
      </c>
      <c r="M3168" s="12">
        <v>0</v>
      </c>
      <c r="N3168" s="12">
        <v>-7122.45</v>
      </c>
      <c r="O3168" s="12">
        <v>-0.9</v>
      </c>
      <c r="P3168" s="12">
        <v>-0.9</v>
      </c>
      <c r="Q3168" s="12" t="s">
        <v>3</v>
      </c>
    </row>
    <row r="3169" spans="1:17" x14ac:dyDescent="0.3">
      <c r="A3169" s="12" t="s">
        <v>95</v>
      </c>
      <c r="B3169" s="12" t="s">
        <v>201</v>
      </c>
      <c r="C3169" s="12" t="s">
        <v>213</v>
      </c>
      <c r="E3169" s="12" t="s">
        <v>110</v>
      </c>
      <c r="F3169" s="12" t="s">
        <v>114</v>
      </c>
      <c r="G3169" s="12" t="s">
        <v>27</v>
      </c>
      <c r="I3169" s="12">
        <v>-15</v>
      </c>
      <c r="L3169" s="12">
        <v>7121.55</v>
      </c>
      <c r="M3169" s="12">
        <v>0</v>
      </c>
      <c r="N3169" s="12">
        <v>-7122.45</v>
      </c>
      <c r="O3169" s="12">
        <v>-0.9</v>
      </c>
      <c r="P3169" s="12">
        <v>-0.9</v>
      </c>
    </row>
    <row r="3170" spans="1:17" x14ac:dyDescent="0.3">
      <c r="A3170" s="12" t="s">
        <v>95</v>
      </c>
      <c r="B3170" s="12" t="s">
        <v>201</v>
      </c>
      <c r="C3170" s="12" t="s">
        <v>123</v>
      </c>
      <c r="D3170" s="12" t="s">
        <v>209</v>
      </c>
      <c r="E3170" s="12" t="s">
        <v>110</v>
      </c>
      <c r="F3170" s="12" t="s">
        <v>114</v>
      </c>
      <c r="G3170" s="12" t="s">
        <v>28</v>
      </c>
      <c r="H3170" s="12" t="s">
        <v>1010</v>
      </c>
      <c r="I3170" s="12">
        <v>12</v>
      </c>
      <c r="J3170" s="12">
        <v>440.82</v>
      </c>
      <c r="K3170" s="12">
        <v>440.37</v>
      </c>
      <c r="L3170" s="12">
        <v>-5289.84</v>
      </c>
      <c r="M3170" s="12">
        <v>0</v>
      </c>
      <c r="N3170" s="12">
        <v>5289.84</v>
      </c>
      <c r="O3170" s="12">
        <v>0</v>
      </c>
      <c r="P3170" s="12">
        <v>-5.4</v>
      </c>
      <c r="Q3170" s="12" t="s">
        <v>215</v>
      </c>
    </row>
    <row r="3171" spans="1:17" x14ac:dyDescent="0.3">
      <c r="A3171" s="12" t="s">
        <v>95</v>
      </c>
      <c r="B3171" s="12" t="s">
        <v>201</v>
      </c>
      <c r="C3171" s="12" t="s">
        <v>213</v>
      </c>
      <c r="E3171" s="12" t="s">
        <v>110</v>
      </c>
      <c r="F3171" s="12" t="s">
        <v>114</v>
      </c>
      <c r="G3171" s="12" t="s">
        <v>28</v>
      </c>
      <c r="I3171" s="12">
        <v>12</v>
      </c>
      <c r="L3171" s="12">
        <v>-5289.84</v>
      </c>
      <c r="M3171" s="12">
        <v>0</v>
      </c>
      <c r="N3171" s="12">
        <v>5289.84</v>
      </c>
      <c r="O3171" s="12">
        <v>0</v>
      </c>
      <c r="P3171" s="12">
        <v>-5.4</v>
      </c>
    </row>
    <row r="3172" spans="1:17" x14ac:dyDescent="0.3">
      <c r="A3172" s="12" t="s">
        <v>95</v>
      </c>
      <c r="B3172" s="12" t="s">
        <v>201</v>
      </c>
      <c r="C3172" s="12" t="s">
        <v>123</v>
      </c>
      <c r="D3172" s="12" t="s">
        <v>209</v>
      </c>
      <c r="E3172" s="12" t="s">
        <v>110</v>
      </c>
      <c r="F3172" s="12" t="s">
        <v>114</v>
      </c>
      <c r="G3172" s="12" t="s">
        <v>50</v>
      </c>
      <c r="H3172" s="12" t="s">
        <v>1011</v>
      </c>
      <c r="I3172" s="12">
        <v>-7</v>
      </c>
      <c r="J3172" s="12">
        <v>747.78</v>
      </c>
      <c r="K3172" s="12">
        <v>744.01</v>
      </c>
      <c r="L3172" s="12">
        <v>5234.46</v>
      </c>
      <c r="M3172" s="12">
        <v>0</v>
      </c>
      <c r="N3172" s="12">
        <v>-5175.3999999999996</v>
      </c>
      <c r="O3172" s="12">
        <v>59.06</v>
      </c>
      <c r="P3172" s="12">
        <v>26.39</v>
      </c>
      <c r="Q3172" s="12" t="s">
        <v>3</v>
      </c>
    </row>
    <row r="3173" spans="1:17" x14ac:dyDescent="0.3">
      <c r="A3173" s="12" t="s">
        <v>95</v>
      </c>
      <c r="B3173" s="12" t="s">
        <v>201</v>
      </c>
      <c r="C3173" s="12" t="s">
        <v>213</v>
      </c>
      <c r="E3173" s="12" t="s">
        <v>110</v>
      </c>
      <c r="F3173" s="12" t="s">
        <v>114</v>
      </c>
      <c r="G3173" s="12" t="s">
        <v>50</v>
      </c>
      <c r="I3173" s="12">
        <v>-7</v>
      </c>
      <c r="L3173" s="12">
        <v>5234.46</v>
      </c>
      <c r="M3173" s="12">
        <v>0</v>
      </c>
      <c r="N3173" s="12">
        <v>-5175.3999999999996</v>
      </c>
      <c r="O3173" s="12">
        <v>59.06</v>
      </c>
      <c r="P3173" s="12">
        <v>26.39</v>
      </c>
    </row>
    <row r="3174" spans="1:17" x14ac:dyDescent="0.3">
      <c r="A3174" s="12" t="s">
        <v>95</v>
      </c>
      <c r="B3174" s="12" t="s">
        <v>201</v>
      </c>
      <c r="C3174" s="12" t="s">
        <v>123</v>
      </c>
      <c r="D3174" s="12" t="s">
        <v>209</v>
      </c>
      <c r="E3174" s="12" t="s">
        <v>110</v>
      </c>
      <c r="F3174" s="12" t="s">
        <v>114</v>
      </c>
      <c r="G3174" s="12" t="s">
        <v>72</v>
      </c>
      <c r="H3174" s="12" t="s">
        <v>1012</v>
      </c>
      <c r="I3174" s="12">
        <v>-18</v>
      </c>
      <c r="J3174" s="12">
        <v>272.19</v>
      </c>
      <c r="K3174" s="12">
        <v>269.29000000000002</v>
      </c>
      <c r="L3174" s="12">
        <v>4899.42</v>
      </c>
      <c r="M3174" s="12">
        <v>0</v>
      </c>
      <c r="N3174" s="12">
        <v>-4797.72</v>
      </c>
      <c r="O3174" s="12">
        <v>101.7</v>
      </c>
      <c r="P3174" s="12">
        <v>52.2</v>
      </c>
      <c r="Q3174" s="12" t="s">
        <v>3</v>
      </c>
    </row>
    <row r="3175" spans="1:17" x14ac:dyDescent="0.3">
      <c r="A3175" s="12" t="s">
        <v>95</v>
      </c>
      <c r="B3175" s="12" t="s">
        <v>201</v>
      </c>
      <c r="C3175" s="12" t="s">
        <v>213</v>
      </c>
      <c r="E3175" s="12" t="s">
        <v>110</v>
      </c>
      <c r="F3175" s="12" t="s">
        <v>114</v>
      </c>
      <c r="G3175" s="12" t="s">
        <v>72</v>
      </c>
      <c r="I3175" s="12">
        <v>-18</v>
      </c>
      <c r="L3175" s="12">
        <v>4899.42</v>
      </c>
      <c r="M3175" s="12">
        <v>0</v>
      </c>
      <c r="N3175" s="12">
        <v>-4797.72</v>
      </c>
      <c r="O3175" s="12">
        <v>101.7</v>
      </c>
      <c r="P3175" s="12">
        <v>52.2</v>
      </c>
    </row>
    <row r="3176" spans="1:17" x14ac:dyDescent="0.3">
      <c r="A3176" s="12" t="s">
        <v>95</v>
      </c>
      <c r="B3176" s="12" t="s">
        <v>201</v>
      </c>
      <c r="C3176" s="12" t="s">
        <v>123</v>
      </c>
      <c r="D3176" s="12" t="s">
        <v>209</v>
      </c>
      <c r="E3176" s="12" t="s">
        <v>110</v>
      </c>
      <c r="F3176" s="12" t="s">
        <v>114</v>
      </c>
      <c r="G3176" s="12" t="s">
        <v>73</v>
      </c>
      <c r="H3176" s="12" t="s">
        <v>1013</v>
      </c>
      <c r="I3176" s="12">
        <v>-20</v>
      </c>
      <c r="J3176" s="12">
        <v>136.24</v>
      </c>
      <c r="K3176" s="12">
        <v>135.94999999999999</v>
      </c>
      <c r="L3176" s="12">
        <v>2724.8</v>
      </c>
      <c r="M3176" s="12">
        <v>0</v>
      </c>
      <c r="N3176" s="12">
        <v>-2755.6</v>
      </c>
      <c r="O3176" s="12">
        <v>-30.8</v>
      </c>
      <c r="P3176" s="12">
        <v>5.8</v>
      </c>
      <c r="Q3176" s="12" t="s">
        <v>3</v>
      </c>
    </row>
    <row r="3177" spans="1:17" x14ac:dyDescent="0.3">
      <c r="A3177" s="12" t="s">
        <v>95</v>
      </c>
      <c r="B3177" s="12" t="s">
        <v>201</v>
      </c>
      <c r="C3177" s="12" t="s">
        <v>213</v>
      </c>
      <c r="E3177" s="12" t="s">
        <v>110</v>
      </c>
      <c r="F3177" s="12" t="s">
        <v>114</v>
      </c>
      <c r="G3177" s="12" t="s">
        <v>73</v>
      </c>
      <c r="I3177" s="12">
        <v>-20</v>
      </c>
      <c r="L3177" s="12">
        <v>2724.8</v>
      </c>
      <c r="M3177" s="12">
        <v>0</v>
      </c>
      <c r="N3177" s="12">
        <v>-2755.6</v>
      </c>
      <c r="O3177" s="12">
        <v>-30.8</v>
      </c>
      <c r="P3177" s="12">
        <v>5.8</v>
      </c>
    </row>
    <row r="3178" spans="1:17" x14ac:dyDescent="0.3">
      <c r="A3178" s="12" t="s">
        <v>95</v>
      </c>
      <c r="B3178" s="12" t="s">
        <v>201</v>
      </c>
      <c r="C3178" s="12" t="s">
        <v>123</v>
      </c>
      <c r="D3178" s="12" t="s">
        <v>209</v>
      </c>
      <c r="E3178" s="12" t="s">
        <v>110</v>
      </c>
      <c r="F3178" s="12" t="s">
        <v>114</v>
      </c>
      <c r="G3178" s="12" t="s">
        <v>74</v>
      </c>
      <c r="H3178" s="12" t="s">
        <v>1014</v>
      </c>
      <c r="I3178" s="12">
        <v>-10</v>
      </c>
      <c r="J3178" s="12">
        <v>254.75</v>
      </c>
      <c r="K3178" s="12">
        <v>254.66</v>
      </c>
      <c r="L3178" s="12">
        <v>2547.5</v>
      </c>
      <c r="M3178" s="12">
        <v>0</v>
      </c>
      <c r="N3178" s="12">
        <v>-2718.1</v>
      </c>
      <c r="O3178" s="12">
        <v>-170.6</v>
      </c>
      <c r="P3178" s="12">
        <v>0.9</v>
      </c>
      <c r="Q3178" s="12" t="s">
        <v>3</v>
      </c>
    </row>
    <row r="3179" spans="1:17" x14ac:dyDescent="0.3">
      <c r="A3179" s="12" t="s">
        <v>95</v>
      </c>
      <c r="B3179" s="12" t="s">
        <v>201</v>
      </c>
      <c r="C3179" s="12" t="s">
        <v>213</v>
      </c>
      <c r="E3179" s="12" t="s">
        <v>110</v>
      </c>
      <c r="F3179" s="12" t="s">
        <v>114</v>
      </c>
      <c r="G3179" s="12" t="s">
        <v>74</v>
      </c>
      <c r="I3179" s="12">
        <v>-10</v>
      </c>
      <c r="L3179" s="12">
        <v>2547.5</v>
      </c>
      <c r="M3179" s="12">
        <v>0</v>
      </c>
      <c r="N3179" s="12">
        <v>-2718.1</v>
      </c>
      <c r="O3179" s="12">
        <v>-170.6</v>
      </c>
      <c r="P3179" s="12">
        <v>0.9</v>
      </c>
    </row>
    <row r="3180" spans="1:17" x14ac:dyDescent="0.3">
      <c r="A3180" s="12" t="s">
        <v>95</v>
      </c>
      <c r="B3180" s="12" t="s">
        <v>201</v>
      </c>
      <c r="C3180" s="12" t="s">
        <v>123</v>
      </c>
      <c r="D3180" s="12" t="s">
        <v>209</v>
      </c>
      <c r="E3180" s="12" t="s">
        <v>110</v>
      </c>
      <c r="F3180" s="12" t="s">
        <v>114</v>
      </c>
      <c r="G3180" s="12" t="s">
        <v>39</v>
      </c>
      <c r="H3180" s="12" t="s">
        <v>1015</v>
      </c>
      <c r="I3180" s="12">
        <v>-35</v>
      </c>
      <c r="J3180" s="12">
        <v>175.88</v>
      </c>
      <c r="K3180" s="12">
        <v>180.95</v>
      </c>
      <c r="L3180" s="12">
        <v>6155.8</v>
      </c>
      <c r="M3180" s="12">
        <v>0</v>
      </c>
      <c r="N3180" s="12">
        <v>-5942.9750000000004</v>
      </c>
      <c r="O3180" s="12">
        <v>212.82499999999999</v>
      </c>
      <c r="P3180" s="12">
        <v>-177.45</v>
      </c>
      <c r="Q3180" s="12" t="s">
        <v>3</v>
      </c>
    </row>
    <row r="3181" spans="1:17" x14ac:dyDescent="0.3">
      <c r="A3181" s="12" t="s">
        <v>95</v>
      </c>
      <c r="B3181" s="12" t="s">
        <v>201</v>
      </c>
      <c r="C3181" s="12" t="s">
        <v>213</v>
      </c>
      <c r="E3181" s="12" t="s">
        <v>110</v>
      </c>
      <c r="F3181" s="12" t="s">
        <v>114</v>
      </c>
      <c r="G3181" s="12" t="s">
        <v>39</v>
      </c>
      <c r="I3181" s="12">
        <v>-35</v>
      </c>
      <c r="L3181" s="12">
        <v>6155.8</v>
      </c>
      <c r="M3181" s="12">
        <v>0</v>
      </c>
      <c r="N3181" s="12">
        <v>-5942.9750000000004</v>
      </c>
      <c r="O3181" s="12">
        <v>212.82499999999999</v>
      </c>
      <c r="P3181" s="12">
        <v>-177.45</v>
      </c>
    </row>
    <row r="3182" spans="1:17" x14ac:dyDescent="0.3">
      <c r="A3182" s="12" t="s">
        <v>95</v>
      </c>
      <c r="B3182" s="12" t="s">
        <v>201</v>
      </c>
      <c r="C3182" s="12" t="s">
        <v>123</v>
      </c>
      <c r="D3182" s="12" t="s">
        <v>209</v>
      </c>
      <c r="E3182" s="12" t="s">
        <v>110</v>
      </c>
      <c r="F3182" s="12" t="s">
        <v>114</v>
      </c>
      <c r="G3182" s="12" t="s">
        <v>82</v>
      </c>
      <c r="H3182" s="12" t="s">
        <v>1016</v>
      </c>
      <c r="I3182" s="12">
        <v>30</v>
      </c>
      <c r="J3182" s="12">
        <v>486.9</v>
      </c>
      <c r="K3182" s="12">
        <v>481.77</v>
      </c>
      <c r="L3182" s="12">
        <v>-14607</v>
      </c>
      <c r="M3182" s="12">
        <v>0</v>
      </c>
      <c r="N3182" s="12">
        <v>14607</v>
      </c>
      <c r="O3182" s="12">
        <v>0</v>
      </c>
      <c r="P3182" s="12">
        <v>-153.9</v>
      </c>
      <c r="Q3182" s="12" t="s">
        <v>215</v>
      </c>
    </row>
    <row r="3183" spans="1:17" x14ac:dyDescent="0.3">
      <c r="A3183" s="12" t="s">
        <v>95</v>
      </c>
      <c r="B3183" s="12" t="s">
        <v>201</v>
      </c>
      <c r="C3183" s="12" t="s">
        <v>213</v>
      </c>
      <c r="E3183" s="12" t="s">
        <v>110</v>
      </c>
      <c r="F3183" s="12" t="s">
        <v>114</v>
      </c>
      <c r="G3183" s="12" t="s">
        <v>82</v>
      </c>
      <c r="I3183" s="12">
        <v>30</v>
      </c>
      <c r="L3183" s="12">
        <v>-14607</v>
      </c>
      <c r="M3183" s="12">
        <v>0</v>
      </c>
      <c r="N3183" s="12">
        <v>14607</v>
      </c>
      <c r="O3183" s="12">
        <v>0</v>
      </c>
      <c r="P3183" s="12">
        <v>-153.9</v>
      </c>
    </row>
    <row r="3184" spans="1:17" x14ac:dyDescent="0.3">
      <c r="A3184" s="12" t="s">
        <v>95</v>
      </c>
      <c r="B3184" s="12" t="s">
        <v>201</v>
      </c>
      <c r="C3184" s="12" t="s">
        <v>123</v>
      </c>
      <c r="D3184" s="12" t="s">
        <v>209</v>
      </c>
      <c r="E3184" s="12" t="s">
        <v>110</v>
      </c>
      <c r="F3184" s="12" t="s">
        <v>114</v>
      </c>
      <c r="G3184" s="12" t="s">
        <v>75</v>
      </c>
      <c r="H3184" s="12" t="s">
        <v>1017</v>
      </c>
      <c r="I3184" s="12">
        <v>-5</v>
      </c>
      <c r="J3184" s="12">
        <v>1080.1500000000001</v>
      </c>
      <c r="K3184" s="12">
        <v>1064.19</v>
      </c>
      <c r="L3184" s="12">
        <v>5400.75</v>
      </c>
      <c r="M3184" s="12">
        <v>0</v>
      </c>
      <c r="N3184" s="12">
        <v>-4966</v>
      </c>
      <c r="O3184" s="12">
        <v>434.75</v>
      </c>
      <c r="P3184" s="12">
        <v>79.8</v>
      </c>
      <c r="Q3184" s="12" t="s">
        <v>3</v>
      </c>
    </row>
    <row r="3185" spans="1:17" x14ac:dyDescent="0.3">
      <c r="A3185" s="12" t="s">
        <v>95</v>
      </c>
      <c r="B3185" s="12" t="s">
        <v>201</v>
      </c>
      <c r="C3185" s="12" t="s">
        <v>213</v>
      </c>
      <c r="E3185" s="12" t="s">
        <v>110</v>
      </c>
      <c r="F3185" s="12" t="s">
        <v>114</v>
      </c>
      <c r="G3185" s="12" t="s">
        <v>75</v>
      </c>
      <c r="I3185" s="12">
        <v>-5</v>
      </c>
      <c r="L3185" s="12">
        <v>5400.75</v>
      </c>
      <c r="M3185" s="12">
        <v>0</v>
      </c>
      <c r="N3185" s="12">
        <v>-4966</v>
      </c>
      <c r="O3185" s="12">
        <v>434.75</v>
      </c>
      <c r="P3185" s="12">
        <v>79.8</v>
      </c>
    </row>
    <row r="3186" spans="1:17" x14ac:dyDescent="0.3">
      <c r="A3186" s="12" t="s">
        <v>95</v>
      </c>
      <c r="B3186" s="12" t="s">
        <v>201</v>
      </c>
      <c r="C3186" s="12" t="s">
        <v>123</v>
      </c>
      <c r="D3186" s="12" t="s">
        <v>209</v>
      </c>
      <c r="E3186" s="12" t="s">
        <v>110</v>
      </c>
      <c r="F3186" s="12" t="s">
        <v>114</v>
      </c>
      <c r="G3186" s="12" t="s">
        <v>76</v>
      </c>
      <c r="H3186" s="12" t="s">
        <v>1018</v>
      </c>
      <c r="I3186" s="12">
        <v>-45</v>
      </c>
      <c r="J3186" s="12">
        <v>100.79</v>
      </c>
      <c r="K3186" s="12">
        <v>100.74</v>
      </c>
      <c r="L3186" s="12">
        <v>4535.55</v>
      </c>
      <c r="M3186" s="12">
        <v>0</v>
      </c>
      <c r="N3186" s="12">
        <v>-4860.2250000000004</v>
      </c>
      <c r="O3186" s="12">
        <v>-324.67500000000001</v>
      </c>
      <c r="P3186" s="12">
        <v>2.25</v>
      </c>
      <c r="Q3186" s="12" t="s">
        <v>230</v>
      </c>
    </row>
    <row r="3187" spans="1:17" x14ac:dyDescent="0.3">
      <c r="A3187" s="12" t="s">
        <v>95</v>
      </c>
      <c r="B3187" s="12" t="s">
        <v>201</v>
      </c>
      <c r="C3187" s="12" t="s">
        <v>213</v>
      </c>
      <c r="E3187" s="12" t="s">
        <v>110</v>
      </c>
      <c r="F3187" s="12" t="s">
        <v>114</v>
      </c>
      <c r="G3187" s="12" t="s">
        <v>76</v>
      </c>
      <c r="I3187" s="12">
        <v>-45</v>
      </c>
      <c r="L3187" s="12">
        <v>4535.55</v>
      </c>
      <c r="M3187" s="12">
        <v>0</v>
      </c>
      <c r="N3187" s="12">
        <v>-4860.2250000000004</v>
      </c>
      <c r="O3187" s="12">
        <v>-324.67500000000001</v>
      </c>
      <c r="P3187" s="12">
        <v>2.25</v>
      </c>
    </row>
    <row r="3188" spans="1:17" x14ac:dyDescent="0.3">
      <c r="A3188" s="12" t="s">
        <v>95</v>
      </c>
      <c r="B3188" s="12" t="s">
        <v>201</v>
      </c>
      <c r="C3188" s="12" t="s">
        <v>123</v>
      </c>
      <c r="D3188" s="12" t="s">
        <v>209</v>
      </c>
      <c r="E3188" s="12" t="s">
        <v>110</v>
      </c>
      <c r="F3188" s="12" t="s">
        <v>114</v>
      </c>
      <c r="G3188" s="12" t="s">
        <v>51</v>
      </c>
      <c r="H3188" s="12" t="s">
        <v>1019</v>
      </c>
      <c r="I3188" s="12">
        <v>5</v>
      </c>
      <c r="J3188" s="12">
        <v>834.32</v>
      </c>
      <c r="K3188" s="12">
        <v>846.58</v>
      </c>
      <c r="L3188" s="12">
        <v>-4171.6000000000004</v>
      </c>
      <c r="M3188" s="12">
        <v>0</v>
      </c>
      <c r="N3188" s="12">
        <v>4171.6000000000004</v>
      </c>
      <c r="O3188" s="12">
        <v>0</v>
      </c>
      <c r="P3188" s="12">
        <v>61.3</v>
      </c>
      <c r="Q3188" s="12" t="s">
        <v>215</v>
      </c>
    </row>
    <row r="3189" spans="1:17" x14ac:dyDescent="0.3">
      <c r="A3189" s="12" t="s">
        <v>95</v>
      </c>
      <c r="B3189" s="12" t="s">
        <v>201</v>
      </c>
      <c r="C3189" s="12" t="s">
        <v>123</v>
      </c>
      <c r="D3189" s="12" t="s">
        <v>209</v>
      </c>
      <c r="E3189" s="12" t="s">
        <v>110</v>
      </c>
      <c r="F3189" s="12" t="s">
        <v>114</v>
      </c>
      <c r="G3189" s="12" t="s">
        <v>51</v>
      </c>
      <c r="H3189" s="12" t="s">
        <v>1020</v>
      </c>
      <c r="I3189" s="12">
        <v>5</v>
      </c>
      <c r="J3189" s="12">
        <v>873</v>
      </c>
      <c r="K3189" s="12">
        <v>876.96</v>
      </c>
      <c r="L3189" s="12">
        <v>-4365</v>
      </c>
      <c r="M3189" s="12">
        <v>0</v>
      </c>
      <c r="N3189" s="12">
        <v>4365</v>
      </c>
      <c r="O3189" s="12">
        <v>0</v>
      </c>
      <c r="P3189" s="12">
        <v>19.8</v>
      </c>
      <c r="Q3189" s="12" t="s">
        <v>215</v>
      </c>
    </row>
    <row r="3190" spans="1:17" x14ac:dyDescent="0.3">
      <c r="A3190" s="12" t="s">
        <v>95</v>
      </c>
      <c r="B3190" s="12" t="s">
        <v>201</v>
      </c>
      <c r="C3190" s="12" t="s">
        <v>123</v>
      </c>
      <c r="D3190" s="12" t="s">
        <v>209</v>
      </c>
      <c r="E3190" s="12" t="s">
        <v>110</v>
      </c>
      <c r="F3190" s="12" t="s">
        <v>114</v>
      </c>
      <c r="G3190" s="12" t="s">
        <v>51</v>
      </c>
      <c r="H3190" s="12" t="s">
        <v>1021</v>
      </c>
      <c r="I3190" s="12">
        <v>-10</v>
      </c>
      <c r="J3190" s="12">
        <v>821.62</v>
      </c>
      <c r="K3190" s="12">
        <v>816.31</v>
      </c>
      <c r="L3190" s="12">
        <v>8216.2000000000007</v>
      </c>
      <c r="M3190" s="12">
        <v>0</v>
      </c>
      <c r="N3190" s="12">
        <v>-8400.9</v>
      </c>
      <c r="O3190" s="12">
        <v>-184.7</v>
      </c>
      <c r="P3190" s="12">
        <v>53.1</v>
      </c>
      <c r="Q3190" s="12" t="s">
        <v>3</v>
      </c>
    </row>
    <row r="3191" spans="1:17" x14ac:dyDescent="0.3">
      <c r="A3191" s="12" t="s">
        <v>95</v>
      </c>
      <c r="B3191" s="12" t="s">
        <v>201</v>
      </c>
      <c r="C3191" s="12" t="s">
        <v>123</v>
      </c>
      <c r="D3191" s="12" t="s">
        <v>209</v>
      </c>
      <c r="E3191" s="12" t="s">
        <v>110</v>
      </c>
      <c r="F3191" s="12" t="s">
        <v>114</v>
      </c>
      <c r="G3191" s="12" t="s">
        <v>51</v>
      </c>
      <c r="H3191" s="12" t="s">
        <v>1022</v>
      </c>
      <c r="I3191" s="12">
        <v>-5</v>
      </c>
      <c r="J3191" s="12">
        <v>697</v>
      </c>
      <c r="K3191" s="12">
        <v>697.73</v>
      </c>
      <c r="L3191" s="12">
        <v>3485</v>
      </c>
      <c r="M3191" s="12">
        <v>0</v>
      </c>
      <c r="N3191" s="12">
        <v>-4171.6000000000004</v>
      </c>
      <c r="O3191" s="12">
        <v>-686.6</v>
      </c>
      <c r="P3191" s="12">
        <v>-3.65</v>
      </c>
      <c r="Q3191" s="12" t="s">
        <v>3</v>
      </c>
    </row>
    <row r="3192" spans="1:17" x14ac:dyDescent="0.3">
      <c r="A3192" s="12" t="s">
        <v>95</v>
      </c>
      <c r="B3192" s="12" t="s">
        <v>201</v>
      </c>
      <c r="C3192" s="12" t="s">
        <v>213</v>
      </c>
      <c r="E3192" s="12" t="s">
        <v>110</v>
      </c>
      <c r="F3192" s="12" t="s">
        <v>114</v>
      </c>
      <c r="G3192" s="12" t="s">
        <v>51</v>
      </c>
      <c r="I3192" s="12">
        <v>-5</v>
      </c>
      <c r="L3192" s="12">
        <v>3164.6</v>
      </c>
      <c r="M3192" s="12">
        <v>0</v>
      </c>
      <c r="N3192" s="12">
        <v>-4035.9</v>
      </c>
      <c r="O3192" s="12">
        <v>-871.3</v>
      </c>
      <c r="P3192" s="12">
        <v>130.55000000000001</v>
      </c>
    </row>
    <row r="3193" spans="1:17" x14ac:dyDescent="0.3">
      <c r="A3193" s="12" t="s">
        <v>95</v>
      </c>
      <c r="B3193" s="12" t="s">
        <v>201</v>
      </c>
      <c r="C3193" s="12" t="s">
        <v>123</v>
      </c>
      <c r="D3193" s="12" t="s">
        <v>209</v>
      </c>
      <c r="E3193" s="12" t="s">
        <v>110</v>
      </c>
      <c r="F3193" s="12" t="s">
        <v>114</v>
      </c>
      <c r="G3193" s="12" t="s">
        <v>83</v>
      </c>
      <c r="H3193" s="12" t="s">
        <v>1023</v>
      </c>
      <c r="I3193" s="12">
        <v>100</v>
      </c>
      <c r="J3193" s="12">
        <v>255.27</v>
      </c>
      <c r="K3193" s="12">
        <v>254.76</v>
      </c>
      <c r="L3193" s="12">
        <v>-25527</v>
      </c>
      <c r="M3193" s="12">
        <v>0</v>
      </c>
      <c r="N3193" s="12">
        <v>25527</v>
      </c>
      <c r="O3193" s="12">
        <v>0</v>
      </c>
      <c r="P3193" s="12">
        <v>-51</v>
      </c>
      <c r="Q3193" s="12" t="s">
        <v>211</v>
      </c>
    </row>
    <row r="3194" spans="1:17" x14ac:dyDescent="0.3">
      <c r="A3194" s="12" t="s">
        <v>95</v>
      </c>
      <c r="B3194" s="12" t="s">
        <v>201</v>
      </c>
      <c r="C3194" s="12" t="s">
        <v>123</v>
      </c>
      <c r="D3194" s="12" t="s">
        <v>209</v>
      </c>
      <c r="E3194" s="12" t="s">
        <v>110</v>
      </c>
      <c r="F3194" s="12" t="s">
        <v>114</v>
      </c>
      <c r="G3194" s="12" t="s">
        <v>83</v>
      </c>
      <c r="H3194" s="12" t="s">
        <v>1024</v>
      </c>
      <c r="I3194" s="12">
        <v>20</v>
      </c>
      <c r="J3194" s="12">
        <v>244.68</v>
      </c>
      <c r="K3194" s="12">
        <v>243.9</v>
      </c>
      <c r="L3194" s="12">
        <v>-4893.6000000000004</v>
      </c>
      <c r="M3194" s="12">
        <v>0</v>
      </c>
      <c r="N3194" s="12">
        <v>4893.6000000000004</v>
      </c>
      <c r="O3194" s="12">
        <v>0</v>
      </c>
      <c r="P3194" s="12">
        <v>-15.6</v>
      </c>
      <c r="Q3194" s="12" t="s">
        <v>211</v>
      </c>
    </row>
    <row r="3195" spans="1:17" x14ac:dyDescent="0.3">
      <c r="A3195" s="12" t="s">
        <v>95</v>
      </c>
      <c r="B3195" s="12" t="s">
        <v>201</v>
      </c>
      <c r="C3195" s="12" t="s">
        <v>213</v>
      </c>
      <c r="E3195" s="12" t="s">
        <v>110</v>
      </c>
      <c r="F3195" s="12" t="s">
        <v>114</v>
      </c>
      <c r="G3195" s="12" t="s">
        <v>83</v>
      </c>
      <c r="I3195" s="12">
        <v>120</v>
      </c>
      <c r="L3195" s="12">
        <v>-30420.6</v>
      </c>
      <c r="M3195" s="12">
        <v>0</v>
      </c>
      <c r="N3195" s="12">
        <v>30420.6</v>
      </c>
      <c r="O3195" s="12">
        <v>0</v>
      </c>
      <c r="P3195" s="12">
        <v>-66.599999999999994</v>
      </c>
    </row>
    <row r="3196" spans="1:17" x14ac:dyDescent="0.3">
      <c r="A3196" s="12" t="s">
        <v>95</v>
      </c>
      <c r="B3196" s="12" t="s">
        <v>201</v>
      </c>
      <c r="C3196" s="12" t="s">
        <v>123</v>
      </c>
      <c r="D3196" s="12" t="s">
        <v>209</v>
      </c>
      <c r="E3196" s="12" t="s">
        <v>110</v>
      </c>
      <c r="F3196" s="12" t="s">
        <v>114</v>
      </c>
      <c r="G3196" s="12" t="s">
        <v>77</v>
      </c>
      <c r="H3196" s="12" t="s">
        <v>1025</v>
      </c>
      <c r="I3196" s="12">
        <v>20</v>
      </c>
      <c r="J3196" s="12">
        <v>233.3</v>
      </c>
      <c r="K3196" s="12">
        <v>246.38</v>
      </c>
      <c r="L3196" s="12">
        <v>-4666</v>
      </c>
      <c r="M3196" s="12">
        <v>0</v>
      </c>
      <c r="N3196" s="12">
        <v>4666</v>
      </c>
      <c r="O3196" s="12">
        <v>0</v>
      </c>
      <c r="P3196" s="12">
        <v>261.60000000000002</v>
      </c>
      <c r="Q3196" s="12" t="s">
        <v>215</v>
      </c>
    </row>
    <row r="3197" spans="1:17" x14ac:dyDescent="0.3">
      <c r="A3197" s="12" t="s">
        <v>95</v>
      </c>
      <c r="B3197" s="12" t="s">
        <v>201</v>
      </c>
      <c r="C3197" s="12" t="s">
        <v>213</v>
      </c>
      <c r="E3197" s="12" t="s">
        <v>110</v>
      </c>
      <c r="F3197" s="12" t="s">
        <v>114</v>
      </c>
      <c r="G3197" s="12" t="s">
        <v>77</v>
      </c>
      <c r="I3197" s="12">
        <v>20</v>
      </c>
      <c r="L3197" s="12">
        <v>-4666</v>
      </c>
      <c r="M3197" s="12">
        <v>0</v>
      </c>
      <c r="N3197" s="12">
        <v>4666</v>
      </c>
      <c r="O3197" s="12">
        <v>0</v>
      </c>
      <c r="P3197" s="12">
        <v>261.60000000000002</v>
      </c>
    </row>
    <row r="3198" spans="1:17" x14ac:dyDescent="0.3">
      <c r="A3198" s="12" t="s">
        <v>95</v>
      </c>
      <c r="B3198" s="12" t="s">
        <v>201</v>
      </c>
      <c r="C3198" s="12" t="s">
        <v>123</v>
      </c>
      <c r="D3198" s="12" t="s">
        <v>209</v>
      </c>
      <c r="E3198" s="12" t="s">
        <v>110</v>
      </c>
      <c r="F3198" s="12" t="s">
        <v>114</v>
      </c>
      <c r="G3198" s="12" t="s">
        <v>78</v>
      </c>
      <c r="H3198" s="12" t="s">
        <v>1026</v>
      </c>
      <c r="I3198" s="12">
        <v>-15</v>
      </c>
      <c r="J3198" s="12">
        <v>203</v>
      </c>
      <c r="K3198" s="12">
        <v>205.88</v>
      </c>
      <c r="L3198" s="12">
        <v>3045</v>
      </c>
      <c r="M3198" s="12">
        <v>0</v>
      </c>
      <c r="N3198" s="12">
        <v>-2903.4</v>
      </c>
      <c r="O3198" s="12">
        <v>141.6</v>
      </c>
      <c r="P3198" s="12">
        <v>-43.2</v>
      </c>
      <c r="Q3198" s="12" t="s">
        <v>230</v>
      </c>
    </row>
    <row r="3199" spans="1:17" x14ac:dyDescent="0.3">
      <c r="A3199" s="12" t="s">
        <v>95</v>
      </c>
      <c r="B3199" s="12" t="s">
        <v>201</v>
      </c>
      <c r="C3199" s="12" t="s">
        <v>123</v>
      </c>
      <c r="D3199" s="12" t="s">
        <v>209</v>
      </c>
      <c r="E3199" s="12" t="s">
        <v>110</v>
      </c>
      <c r="F3199" s="12" t="s">
        <v>114</v>
      </c>
      <c r="G3199" s="12" t="s">
        <v>78</v>
      </c>
      <c r="H3199" s="12" t="s">
        <v>1027</v>
      </c>
      <c r="I3199" s="12">
        <v>15</v>
      </c>
      <c r="J3199" s="12">
        <v>201.5</v>
      </c>
      <c r="K3199" s="12">
        <v>198.28</v>
      </c>
      <c r="L3199" s="12">
        <v>-3022.5</v>
      </c>
      <c r="M3199" s="12">
        <v>0</v>
      </c>
      <c r="N3199" s="12">
        <v>3022.5</v>
      </c>
      <c r="O3199" s="12">
        <v>0</v>
      </c>
      <c r="P3199" s="12">
        <v>-48.3</v>
      </c>
      <c r="Q3199" s="12" t="s">
        <v>215</v>
      </c>
    </row>
    <row r="3200" spans="1:17" x14ac:dyDescent="0.3">
      <c r="A3200" s="12" t="s">
        <v>95</v>
      </c>
      <c r="B3200" s="12" t="s">
        <v>201</v>
      </c>
      <c r="C3200" s="12" t="s">
        <v>213</v>
      </c>
      <c r="E3200" s="12" t="s">
        <v>110</v>
      </c>
      <c r="F3200" s="12" t="s">
        <v>114</v>
      </c>
      <c r="G3200" s="12" t="s">
        <v>78</v>
      </c>
      <c r="I3200" s="12">
        <v>0</v>
      </c>
      <c r="L3200" s="12">
        <v>22.5</v>
      </c>
      <c r="M3200" s="12">
        <v>0</v>
      </c>
      <c r="N3200" s="12">
        <v>119.1</v>
      </c>
      <c r="O3200" s="12">
        <v>141.6</v>
      </c>
      <c r="P3200" s="12">
        <v>-91.5</v>
      </c>
    </row>
    <row r="3201" spans="1:17" x14ac:dyDescent="0.3">
      <c r="A3201" s="12" t="s">
        <v>95</v>
      </c>
      <c r="B3201" s="12" t="s">
        <v>201</v>
      </c>
      <c r="C3201" s="12" t="s">
        <v>123</v>
      </c>
      <c r="D3201" s="12" t="s">
        <v>209</v>
      </c>
      <c r="E3201" s="12" t="s">
        <v>110</v>
      </c>
      <c r="F3201" s="12" t="s">
        <v>114</v>
      </c>
      <c r="G3201" s="12" t="s">
        <v>84</v>
      </c>
      <c r="H3201" s="12" t="s">
        <v>1028</v>
      </c>
      <c r="I3201" s="12">
        <v>90</v>
      </c>
      <c r="J3201" s="12">
        <v>185.51</v>
      </c>
      <c r="K3201" s="12">
        <v>181.3</v>
      </c>
      <c r="L3201" s="12">
        <v>-16695.900000000001</v>
      </c>
      <c r="M3201" s="12">
        <v>0</v>
      </c>
      <c r="N3201" s="12">
        <v>16695.900000000001</v>
      </c>
      <c r="O3201" s="12">
        <v>0</v>
      </c>
      <c r="P3201" s="12">
        <v>-378.9</v>
      </c>
      <c r="Q3201" s="12" t="s">
        <v>211</v>
      </c>
    </row>
    <row r="3202" spans="1:17" x14ac:dyDescent="0.3">
      <c r="A3202" s="12" t="s">
        <v>95</v>
      </c>
      <c r="B3202" s="12" t="s">
        <v>201</v>
      </c>
      <c r="C3202" s="12" t="s">
        <v>213</v>
      </c>
      <c r="E3202" s="12" t="s">
        <v>110</v>
      </c>
      <c r="F3202" s="12" t="s">
        <v>114</v>
      </c>
      <c r="G3202" s="12" t="s">
        <v>84</v>
      </c>
      <c r="I3202" s="12">
        <v>90</v>
      </c>
      <c r="L3202" s="12">
        <v>-16695.900000000001</v>
      </c>
      <c r="M3202" s="12">
        <v>0</v>
      </c>
      <c r="N3202" s="12">
        <v>16695.900000000001</v>
      </c>
      <c r="O3202" s="12">
        <v>0</v>
      </c>
      <c r="P3202" s="12">
        <v>-378.9</v>
      </c>
    </row>
    <row r="3203" spans="1:17" x14ac:dyDescent="0.3">
      <c r="A3203" s="12" t="s">
        <v>95</v>
      </c>
      <c r="B3203" s="12" t="s">
        <v>201</v>
      </c>
      <c r="C3203" s="12" t="s">
        <v>123</v>
      </c>
      <c r="D3203" s="12" t="s">
        <v>209</v>
      </c>
      <c r="E3203" s="12" t="s">
        <v>110</v>
      </c>
      <c r="F3203" s="12" t="s">
        <v>114</v>
      </c>
      <c r="G3203" s="12" t="s">
        <v>35</v>
      </c>
      <c r="H3203" s="12" t="s">
        <v>1029</v>
      </c>
      <c r="I3203" s="12">
        <v>-50</v>
      </c>
      <c r="J3203" s="12">
        <v>117.75</v>
      </c>
      <c r="K3203" s="12">
        <v>117.64</v>
      </c>
      <c r="L3203" s="12">
        <v>5887.5</v>
      </c>
      <c r="M3203" s="12">
        <v>0</v>
      </c>
      <c r="N3203" s="12">
        <v>-5925</v>
      </c>
      <c r="O3203" s="12">
        <v>-37.5</v>
      </c>
      <c r="P3203" s="12">
        <v>5.5</v>
      </c>
      <c r="Q3203" s="12" t="s">
        <v>3</v>
      </c>
    </row>
    <row r="3204" spans="1:17" x14ac:dyDescent="0.3">
      <c r="A3204" s="12" t="s">
        <v>95</v>
      </c>
      <c r="B3204" s="12" t="s">
        <v>201</v>
      </c>
      <c r="C3204" s="12" t="s">
        <v>213</v>
      </c>
      <c r="E3204" s="12" t="s">
        <v>110</v>
      </c>
      <c r="F3204" s="12" t="s">
        <v>114</v>
      </c>
      <c r="G3204" s="12" t="s">
        <v>35</v>
      </c>
      <c r="I3204" s="12">
        <v>-50</v>
      </c>
      <c r="L3204" s="12">
        <v>5887.5</v>
      </c>
      <c r="M3204" s="12">
        <v>0</v>
      </c>
      <c r="N3204" s="12">
        <v>-5925</v>
      </c>
      <c r="O3204" s="12">
        <v>-37.5</v>
      </c>
      <c r="P3204" s="12">
        <v>5.5</v>
      </c>
    </row>
    <row r="3205" spans="1:17" x14ac:dyDescent="0.3">
      <c r="A3205" s="12" t="s">
        <v>95</v>
      </c>
      <c r="B3205" s="12" t="s">
        <v>201</v>
      </c>
      <c r="C3205" s="12" t="s">
        <v>97</v>
      </c>
      <c r="E3205" s="12" t="s">
        <v>110</v>
      </c>
      <c r="F3205" s="12" t="s">
        <v>114</v>
      </c>
      <c r="L3205" s="12">
        <v>2796.11</v>
      </c>
      <c r="M3205" s="12">
        <v>0</v>
      </c>
      <c r="N3205" s="12">
        <v>1230.0724090000001</v>
      </c>
      <c r="O3205" s="12">
        <v>4026.182409</v>
      </c>
      <c r="P3205" s="12">
        <v>-337.96</v>
      </c>
      <c r="Q3205" s="12" t="s">
        <v>257</v>
      </c>
    </row>
    <row r="3206" spans="1:17" x14ac:dyDescent="0.3">
      <c r="A3206" s="12" t="s">
        <v>95</v>
      </c>
      <c r="B3206" s="12" t="s">
        <v>201</v>
      </c>
      <c r="C3206" s="12" t="s">
        <v>120</v>
      </c>
      <c r="D3206" s="12" t="s">
        <v>192</v>
      </c>
      <c r="E3206" s="12" t="s">
        <v>100</v>
      </c>
      <c r="F3206" s="12" t="s">
        <v>181</v>
      </c>
      <c r="G3206" s="12" t="s">
        <v>0</v>
      </c>
      <c r="H3206" s="12" t="s">
        <v>202</v>
      </c>
      <c r="I3206" s="12" t="s">
        <v>193</v>
      </c>
      <c r="J3206" s="12" t="s">
        <v>203</v>
      </c>
      <c r="K3206" s="12" t="s">
        <v>204</v>
      </c>
      <c r="L3206" s="12" t="s">
        <v>258</v>
      </c>
      <c r="M3206" s="12" t="s">
        <v>206</v>
      </c>
      <c r="N3206" s="12" t="s">
        <v>1</v>
      </c>
      <c r="O3206" s="12" t="s">
        <v>207</v>
      </c>
      <c r="P3206" s="12" t="s">
        <v>208</v>
      </c>
      <c r="Q3206" s="12" t="s">
        <v>165</v>
      </c>
    </row>
    <row r="3207" spans="1:17" x14ac:dyDescent="0.3">
      <c r="A3207" s="12" t="s">
        <v>95</v>
      </c>
      <c r="B3207" s="12" t="s">
        <v>201</v>
      </c>
      <c r="C3207" s="12" t="s">
        <v>123</v>
      </c>
      <c r="D3207" s="12" t="s">
        <v>209</v>
      </c>
      <c r="E3207" s="12" t="s">
        <v>112</v>
      </c>
      <c r="F3207" s="12" t="s">
        <v>114</v>
      </c>
      <c r="G3207" s="12" t="s">
        <v>80</v>
      </c>
      <c r="H3207" s="12" t="s">
        <v>1030</v>
      </c>
      <c r="I3207" s="12">
        <v>1</v>
      </c>
      <c r="J3207" s="12">
        <v>5695.25</v>
      </c>
      <c r="K3207" s="12">
        <v>5683</v>
      </c>
      <c r="L3207" s="12">
        <v>-28476.25</v>
      </c>
      <c r="M3207" s="12">
        <v>0</v>
      </c>
      <c r="N3207" s="12">
        <v>27821.25</v>
      </c>
      <c r="O3207" s="12">
        <v>-655</v>
      </c>
      <c r="P3207" s="12">
        <v>-61.25</v>
      </c>
      <c r="Q3207" s="12" t="s">
        <v>3</v>
      </c>
    </row>
    <row r="3208" spans="1:17" x14ac:dyDescent="0.3">
      <c r="A3208" s="12" t="s">
        <v>95</v>
      </c>
      <c r="B3208" s="12" t="s">
        <v>201</v>
      </c>
      <c r="C3208" s="12" t="s">
        <v>123</v>
      </c>
      <c r="D3208" s="12" t="s">
        <v>209</v>
      </c>
      <c r="E3208" s="12" t="s">
        <v>112</v>
      </c>
      <c r="F3208" s="12" t="s">
        <v>114</v>
      </c>
      <c r="G3208" s="12" t="s">
        <v>80</v>
      </c>
      <c r="H3208" s="12" t="s">
        <v>1031</v>
      </c>
      <c r="I3208" s="12">
        <v>3</v>
      </c>
      <c r="J3208" s="12">
        <v>5458.5</v>
      </c>
      <c r="K3208" s="12">
        <v>5441.25</v>
      </c>
      <c r="L3208" s="12">
        <v>-81877.5</v>
      </c>
      <c r="M3208" s="12">
        <v>0</v>
      </c>
      <c r="N3208" s="12">
        <v>83463.75</v>
      </c>
      <c r="O3208" s="12">
        <v>1586.25</v>
      </c>
      <c r="P3208" s="12">
        <v>-258.75</v>
      </c>
      <c r="Q3208" s="12" t="s">
        <v>3</v>
      </c>
    </row>
    <row r="3209" spans="1:17" x14ac:dyDescent="0.3">
      <c r="A3209" s="12" t="s">
        <v>95</v>
      </c>
      <c r="B3209" s="12" t="s">
        <v>201</v>
      </c>
      <c r="C3209" s="12" t="s">
        <v>123</v>
      </c>
      <c r="D3209" s="12" t="s">
        <v>209</v>
      </c>
      <c r="E3209" s="12" t="s">
        <v>112</v>
      </c>
      <c r="F3209" s="12" t="s">
        <v>114</v>
      </c>
      <c r="G3209" s="12" t="s">
        <v>80</v>
      </c>
      <c r="H3209" s="12" t="s">
        <v>1032</v>
      </c>
      <c r="I3209" s="12">
        <v>1</v>
      </c>
      <c r="J3209" s="12">
        <v>5488.5</v>
      </c>
      <c r="K3209" s="12">
        <v>5441.25</v>
      </c>
      <c r="L3209" s="12">
        <v>-27442.5</v>
      </c>
      <c r="M3209" s="12">
        <v>0</v>
      </c>
      <c r="N3209" s="12">
        <v>27821.25</v>
      </c>
      <c r="O3209" s="12">
        <v>378.75</v>
      </c>
      <c r="P3209" s="12">
        <v>-236.25</v>
      </c>
      <c r="Q3209" s="12" t="s">
        <v>3</v>
      </c>
    </row>
    <row r="3210" spans="1:17" x14ac:dyDescent="0.3">
      <c r="A3210" s="12" t="s">
        <v>95</v>
      </c>
      <c r="B3210" s="12" t="s">
        <v>201</v>
      </c>
      <c r="C3210" s="12" t="s">
        <v>123</v>
      </c>
      <c r="D3210" s="12" t="s">
        <v>209</v>
      </c>
      <c r="E3210" s="12" t="s">
        <v>112</v>
      </c>
      <c r="F3210" s="12" t="s">
        <v>114</v>
      </c>
      <c r="G3210" s="12" t="s">
        <v>80</v>
      </c>
      <c r="H3210" s="12" t="s">
        <v>1033</v>
      </c>
      <c r="I3210" s="12">
        <v>1</v>
      </c>
      <c r="J3210" s="12">
        <v>5503</v>
      </c>
      <c r="K3210" s="12">
        <v>5503</v>
      </c>
      <c r="L3210" s="12">
        <v>-27515</v>
      </c>
      <c r="M3210" s="12">
        <v>0</v>
      </c>
      <c r="N3210" s="12">
        <v>27821.25</v>
      </c>
      <c r="O3210" s="12">
        <v>306.25</v>
      </c>
      <c r="P3210" s="12">
        <v>0</v>
      </c>
      <c r="Q3210" s="12" t="s">
        <v>3</v>
      </c>
    </row>
    <row r="3211" spans="1:17" x14ac:dyDescent="0.3">
      <c r="A3211" s="12" t="s">
        <v>95</v>
      </c>
      <c r="B3211" s="12" t="s">
        <v>201</v>
      </c>
      <c r="C3211" s="12" t="s">
        <v>213</v>
      </c>
      <c r="E3211" s="12" t="s">
        <v>112</v>
      </c>
      <c r="F3211" s="12" t="s">
        <v>114</v>
      </c>
      <c r="G3211" s="12" t="s">
        <v>80</v>
      </c>
      <c r="I3211" s="12">
        <v>6</v>
      </c>
      <c r="L3211" s="12">
        <v>-165311.25</v>
      </c>
      <c r="M3211" s="12">
        <v>0</v>
      </c>
      <c r="N3211" s="12">
        <v>166927.5</v>
      </c>
      <c r="O3211" s="12">
        <v>1616.25</v>
      </c>
      <c r="P3211" s="12">
        <v>-556.25</v>
      </c>
    </row>
    <row r="3212" spans="1:17" x14ac:dyDescent="0.3">
      <c r="A3212" s="12" t="s">
        <v>95</v>
      </c>
      <c r="B3212" s="12" t="s">
        <v>201</v>
      </c>
      <c r="C3212" s="12" t="s">
        <v>123</v>
      </c>
      <c r="D3212" s="12" t="s">
        <v>209</v>
      </c>
      <c r="E3212" s="12" t="s">
        <v>112</v>
      </c>
      <c r="F3212" s="12" t="s">
        <v>114</v>
      </c>
      <c r="G3212" s="12" t="s">
        <v>81</v>
      </c>
      <c r="H3212" s="12" t="s">
        <v>1034</v>
      </c>
      <c r="I3212" s="12">
        <v>-1</v>
      </c>
      <c r="J3212" s="12">
        <v>19188.25</v>
      </c>
      <c r="K3212" s="12">
        <v>18992.25</v>
      </c>
      <c r="L3212" s="12">
        <v>38376.5</v>
      </c>
      <c r="M3212" s="12">
        <v>0</v>
      </c>
      <c r="N3212" s="12">
        <v>-38376.5</v>
      </c>
      <c r="O3212" s="12">
        <v>0</v>
      </c>
      <c r="P3212" s="12">
        <v>392</v>
      </c>
      <c r="Q3212" s="12" t="s">
        <v>215</v>
      </c>
    </row>
    <row r="3213" spans="1:17" x14ac:dyDescent="0.3">
      <c r="A3213" s="12" t="s">
        <v>95</v>
      </c>
      <c r="B3213" s="12" t="s">
        <v>201</v>
      </c>
      <c r="C3213" s="12" t="s">
        <v>123</v>
      </c>
      <c r="D3213" s="12" t="s">
        <v>209</v>
      </c>
      <c r="E3213" s="12" t="s">
        <v>112</v>
      </c>
      <c r="F3213" s="12" t="s">
        <v>114</v>
      </c>
      <c r="G3213" s="12" t="s">
        <v>81</v>
      </c>
      <c r="H3213" s="12" t="s">
        <v>1035</v>
      </c>
      <c r="I3213" s="12">
        <v>-2</v>
      </c>
      <c r="J3213" s="12">
        <v>19125</v>
      </c>
      <c r="K3213" s="12">
        <v>18992.25</v>
      </c>
      <c r="L3213" s="12">
        <v>76500</v>
      </c>
      <c r="M3213" s="12">
        <v>0</v>
      </c>
      <c r="N3213" s="12">
        <v>-76500</v>
      </c>
      <c r="O3213" s="12">
        <v>0</v>
      </c>
      <c r="P3213" s="12">
        <v>531</v>
      </c>
      <c r="Q3213" s="12" t="s">
        <v>215</v>
      </c>
    </row>
    <row r="3214" spans="1:17" x14ac:dyDescent="0.3">
      <c r="A3214" s="12" t="s">
        <v>95</v>
      </c>
      <c r="B3214" s="12" t="s">
        <v>201</v>
      </c>
      <c r="C3214" s="12" t="s">
        <v>123</v>
      </c>
      <c r="D3214" s="12" t="s">
        <v>209</v>
      </c>
      <c r="E3214" s="12" t="s">
        <v>112</v>
      </c>
      <c r="F3214" s="12" t="s">
        <v>114</v>
      </c>
      <c r="G3214" s="12" t="s">
        <v>81</v>
      </c>
      <c r="H3214" s="12" t="s">
        <v>1036</v>
      </c>
      <c r="I3214" s="12">
        <v>-1</v>
      </c>
      <c r="J3214" s="12">
        <v>18916.75</v>
      </c>
      <c r="K3214" s="12">
        <v>18992.25</v>
      </c>
      <c r="L3214" s="12">
        <v>37833.5</v>
      </c>
      <c r="M3214" s="12">
        <v>0</v>
      </c>
      <c r="N3214" s="12">
        <v>-37833.5</v>
      </c>
      <c r="O3214" s="12">
        <v>0</v>
      </c>
      <c r="P3214" s="12">
        <v>-151</v>
      </c>
      <c r="Q3214" s="12" t="s">
        <v>215</v>
      </c>
    </row>
    <row r="3215" spans="1:17" x14ac:dyDescent="0.3">
      <c r="A3215" s="12" t="s">
        <v>95</v>
      </c>
      <c r="B3215" s="12" t="s">
        <v>201</v>
      </c>
      <c r="C3215" s="12" t="s">
        <v>123</v>
      </c>
      <c r="D3215" s="12" t="s">
        <v>209</v>
      </c>
      <c r="E3215" s="12" t="s">
        <v>112</v>
      </c>
      <c r="F3215" s="12" t="s">
        <v>114</v>
      </c>
      <c r="G3215" s="12" t="s">
        <v>81</v>
      </c>
      <c r="H3215" s="12" t="s">
        <v>1037</v>
      </c>
      <c r="I3215" s="12">
        <v>1</v>
      </c>
      <c r="J3215" s="12">
        <v>19208.5</v>
      </c>
      <c r="K3215" s="12">
        <v>19174.5</v>
      </c>
      <c r="L3215" s="12">
        <v>-38417</v>
      </c>
      <c r="M3215" s="12">
        <v>0</v>
      </c>
      <c r="N3215" s="12">
        <v>40398</v>
      </c>
      <c r="O3215" s="12">
        <v>1981</v>
      </c>
      <c r="P3215" s="12">
        <v>-68</v>
      </c>
      <c r="Q3215" s="12" t="s">
        <v>3</v>
      </c>
    </row>
    <row r="3216" spans="1:17" x14ac:dyDescent="0.3">
      <c r="A3216" s="12" t="s">
        <v>95</v>
      </c>
      <c r="B3216" s="12" t="s">
        <v>201</v>
      </c>
      <c r="C3216" s="12" t="s">
        <v>123</v>
      </c>
      <c r="D3216" s="12" t="s">
        <v>209</v>
      </c>
      <c r="E3216" s="12" t="s">
        <v>112</v>
      </c>
      <c r="F3216" s="12" t="s">
        <v>114</v>
      </c>
      <c r="G3216" s="12" t="s">
        <v>81</v>
      </c>
      <c r="H3216" s="12" t="s">
        <v>1038</v>
      </c>
      <c r="I3216" s="12">
        <v>-1</v>
      </c>
      <c r="J3216" s="12">
        <v>19154.5</v>
      </c>
      <c r="K3216" s="12">
        <v>19174.5</v>
      </c>
      <c r="L3216" s="12">
        <v>38309</v>
      </c>
      <c r="M3216" s="12">
        <v>0</v>
      </c>
      <c r="N3216" s="12">
        <v>-38309</v>
      </c>
      <c r="O3216" s="12">
        <v>0</v>
      </c>
      <c r="P3216" s="12">
        <v>-40</v>
      </c>
      <c r="Q3216" s="12" t="s">
        <v>215</v>
      </c>
    </row>
    <row r="3217" spans="1:17" x14ac:dyDescent="0.3">
      <c r="A3217" s="12" t="s">
        <v>95</v>
      </c>
      <c r="B3217" s="12" t="s">
        <v>201</v>
      </c>
      <c r="C3217" s="12" t="s">
        <v>213</v>
      </c>
      <c r="E3217" s="12" t="s">
        <v>112</v>
      </c>
      <c r="F3217" s="12" t="s">
        <v>114</v>
      </c>
      <c r="G3217" s="12" t="s">
        <v>81</v>
      </c>
      <c r="I3217" s="12">
        <v>-4</v>
      </c>
      <c r="L3217" s="12">
        <v>152602</v>
      </c>
      <c r="M3217" s="12">
        <v>0</v>
      </c>
      <c r="N3217" s="12">
        <v>-150621</v>
      </c>
      <c r="O3217" s="12">
        <v>1981</v>
      </c>
      <c r="P3217" s="12">
        <v>664</v>
      </c>
    </row>
    <row r="3218" spans="1:17" x14ac:dyDescent="0.3">
      <c r="A3218" s="12" t="s">
        <v>95</v>
      </c>
      <c r="B3218" s="12" t="s">
        <v>201</v>
      </c>
      <c r="C3218" s="12" t="s">
        <v>97</v>
      </c>
      <c r="E3218" s="12" t="s">
        <v>112</v>
      </c>
      <c r="F3218" s="12" t="s">
        <v>114</v>
      </c>
      <c r="L3218" s="12">
        <v>-12709.25</v>
      </c>
      <c r="M3218" s="12">
        <v>0</v>
      </c>
      <c r="N3218" s="12">
        <v>16306.5</v>
      </c>
      <c r="O3218" s="12">
        <v>3597.25</v>
      </c>
      <c r="P3218" s="12">
        <v>107.75</v>
      </c>
      <c r="Q3218" s="12" t="s">
        <v>257</v>
      </c>
    </row>
    <row r="3219" spans="1:17" x14ac:dyDescent="0.3">
      <c r="A3219" s="12" t="s">
        <v>95</v>
      </c>
      <c r="B3219" s="12" t="s">
        <v>746</v>
      </c>
      <c r="C3219" s="12" t="s">
        <v>120</v>
      </c>
      <c r="D3219" s="12" t="s">
        <v>100</v>
      </c>
      <c r="E3219" s="12" t="s">
        <v>181</v>
      </c>
      <c r="F3219" s="12" t="s">
        <v>747</v>
      </c>
      <c r="G3219" s="12" t="s">
        <v>202</v>
      </c>
      <c r="H3219" s="12" t="s">
        <v>269</v>
      </c>
      <c r="I3219" s="12" t="s">
        <v>193</v>
      </c>
      <c r="J3219" s="12" t="s">
        <v>205</v>
      </c>
      <c r="K3219" s="12" t="s">
        <v>198</v>
      </c>
      <c r="L3219" s="12" t="s">
        <v>207</v>
      </c>
      <c r="M3219" s="12" t="s">
        <v>165</v>
      </c>
    </row>
    <row r="3220" spans="1:17" x14ac:dyDescent="0.3">
      <c r="A3220" s="12" t="s">
        <v>95</v>
      </c>
      <c r="B3220" s="12" t="s">
        <v>746</v>
      </c>
      <c r="C3220" s="12" t="s">
        <v>123</v>
      </c>
      <c r="D3220" s="12" t="s">
        <v>110</v>
      </c>
      <c r="E3220" s="12" t="s">
        <v>114</v>
      </c>
      <c r="F3220" s="20">
        <v>45488</v>
      </c>
      <c r="G3220" s="12" t="s">
        <v>1039</v>
      </c>
      <c r="H3220" s="12" t="s">
        <v>1040</v>
      </c>
      <c r="I3220" s="12">
        <v>63</v>
      </c>
      <c r="J3220" s="12">
        <v>0</v>
      </c>
      <c r="K3220" s="12">
        <v>0</v>
      </c>
      <c r="L3220" s="12">
        <v>0</v>
      </c>
    </row>
    <row r="3221" spans="1:17" x14ac:dyDescent="0.3">
      <c r="A3221" s="12" t="s">
        <v>95</v>
      </c>
      <c r="B3221" s="12" t="s">
        <v>746</v>
      </c>
      <c r="C3221" s="12" t="s">
        <v>123</v>
      </c>
      <c r="D3221" s="12" t="s">
        <v>97</v>
      </c>
      <c r="J3221" s="12">
        <v>0</v>
      </c>
      <c r="K3221" s="12">
        <v>0</v>
      </c>
      <c r="L3221" s="12">
        <v>0</v>
      </c>
    </row>
    <row r="3222" spans="1:17" x14ac:dyDescent="0.3">
      <c r="A3222" s="12" t="s">
        <v>95</v>
      </c>
      <c r="B3222" s="12" t="s">
        <v>157</v>
      </c>
      <c r="C3222" s="12" t="s">
        <v>120</v>
      </c>
      <c r="D3222" s="12" t="s">
        <v>181</v>
      </c>
      <c r="E3222" s="12" t="s">
        <v>268</v>
      </c>
      <c r="F3222" s="12" t="s">
        <v>269</v>
      </c>
      <c r="G3222" s="12" t="s">
        <v>270</v>
      </c>
    </row>
    <row r="3223" spans="1:17" x14ac:dyDescent="0.3">
      <c r="A3223" s="12" t="s">
        <v>95</v>
      </c>
      <c r="B3223" s="12" t="s">
        <v>157</v>
      </c>
      <c r="C3223" s="12" t="s">
        <v>123</v>
      </c>
      <c r="D3223" s="12" t="s">
        <v>114</v>
      </c>
      <c r="E3223" s="20">
        <v>45471</v>
      </c>
      <c r="F3223" s="12" t="s">
        <v>1041</v>
      </c>
      <c r="G3223" s="12">
        <v>9.9</v>
      </c>
    </row>
    <row r="3224" spans="1:17" x14ac:dyDescent="0.3">
      <c r="A3224" s="12" t="s">
        <v>95</v>
      </c>
      <c r="B3224" s="12" t="s">
        <v>157</v>
      </c>
      <c r="C3224" s="12" t="s">
        <v>123</v>
      </c>
      <c r="D3224" s="12" t="s">
        <v>114</v>
      </c>
      <c r="E3224" s="20">
        <v>45474</v>
      </c>
      <c r="F3224" s="12" t="s">
        <v>1042</v>
      </c>
      <c r="G3224" s="12">
        <v>33.950000000000003</v>
      </c>
    </row>
    <row r="3225" spans="1:17" x14ac:dyDescent="0.3">
      <c r="A3225" s="12" t="s">
        <v>95</v>
      </c>
      <c r="B3225" s="12" t="s">
        <v>157</v>
      </c>
      <c r="C3225" s="12" t="s">
        <v>123</v>
      </c>
      <c r="D3225" s="12" t="s">
        <v>114</v>
      </c>
      <c r="E3225" s="20">
        <v>45483</v>
      </c>
      <c r="F3225" s="12" t="s">
        <v>1043</v>
      </c>
      <c r="G3225" s="12">
        <v>7.7</v>
      </c>
    </row>
    <row r="3226" spans="1:17" x14ac:dyDescent="0.3">
      <c r="A3226" s="12" t="s">
        <v>95</v>
      </c>
      <c r="B3226" s="12" t="s">
        <v>157</v>
      </c>
      <c r="C3226" s="12" t="s">
        <v>123</v>
      </c>
      <c r="D3226" s="12" t="s">
        <v>114</v>
      </c>
      <c r="E3226" s="20">
        <v>45485</v>
      </c>
      <c r="F3226" s="12" t="s">
        <v>1044</v>
      </c>
      <c r="G3226" s="12">
        <v>35.64</v>
      </c>
    </row>
    <row r="3227" spans="1:17" x14ac:dyDescent="0.3">
      <c r="A3227" s="12" t="s">
        <v>95</v>
      </c>
      <c r="B3227" s="12" t="s">
        <v>157</v>
      </c>
      <c r="C3227" s="12" t="s">
        <v>123</v>
      </c>
      <c r="D3227" s="12" t="s">
        <v>114</v>
      </c>
      <c r="E3227" s="20">
        <v>45485</v>
      </c>
      <c r="F3227" s="12" t="s">
        <v>1045</v>
      </c>
      <c r="G3227" s="12">
        <v>0.9</v>
      </c>
    </row>
    <row r="3228" spans="1:17" x14ac:dyDescent="0.3">
      <c r="A3228" s="12" t="s">
        <v>95</v>
      </c>
      <c r="B3228" s="12" t="s">
        <v>157</v>
      </c>
      <c r="C3228" s="12" t="s">
        <v>123</v>
      </c>
      <c r="D3228" s="12" t="s">
        <v>114</v>
      </c>
      <c r="E3228" s="20">
        <v>45496</v>
      </c>
      <c r="F3228" s="12" t="s">
        <v>1046</v>
      </c>
      <c r="G3228" s="12">
        <v>9.1999999999999993</v>
      </c>
    </row>
    <row r="3229" spans="1:17" x14ac:dyDescent="0.3">
      <c r="A3229" s="12" t="s">
        <v>95</v>
      </c>
      <c r="B3229" s="12" t="s">
        <v>157</v>
      </c>
      <c r="C3229" s="12" t="s">
        <v>123</v>
      </c>
      <c r="D3229" s="12" t="s">
        <v>114</v>
      </c>
      <c r="E3229" s="20">
        <v>45498</v>
      </c>
      <c r="F3229" s="12" t="s">
        <v>753</v>
      </c>
      <c r="G3229" s="12">
        <v>12.6</v>
      </c>
    </row>
    <row r="3230" spans="1:17" x14ac:dyDescent="0.3">
      <c r="A3230" s="12" t="s">
        <v>95</v>
      </c>
      <c r="B3230" s="12" t="s">
        <v>157</v>
      </c>
      <c r="C3230" s="12" t="s">
        <v>123</v>
      </c>
      <c r="D3230" s="12" t="s">
        <v>114</v>
      </c>
      <c r="E3230" s="20">
        <v>45499</v>
      </c>
      <c r="F3230" s="12" t="s">
        <v>1047</v>
      </c>
      <c r="G3230" s="12">
        <v>8.1</v>
      </c>
    </row>
    <row r="3231" spans="1:17" x14ac:dyDescent="0.3">
      <c r="A3231" s="12" t="s">
        <v>95</v>
      </c>
      <c r="B3231" s="12" t="s">
        <v>157</v>
      </c>
      <c r="C3231" s="12" t="s">
        <v>123</v>
      </c>
      <c r="D3231" s="12" t="s">
        <v>114</v>
      </c>
      <c r="E3231" s="20">
        <v>45504</v>
      </c>
      <c r="F3231" s="12" t="s">
        <v>1048</v>
      </c>
      <c r="G3231" s="12">
        <v>28.75</v>
      </c>
    </row>
    <row r="3232" spans="1:17" x14ac:dyDescent="0.3">
      <c r="A3232" s="12" t="s">
        <v>95</v>
      </c>
      <c r="B3232" s="12" t="s">
        <v>157</v>
      </c>
      <c r="C3232" s="12" t="s">
        <v>123</v>
      </c>
      <c r="D3232" s="12" t="s">
        <v>97</v>
      </c>
      <c r="G3232" s="12">
        <v>146.74</v>
      </c>
    </row>
    <row r="3233" spans="1:8" x14ac:dyDescent="0.3">
      <c r="A3233" s="12" t="s">
        <v>95</v>
      </c>
      <c r="B3233" s="12" t="s">
        <v>158</v>
      </c>
      <c r="C3233" s="12" t="s">
        <v>120</v>
      </c>
      <c r="D3233" s="12" t="s">
        <v>181</v>
      </c>
      <c r="E3233" s="12" t="s">
        <v>268</v>
      </c>
      <c r="F3233" s="12" t="s">
        <v>269</v>
      </c>
      <c r="G3233" s="12" t="s">
        <v>270</v>
      </c>
      <c r="H3233" s="12" t="s">
        <v>165</v>
      </c>
    </row>
    <row r="3234" spans="1:8" x14ac:dyDescent="0.3">
      <c r="A3234" s="12" t="s">
        <v>95</v>
      </c>
      <c r="B3234" s="12" t="s">
        <v>158</v>
      </c>
      <c r="C3234" s="12" t="s">
        <v>123</v>
      </c>
      <c r="D3234" s="12" t="s">
        <v>114</v>
      </c>
      <c r="E3234" s="20">
        <v>45471</v>
      </c>
      <c r="F3234" s="12" t="s">
        <v>1049</v>
      </c>
      <c r="G3234" s="12">
        <v>-2.48</v>
      </c>
    </row>
    <row r="3235" spans="1:8" x14ac:dyDescent="0.3">
      <c r="A3235" s="12" t="s">
        <v>95</v>
      </c>
      <c r="B3235" s="12" t="s">
        <v>158</v>
      </c>
      <c r="C3235" s="12" t="s">
        <v>123</v>
      </c>
      <c r="D3235" s="12" t="s">
        <v>114</v>
      </c>
      <c r="E3235" s="20">
        <v>45474</v>
      </c>
      <c r="F3235" s="12" t="s">
        <v>1050</v>
      </c>
      <c r="G3235" s="12">
        <v>-8.49</v>
      </c>
    </row>
    <row r="3236" spans="1:8" x14ac:dyDescent="0.3">
      <c r="A3236" s="12" t="s">
        <v>95</v>
      </c>
      <c r="B3236" s="12" t="s">
        <v>158</v>
      </c>
      <c r="C3236" s="12" t="s">
        <v>123</v>
      </c>
      <c r="D3236" s="12" t="s">
        <v>114</v>
      </c>
      <c r="E3236" s="20">
        <v>45483</v>
      </c>
      <c r="F3236" s="12" t="s">
        <v>1051</v>
      </c>
      <c r="G3236" s="12">
        <v>-1.93</v>
      </c>
    </row>
    <row r="3237" spans="1:8" x14ac:dyDescent="0.3">
      <c r="A3237" s="12" t="s">
        <v>95</v>
      </c>
      <c r="B3237" s="12" t="s">
        <v>158</v>
      </c>
      <c r="C3237" s="12" t="s">
        <v>123</v>
      </c>
      <c r="D3237" s="12" t="s">
        <v>114</v>
      </c>
      <c r="E3237" s="20">
        <v>45485</v>
      </c>
      <c r="F3237" s="12" t="s">
        <v>1052</v>
      </c>
      <c r="G3237" s="12">
        <v>-8.91</v>
      </c>
    </row>
    <row r="3238" spans="1:8" x14ac:dyDescent="0.3">
      <c r="A3238" s="12" t="s">
        <v>95</v>
      </c>
      <c r="B3238" s="12" t="s">
        <v>158</v>
      </c>
      <c r="C3238" s="12" t="s">
        <v>123</v>
      </c>
      <c r="D3238" s="12" t="s">
        <v>114</v>
      </c>
      <c r="E3238" s="20">
        <v>45485</v>
      </c>
      <c r="F3238" s="12" t="s">
        <v>1053</v>
      </c>
      <c r="G3238" s="12">
        <v>-0.23</v>
      </c>
    </row>
    <row r="3239" spans="1:8" x14ac:dyDescent="0.3">
      <c r="A3239" s="12" t="s">
        <v>95</v>
      </c>
      <c r="B3239" s="12" t="s">
        <v>158</v>
      </c>
      <c r="C3239" s="12" t="s">
        <v>123</v>
      </c>
      <c r="D3239" s="12" t="s">
        <v>114</v>
      </c>
      <c r="E3239" s="20">
        <v>45496</v>
      </c>
      <c r="F3239" s="12" t="s">
        <v>1054</v>
      </c>
      <c r="G3239" s="12">
        <v>-2.2999999999999998</v>
      </c>
    </row>
    <row r="3240" spans="1:8" x14ac:dyDescent="0.3">
      <c r="A3240" s="12" t="s">
        <v>95</v>
      </c>
      <c r="B3240" s="12" t="s">
        <v>158</v>
      </c>
      <c r="C3240" s="12" t="s">
        <v>123</v>
      </c>
      <c r="D3240" s="12" t="s">
        <v>114</v>
      </c>
      <c r="E3240" s="20">
        <v>45498</v>
      </c>
      <c r="F3240" s="12" t="s">
        <v>758</v>
      </c>
      <c r="G3240" s="12">
        <v>-3.15</v>
      </c>
    </row>
    <row r="3241" spans="1:8" x14ac:dyDescent="0.3">
      <c r="A3241" s="12" t="s">
        <v>95</v>
      </c>
      <c r="B3241" s="12" t="s">
        <v>158</v>
      </c>
      <c r="C3241" s="12" t="s">
        <v>123</v>
      </c>
      <c r="D3241" s="12" t="s">
        <v>114</v>
      </c>
      <c r="E3241" s="20">
        <v>45499</v>
      </c>
      <c r="F3241" s="12" t="s">
        <v>1055</v>
      </c>
      <c r="G3241" s="12">
        <v>-2.0299999999999998</v>
      </c>
    </row>
    <row r="3242" spans="1:8" x14ac:dyDescent="0.3">
      <c r="A3242" s="12" t="s">
        <v>95</v>
      </c>
      <c r="B3242" s="12" t="s">
        <v>158</v>
      </c>
      <c r="C3242" s="12" t="s">
        <v>123</v>
      </c>
      <c r="D3242" s="12" t="s">
        <v>114</v>
      </c>
      <c r="E3242" s="20">
        <v>45504</v>
      </c>
      <c r="F3242" s="12" t="s">
        <v>1056</v>
      </c>
      <c r="G3242" s="12">
        <v>-7.19</v>
      </c>
    </row>
    <row r="3243" spans="1:8" x14ac:dyDescent="0.3">
      <c r="A3243" s="12" t="s">
        <v>95</v>
      </c>
      <c r="B3243" s="12" t="s">
        <v>158</v>
      </c>
      <c r="C3243" s="12" t="s">
        <v>123</v>
      </c>
      <c r="D3243" s="12" t="s">
        <v>97</v>
      </c>
      <c r="G3243" s="12">
        <v>-36.71</v>
      </c>
    </row>
    <row r="3244" spans="1:8" x14ac:dyDescent="0.3">
      <c r="A3244" s="12" t="s">
        <v>95</v>
      </c>
      <c r="B3244" s="12" t="s">
        <v>160</v>
      </c>
      <c r="C3244" s="12" t="s">
        <v>120</v>
      </c>
      <c r="D3244" s="12" t="s">
        <v>181</v>
      </c>
      <c r="E3244" s="12" t="s">
        <v>268</v>
      </c>
      <c r="F3244" s="12" t="s">
        <v>269</v>
      </c>
      <c r="G3244" s="12" t="s">
        <v>270</v>
      </c>
    </row>
    <row r="3245" spans="1:8" x14ac:dyDescent="0.3">
      <c r="A3245" s="12" t="s">
        <v>95</v>
      </c>
      <c r="B3245" s="12" t="s">
        <v>160</v>
      </c>
      <c r="C3245" s="12" t="s">
        <v>123</v>
      </c>
      <c r="D3245" s="12" t="s">
        <v>114</v>
      </c>
      <c r="E3245" s="20">
        <v>45476</v>
      </c>
      <c r="F3245" s="12" t="s">
        <v>1057</v>
      </c>
      <c r="G3245" s="12">
        <v>94.8</v>
      </c>
    </row>
    <row r="3246" spans="1:8" x14ac:dyDescent="0.3">
      <c r="A3246" s="12" t="s">
        <v>95</v>
      </c>
      <c r="B3246" s="12" t="s">
        <v>160</v>
      </c>
      <c r="C3246" s="12" t="s">
        <v>123</v>
      </c>
      <c r="D3246" s="12" t="s">
        <v>97</v>
      </c>
      <c r="G3246" s="12">
        <v>94.8</v>
      </c>
    </row>
    <row r="3247" spans="1:8" x14ac:dyDescent="0.3">
      <c r="A3247" s="12" t="s">
        <v>95</v>
      </c>
      <c r="B3247" s="12" t="s">
        <v>151</v>
      </c>
      <c r="C3247" s="12" t="s">
        <v>120</v>
      </c>
      <c r="D3247" s="12" t="s">
        <v>181</v>
      </c>
      <c r="E3247" s="12" t="s">
        <v>121</v>
      </c>
      <c r="F3247" s="12" t="s">
        <v>122</v>
      </c>
    </row>
    <row r="3248" spans="1:8" x14ac:dyDescent="0.3">
      <c r="A3248" s="12" t="s">
        <v>95</v>
      </c>
      <c r="B3248" s="12" t="s">
        <v>151</v>
      </c>
      <c r="C3248" s="12" t="s">
        <v>123</v>
      </c>
      <c r="D3248" s="12" t="s">
        <v>184</v>
      </c>
      <c r="E3248" s="12" t="s">
        <v>278</v>
      </c>
      <c r="F3248" s="12">
        <v>85.29</v>
      </c>
    </row>
    <row r="3249" spans="1:16" x14ac:dyDescent="0.3">
      <c r="A3249" s="12" t="s">
        <v>95</v>
      </c>
      <c r="B3249" s="12" t="s">
        <v>151</v>
      </c>
      <c r="C3249" s="12" t="s">
        <v>123</v>
      </c>
      <c r="D3249" s="12" t="s">
        <v>184</v>
      </c>
      <c r="E3249" s="12" t="s">
        <v>279</v>
      </c>
      <c r="F3249" s="12">
        <v>103.01</v>
      </c>
    </row>
    <row r="3250" spans="1:16" x14ac:dyDescent="0.3">
      <c r="A3250" s="12" t="s">
        <v>95</v>
      </c>
      <c r="B3250" s="12" t="s">
        <v>151</v>
      </c>
      <c r="C3250" s="12" t="s">
        <v>123</v>
      </c>
      <c r="D3250" s="12" t="s">
        <v>184</v>
      </c>
      <c r="E3250" s="12" t="s">
        <v>280</v>
      </c>
      <c r="F3250" s="12">
        <v>-94.8</v>
      </c>
    </row>
    <row r="3251" spans="1:16" x14ac:dyDescent="0.3">
      <c r="A3251" s="12" t="s">
        <v>95</v>
      </c>
      <c r="B3251" s="12" t="s">
        <v>151</v>
      </c>
      <c r="C3251" s="12" t="s">
        <v>123</v>
      </c>
      <c r="D3251" s="12" t="s">
        <v>184</v>
      </c>
      <c r="E3251" s="12" t="s">
        <v>281</v>
      </c>
      <c r="F3251" s="12">
        <v>0</v>
      </c>
    </row>
    <row r="3252" spans="1:16" x14ac:dyDescent="0.3">
      <c r="A3252" s="12" t="s">
        <v>95</v>
      </c>
      <c r="B3252" s="12" t="s">
        <v>151</v>
      </c>
      <c r="C3252" s="12" t="s">
        <v>123</v>
      </c>
      <c r="D3252" s="12" t="s">
        <v>184</v>
      </c>
      <c r="E3252" s="12" t="s">
        <v>282</v>
      </c>
      <c r="F3252" s="12">
        <v>93.5</v>
      </c>
    </row>
    <row r="3253" spans="1:16" x14ac:dyDescent="0.3">
      <c r="A3253" s="12" t="s">
        <v>95</v>
      </c>
      <c r="B3253" s="12" t="s">
        <v>159</v>
      </c>
      <c r="C3253" s="12" t="s">
        <v>120</v>
      </c>
      <c r="D3253" s="12" t="s">
        <v>100</v>
      </c>
      <c r="E3253" s="12" t="s">
        <v>181</v>
      </c>
      <c r="F3253" s="12" t="s">
        <v>0</v>
      </c>
      <c r="G3253" s="12" t="s">
        <v>268</v>
      </c>
      <c r="H3253" s="12" t="s">
        <v>283</v>
      </c>
      <c r="I3253" s="12" t="s">
        <v>284</v>
      </c>
      <c r="J3253" s="12" t="s">
        <v>193</v>
      </c>
      <c r="K3253" s="12" t="s">
        <v>285</v>
      </c>
      <c r="L3253" s="12" t="s">
        <v>286</v>
      </c>
      <c r="M3253" s="12" t="s">
        <v>287</v>
      </c>
      <c r="N3253" s="12" t="s">
        <v>288</v>
      </c>
      <c r="O3253" s="12" t="s">
        <v>289</v>
      </c>
      <c r="P3253" s="12" t="s">
        <v>165</v>
      </c>
    </row>
    <row r="3254" spans="1:16" x14ac:dyDescent="0.3">
      <c r="A3254" s="12" t="s">
        <v>95</v>
      </c>
      <c r="B3254" s="12" t="s">
        <v>159</v>
      </c>
      <c r="C3254" s="12" t="s">
        <v>123</v>
      </c>
      <c r="D3254" s="12" t="s">
        <v>290</v>
      </c>
      <c r="O3254" s="12">
        <v>71.45</v>
      </c>
    </row>
    <row r="3255" spans="1:16" x14ac:dyDescent="0.3">
      <c r="A3255" s="12" t="s">
        <v>95</v>
      </c>
      <c r="B3255" s="12" t="s">
        <v>159</v>
      </c>
      <c r="C3255" s="12" t="s">
        <v>123</v>
      </c>
      <c r="D3255" s="12" t="s">
        <v>110</v>
      </c>
      <c r="E3255" s="12" t="s">
        <v>114</v>
      </c>
      <c r="F3255" s="12" t="s">
        <v>4</v>
      </c>
      <c r="G3255" s="20">
        <v>45485</v>
      </c>
      <c r="H3255" s="20">
        <v>45457</v>
      </c>
      <c r="I3255" s="20">
        <v>45485</v>
      </c>
      <c r="J3255" s="12">
        <v>22</v>
      </c>
      <c r="K3255" s="12">
        <v>-8.91</v>
      </c>
      <c r="L3255" s="12">
        <v>0</v>
      </c>
      <c r="M3255" s="12">
        <v>1.62</v>
      </c>
      <c r="N3255" s="12">
        <v>-35.64</v>
      </c>
      <c r="O3255" s="12">
        <v>-26.73</v>
      </c>
      <c r="P3255" s="12" t="s">
        <v>292</v>
      </c>
    </row>
    <row r="3256" spans="1:16" x14ac:dyDescent="0.3">
      <c r="A3256" s="12" t="s">
        <v>95</v>
      </c>
      <c r="B3256" s="12" t="s">
        <v>159</v>
      </c>
      <c r="C3256" s="12" t="s">
        <v>123</v>
      </c>
      <c r="D3256" s="12" t="s">
        <v>110</v>
      </c>
      <c r="E3256" s="12" t="s">
        <v>114</v>
      </c>
      <c r="F3256" s="12" t="s">
        <v>65</v>
      </c>
      <c r="G3256" s="20">
        <v>45483</v>
      </c>
      <c r="H3256" s="20">
        <v>45461</v>
      </c>
      <c r="I3256" s="20">
        <v>45483</v>
      </c>
      <c r="J3256" s="12">
        <v>70</v>
      </c>
      <c r="K3256" s="12">
        <v>-1.93</v>
      </c>
      <c r="L3256" s="12">
        <v>0</v>
      </c>
      <c r="M3256" s="12">
        <v>0.11</v>
      </c>
      <c r="N3256" s="12">
        <v>-7.7</v>
      </c>
      <c r="O3256" s="12">
        <v>-5.77</v>
      </c>
      <c r="P3256" s="12" t="s">
        <v>292</v>
      </c>
    </row>
    <row r="3257" spans="1:16" x14ac:dyDescent="0.3">
      <c r="A3257" s="12" t="s">
        <v>95</v>
      </c>
      <c r="B3257" s="12" t="s">
        <v>159</v>
      </c>
      <c r="C3257" s="12" t="s">
        <v>123</v>
      </c>
      <c r="D3257" s="12" t="s">
        <v>110</v>
      </c>
      <c r="E3257" s="12" t="s">
        <v>114</v>
      </c>
      <c r="F3257" s="12" t="s">
        <v>11</v>
      </c>
      <c r="G3257" s="20">
        <v>45498</v>
      </c>
      <c r="H3257" s="20">
        <v>45499</v>
      </c>
      <c r="I3257" s="20">
        <v>45513</v>
      </c>
      <c r="J3257" s="12">
        <v>10</v>
      </c>
      <c r="K3257" s="12">
        <v>2.9</v>
      </c>
      <c r="L3257" s="12">
        <v>0</v>
      </c>
      <c r="M3257" s="12">
        <v>1.1599999999999999</v>
      </c>
      <c r="N3257" s="12">
        <v>11.6</v>
      </c>
      <c r="O3257" s="12">
        <v>8.6999999999999993</v>
      </c>
      <c r="P3257" s="12" t="s">
        <v>291</v>
      </c>
    </row>
    <row r="3258" spans="1:16" x14ac:dyDescent="0.3">
      <c r="A3258" s="12" t="s">
        <v>95</v>
      </c>
      <c r="B3258" s="12" t="s">
        <v>159</v>
      </c>
      <c r="C3258" s="12" t="s">
        <v>123</v>
      </c>
      <c r="D3258" s="12" t="s">
        <v>110</v>
      </c>
      <c r="E3258" s="12" t="s">
        <v>114</v>
      </c>
      <c r="F3258" s="12" t="s">
        <v>14</v>
      </c>
      <c r="G3258" s="20">
        <v>45499</v>
      </c>
      <c r="H3258" s="20">
        <v>45471</v>
      </c>
      <c r="I3258" s="20">
        <v>45499</v>
      </c>
      <c r="J3258" s="12">
        <v>30</v>
      </c>
      <c r="K3258" s="12">
        <v>-2.0299999999999998</v>
      </c>
      <c r="L3258" s="12">
        <v>0</v>
      </c>
      <c r="M3258" s="12">
        <v>0.27</v>
      </c>
      <c r="N3258" s="12">
        <v>-8.1</v>
      </c>
      <c r="O3258" s="12">
        <v>-6.07</v>
      </c>
      <c r="P3258" s="12" t="s">
        <v>292</v>
      </c>
    </row>
    <row r="3259" spans="1:16" x14ac:dyDescent="0.3">
      <c r="A3259" s="12" t="s">
        <v>95</v>
      </c>
      <c r="B3259" s="12" t="s">
        <v>159</v>
      </c>
      <c r="C3259" s="12" t="s">
        <v>123</v>
      </c>
      <c r="D3259" s="12" t="s">
        <v>110</v>
      </c>
      <c r="E3259" s="12" t="s">
        <v>114</v>
      </c>
      <c r="F3259" s="12" t="s">
        <v>18</v>
      </c>
      <c r="G3259" s="20">
        <v>45477</v>
      </c>
      <c r="H3259" s="20">
        <v>45478</v>
      </c>
      <c r="I3259" s="20">
        <v>45513</v>
      </c>
      <c r="J3259" s="12">
        <v>30</v>
      </c>
      <c r="K3259" s="12">
        <v>10.65</v>
      </c>
      <c r="L3259" s="12">
        <v>0</v>
      </c>
      <c r="M3259" s="12">
        <v>1.42</v>
      </c>
      <c r="N3259" s="12">
        <v>42.6</v>
      </c>
      <c r="O3259" s="12">
        <v>31.95</v>
      </c>
      <c r="P3259" s="12" t="s">
        <v>291</v>
      </c>
    </row>
    <row r="3260" spans="1:16" x14ac:dyDescent="0.3">
      <c r="A3260" s="12" t="s">
        <v>95</v>
      </c>
      <c r="B3260" s="12" t="s">
        <v>159</v>
      </c>
      <c r="C3260" s="12" t="s">
        <v>123</v>
      </c>
      <c r="D3260" s="12" t="s">
        <v>110</v>
      </c>
      <c r="E3260" s="12" t="s">
        <v>114</v>
      </c>
      <c r="F3260" s="12" t="s">
        <v>48</v>
      </c>
      <c r="G3260" s="20">
        <v>45483</v>
      </c>
      <c r="H3260" s="20">
        <v>45484</v>
      </c>
      <c r="I3260" s="20">
        <v>45498</v>
      </c>
      <c r="J3260" s="12">
        <v>45</v>
      </c>
      <c r="K3260" s="12">
        <v>3.15</v>
      </c>
      <c r="L3260" s="12">
        <v>0</v>
      </c>
      <c r="M3260" s="12">
        <v>0.28000000000000003</v>
      </c>
      <c r="N3260" s="12">
        <v>12.6</v>
      </c>
      <c r="O3260" s="12">
        <v>9.4499999999999993</v>
      </c>
      <c r="P3260" s="12" t="s">
        <v>291</v>
      </c>
    </row>
    <row r="3261" spans="1:16" x14ac:dyDescent="0.3">
      <c r="A3261" s="12" t="s">
        <v>95</v>
      </c>
      <c r="B3261" s="12" t="s">
        <v>159</v>
      </c>
      <c r="C3261" s="12" t="s">
        <v>123</v>
      </c>
      <c r="D3261" s="12" t="s">
        <v>110</v>
      </c>
      <c r="E3261" s="12" t="s">
        <v>114</v>
      </c>
      <c r="F3261" s="12" t="s">
        <v>48</v>
      </c>
      <c r="G3261" s="20">
        <v>45498</v>
      </c>
      <c r="H3261" s="20">
        <v>45484</v>
      </c>
      <c r="I3261" s="20">
        <v>45498</v>
      </c>
      <c r="J3261" s="12">
        <v>45</v>
      </c>
      <c r="K3261" s="12">
        <v>-3.15</v>
      </c>
      <c r="L3261" s="12">
        <v>0</v>
      </c>
      <c r="M3261" s="12">
        <v>0.28000000000000003</v>
      </c>
      <c r="N3261" s="12">
        <v>-12.6</v>
      </c>
      <c r="O3261" s="12">
        <v>-9.4499999999999993</v>
      </c>
      <c r="P3261" s="12" t="s">
        <v>292</v>
      </c>
    </row>
    <row r="3262" spans="1:16" x14ac:dyDescent="0.3">
      <c r="A3262" s="12" t="s">
        <v>95</v>
      </c>
      <c r="B3262" s="12" t="s">
        <v>159</v>
      </c>
      <c r="C3262" s="12" t="s">
        <v>123</v>
      </c>
      <c r="D3262" s="12" t="s">
        <v>110</v>
      </c>
      <c r="E3262" s="12" t="s">
        <v>114</v>
      </c>
      <c r="F3262" s="12" t="s">
        <v>69</v>
      </c>
      <c r="G3262" s="20">
        <v>45471</v>
      </c>
      <c r="H3262" s="20">
        <v>45457</v>
      </c>
      <c r="I3262" s="20">
        <v>45471</v>
      </c>
      <c r="J3262" s="12">
        <v>15</v>
      </c>
      <c r="K3262" s="12">
        <v>-2.48</v>
      </c>
      <c r="L3262" s="12">
        <v>0</v>
      </c>
      <c r="M3262" s="12">
        <v>0.66</v>
      </c>
      <c r="N3262" s="12">
        <v>-9.9</v>
      </c>
      <c r="O3262" s="12">
        <v>-7.42</v>
      </c>
      <c r="P3262" s="12" t="s">
        <v>292</v>
      </c>
    </row>
    <row r="3263" spans="1:16" x14ac:dyDescent="0.3">
      <c r="A3263" s="12" t="s">
        <v>95</v>
      </c>
      <c r="B3263" s="12" t="s">
        <v>159</v>
      </c>
      <c r="C3263" s="12" t="s">
        <v>123</v>
      </c>
      <c r="D3263" s="12" t="s">
        <v>110</v>
      </c>
      <c r="E3263" s="12" t="s">
        <v>114</v>
      </c>
      <c r="F3263" s="12" t="s">
        <v>70</v>
      </c>
      <c r="G3263" s="20">
        <v>45477</v>
      </c>
      <c r="H3263" s="20">
        <v>45478</v>
      </c>
      <c r="I3263" s="20">
        <v>45504</v>
      </c>
      <c r="J3263" s="12">
        <v>25</v>
      </c>
      <c r="K3263" s="12">
        <v>7.19</v>
      </c>
      <c r="L3263" s="12">
        <v>0</v>
      </c>
      <c r="M3263" s="12">
        <v>1.1499999999999999</v>
      </c>
      <c r="N3263" s="12">
        <v>28.75</v>
      </c>
      <c r="O3263" s="12">
        <v>21.56</v>
      </c>
      <c r="P3263" s="12" t="s">
        <v>291</v>
      </c>
    </row>
    <row r="3264" spans="1:16" x14ac:dyDescent="0.3">
      <c r="A3264" s="12" t="s">
        <v>95</v>
      </c>
      <c r="B3264" s="12" t="s">
        <v>159</v>
      </c>
      <c r="C3264" s="12" t="s">
        <v>123</v>
      </c>
      <c r="D3264" s="12" t="s">
        <v>110</v>
      </c>
      <c r="E3264" s="12" t="s">
        <v>114</v>
      </c>
      <c r="F3264" s="12" t="s">
        <v>70</v>
      </c>
      <c r="G3264" s="20">
        <v>45504</v>
      </c>
      <c r="H3264" s="20">
        <v>45478</v>
      </c>
      <c r="I3264" s="20">
        <v>45504</v>
      </c>
      <c r="J3264" s="12">
        <v>25</v>
      </c>
      <c r="K3264" s="12">
        <v>-7.19</v>
      </c>
      <c r="L3264" s="12">
        <v>0</v>
      </c>
      <c r="M3264" s="12">
        <v>1.1499999999999999</v>
      </c>
      <c r="N3264" s="12">
        <v>-28.75</v>
      </c>
      <c r="O3264" s="12">
        <v>-21.56</v>
      </c>
      <c r="P3264" s="12" t="s">
        <v>292</v>
      </c>
    </row>
    <row r="3265" spans="1:16" x14ac:dyDescent="0.3">
      <c r="A3265" s="12" t="s">
        <v>95</v>
      </c>
      <c r="B3265" s="12" t="s">
        <v>159</v>
      </c>
      <c r="C3265" s="12" t="s">
        <v>123</v>
      </c>
      <c r="D3265" s="12" t="s">
        <v>110</v>
      </c>
      <c r="E3265" s="12" t="s">
        <v>114</v>
      </c>
      <c r="F3265" s="12" t="s">
        <v>59</v>
      </c>
      <c r="G3265" s="20">
        <v>45474</v>
      </c>
      <c r="H3265" s="20">
        <v>45457</v>
      </c>
      <c r="I3265" s="20">
        <v>45474</v>
      </c>
      <c r="J3265" s="12">
        <v>70</v>
      </c>
      <c r="K3265" s="12">
        <v>-8.49</v>
      </c>
      <c r="L3265" s="12">
        <v>0</v>
      </c>
      <c r="M3265" s="12">
        <v>0.48499999999999999</v>
      </c>
      <c r="N3265" s="12">
        <v>-33.950000000000003</v>
      </c>
      <c r="O3265" s="12">
        <v>-25.46</v>
      </c>
      <c r="P3265" s="12" t="s">
        <v>292</v>
      </c>
    </row>
    <row r="3266" spans="1:16" x14ac:dyDescent="0.3">
      <c r="A3266" s="12" t="s">
        <v>95</v>
      </c>
      <c r="B3266" s="12" t="s">
        <v>159</v>
      </c>
      <c r="C3266" s="12" t="s">
        <v>123</v>
      </c>
      <c r="D3266" s="12" t="s">
        <v>110</v>
      </c>
      <c r="E3266" s="12" t="s">
        <v>114</v>
      </c>
      <c r="F3266" s="12" t="s">
        <v>55</v>
      </c>
      <c r="G3266" s="20">
        <v>45478</v>
      </c>
      <c r="H3266" s="20">
        <v>45481</v>
      </c>
      <c r="I3266" s="20">
        <v>45496</v>
      </c>
      <c r="J3266" s="12">
        <v>80</v>
      </c>
      <c r="K3266" s="12">
        <v>2.2999999999999998</v>
      </c>
      <c r="L3266" s="12">
        <v>0</v>
      </c>
      <c r="M3266" s="12">
        <v>0.115</v>
      </c>
      <c r="N3266" s="12">
        <v>9.1999999999999993</v>
      </c>
      <c r="O3266" s="12">
        <v>6.9</v>
      </c>
      <c r="P3266" s="12" t="s">
        <v>291</v>
      </c>
    </row>
    <row r="3267" spans="1:16" x14ac:dyDescent="0.3">
      <c r="A3267" s="12" t="s">
        <v>95</v>
      </c>
      <c r="B3267" s="12" t="s">
        <v>159</v>
      </c>
      <c r="C3267" s="12" t="s">
        <v>123</v>
      </c>
      <c r="D3267" s="12" t="s">
        <v>110</v>
      </c>
      <c r="E3267" s="12" t="s">
        <v>114</v>
      </c>
      <c r="F3267" s="12" t="s">
        <v>55</v>
      </c>
      <c r="G3267" s="20">
        <v>45496</v>
      </c>
      <c r="H3267" s="20">
        <v>45481</v>
      </c>
      <c r="I3267" s="20">
        <v>45496</v>
      </c>
      <c r="J3267" s="12">
        <v>80</v>
      </c>
      <c r="K3267" s="12">
        <v>-2.2999999999999998</v>
      </c>
      <c r="L3267" s="12">
        <v>0</v>
      </c>
      <c r="M3267" s="12">
        <v>0.115</v>
      </c>
      <c r="N3267" s="12">
        <v>-9.1999999999999993</v>
      </c>
      <c r="O3267" s="12">
        <v>-6.9</v>
      </c>
      <c r="P3267" s="12" t="s">
        <v>292</v>
      </c>
    </row>
    <row r="3268" spans="1:16" x14ac:dyDescent="0.3">
      <c r="A3268" s="12" t="s">
        <v>95</v>
      </c>
      <c r="B3268" s="12" t="s">
        <v>159</v>
      </c>
      <c r="C3268" s="12" t="s">
        <v>123</v>
      </c>
      <c r="D3268" s="12" t="s">
        <v>110</v>
      </c>
      <c r="E3268" s="12" t="s">
        <v>114</v>
      </c>
      <c r="F3268" s="12" t="s">
        <v>74</v>
      </c>
      <c r="G3268" s="20">
        <v>45471</v>
      </c>
      <c r="H3268" s="20">
        <v>45474</v>
      </c>
      <c r="I3268" s="20">
        <v>45485</v>
      </c>
      <c r="J3268" s="12">
        <v>10</v>
      </c>
      <c r="K3268" s="12">
        <v>0.23</v>
      </c>
      <c r="L3268" s="12">
        <v>0</v>
      </c>
      <c r="M3268" s="12">
        <v>0.09</v>
      </c>
      <c r="N3268" s="12">
        <v>0.9</v>
      </c>
      <c r="O3268" s="12">
        <v>0.67</v>
      </c>
      <c r="P3268" s="12" t="s">
        <v>291</v>
      </c>
    </row>
    <row r="3269" spans="1:16" x14ac:dyDescent="0.3">
      <c r="A3269" s="12" t="s">
        <v>95</v>
      </c>
      <c r="B3269" s="12" t="s">
        <v>159</v>
      </c>
      <c r="C3269" s="12" t="s">
        <v>123</v>
      </c>
      <c r="D3269" s="12" t="s">
        <v>110</v>
      </c>
      <c r="E3269" s="12" t="s">
        <v>114</v>
      </c>
      <c r="F3269" s="12" t="s">
        <v>74</v>
      </c>
      <c r="G3269" s="20">
        <v>45485</v>
      </c>
      <c r="H3269" s="20">
        <v>45474</v>
      </c>
      <c r="I3269" s="20">
        <v>45485</v>
      </c>
      <c r="J3269" s="12">
        <v>10</v>
      </c>
      <c r="K3269" s="12">
        <v>-0.23</v>
      </c>
      <c r="L3269" s="12">
        <v>0</v>
      </c>
      <c r="M3269" s="12">
        <v>0.09</v>
      </c>
      <c r="N3269" s="12">
        <v>-0.9</v>
      </c>
      <c r="O3269" s="12">
        <v>-0.67</v>
      </c>
      <c r="P3269" s="12" t="s">
        <v>292</v>
      </c>
    </row>
    <row r="3270" spans="1:16" x14ac:dyDescent="0.3">
      <c r="A3270" s="12" t="s">
        <v>95</v>
      </c>
      <c r="B3270" s="12" t="s">
        <v>159</v>
      </c>
      <c r="C3270" s="12" t="s">
        <v>123</v>
      </c>
      <c r="D3270" s="12" t="s">
        <v>110</v>
      </c>
      <c r="E3270" s="12" t="s">
        <v>114</v>
      </c>
      <c r="F3270" s="12" t="s">
        <v>78</v>
      </c>
      <c r="G3270" s="20">
        <v>45503</v>
      </c>
      <c r="H3270" s="20">
        <v>45504</v>
      </c>
      <c r="I3270" s="20">
        <v>45517</v>
      </c>
      <c r="J3270" s="12">
        <v>30</v>
      </c>
      <c r="K3270" s="12">
        <v>9.75</v>
      </c>
      <c r="L3270" s="12">
        <v>0</v>
      </c>
      <c r="M3270" s="12">
        <v>1.3</v>
      </c>
      <c r="N3270" s="12">
        <v>39</v>
      </c>
      <c r="O3270" s="12">
        <v>29.25</v>
      </c>
      <c r="P3270" s="12" t="s">
        <v>291</v>
      </c>
    </row>
    <row r="3271" spans="1:16" x14ac:dyDescent="0.3">
      <c r="A3271" s="12" t="s">
        <v>95</v>
      </c>
      <c r="B3271" s="12" t="s">
        <v>159</v>
      </c>
      <c r="C3271" s="12" t="s">
        <v>123</v>
      </c>
      <c r="D3271" s="12" t="s">
        <v>97</v>
      </c>
      <c r="K3271" s="12">
        <v>-0.54</v>
      </c>
      <c r="L3271" s="12">
        <v>0</v>
      </c>
      <c r="N3271" s="12">
        <v>-2.09</v>
      </c>
      <c r="O3271" s="12">
        <v>-1.55</v>
      </c>
    </row>
    <row r="3272" spans="1:16" x14ac:dyDescent="0.3">
      <c r="A3272" s="12" t="s">
        <v>95</v>
      </c>
      <c r="B3272" s="12" t="s">
        <v>159</v>
      </c>
      <c r="C3272" s="12" t="s">
        <v>123</v>
      </c>
      <c r="D3272" s="12" t="s">
        <v>293</v>
      </c>
      <c r="O3272" s="12">
        <v>69.900000000000006</v>
      </c>
    </row>
    <row r="3273" spans="1:16" x14ac:dyDescent="0.3">
      <c r="A3273" s="12" t="s">
        <v>95</v>
      </c>
      <c r="B3273" s="12" t="s">
        <v>294</v>
      </c>
      <c r="C3273" s="12" t="s">
        <v>120</v>
      </c>
      <c r="D3273" s="12" t="s">
        <v>100</v>
      </c>
      <c r="E3273" s="12" t="s">
        <v>0</v>
      </c>
      <c r="F3273" s="12" t="s">
        <v>269</v>
      </c>
      <c r="G3273" s="12" t="s">
        <v>295</v>
      </c>
      <c r="H3273" s="12" t="s">
        <v>296</v>
      </c>
      <c r="I3273" s="12" t="s">
        <v>297</v>
      </c>
      <c r="J3273" s="12" t="s">
        <v>298</v>
      </c>
      <c r="K3273" s="12" t="s">
        <v>299</v>
      </c>
      <c r="L3273" s="12" t="s">
        <v>165</v>
      </c>
    </row>
    <row r="3274" spans="1:16" x14ac:dyDescent="0.3">
      <c r="A3274" s="12" t="s">
        <v>95</v>
      </c>
      <c r="B3274" s="12" t="s">
        <v>294</v>
      </c>
      <c r="C3274" s="12" t="s">
        <v>123</v>
      </c>
      <c r="D3274" s="12" t="s">
        <v>110</v>
      </c>
      <c r="E3274" s="12" t="s">
        <v>2</v>
      </c>
      <c r="F3274" s="12" t="s">
        <v>300</v>
      </c>
      <c r="G3274" s="12">
        <v>265598</v>
      </c>
      <c r="H3274" s="12" t="s">
        <v>301</v>
      </c>
      <c r="I3274" s="12" t="s">
        <v>302</v>
      </c>
      <c r="J3274" s="12">
        <v>1</v>
      </c>
      <c r="K3274" s="12" t="s">
        <v>303</v>
      </c>
    </row>
    <row r="3275" spans="1:16" x14ac:dyDescent="0.3">
      <c r="A3275" s="12" t="s">
        <v>95</v>
      </c>
      <c r="B3275" s="12" t="s">
        <v>294</v>
      </c>
      <c r="C3275" s="12" t="s">
        <v>123</v>
      </c>
      <c r="D3275" s="12" t="s">
        <v>110</v>
      </c>
      <c r="E3275" s="12" t="s">
        <v>63</v>
      </c>
      <c r="F3275" s="12" t="s">
        <v>940</v>
      </c>
      <c r="G3275" s="12">
        <v>10763362</v>
      </c>
      <c r="H3275" s="12" t="s">
        <v>941</v>
      </c>
      <c r="I3275" s="12" t="s">
        <v>302</v>
      </c>
      <c r="J3275" s="12">
        <v>1</v>
      </c>
      <c r="K3275" s="12" t="s">
        <v>303</v>
      </c>
    </row>
    <row r="3276" spans="1:16" x14ac:dyDescent="0.3">
      <c r="A3276" s="12" t="s">
        <v>95</v>
      </c>
      <c r="B3276" s="12" t="s">
        <v>294</v>
      </c>
      <c r="C3276" s="12" t="s">
        <v>123</v>
      </c>
      <c r="D3276" s="12" t="s">
        <v>110</v>
      </c>
      <c r="E3276" s="12" t="s">
        <v>64</v>
      </c>
      <c r="F3276" s="12" t="s">
        <v>942</v>
      </c>
      <c r="G3276" s="12">
        <v>4157</v>
      </c>
      <c r="H3276" s="12" t="s">
        <v>943</v>
      </c>
      <c r="I3276" s="12" t="s">
        <v>302</v>
      </c>
      <c r="J3276" s="12">
        <v>1</v>
      </c>
      <c r="K3276" s="12" t="s">
        <v>303</v>
      </c>
    </row>
    <row r="3277" spans="1:16" x14ac:dyDescent="0.3">
      <c r="A3277" s="12" t="s">
        <v>95</v>
      </c>
      <c r="B3277" s="12" t="s">
        <v>294</v>
      </c>
      <c r="C3277" s="12" t="s">
        <v>123</v>
      </c>
      <c r="D3277" s="12" t="s">
        <v>110</v>
      </c>
      <c r="E3277" s="12" t="s">
        <v>45</v>
      </c>
      <c r="F3277" s="12" t="s">
        <v>692</v>
      </c>
      <c r="G3277" s="12">
        <v>4391</v>
      </c>
      <c r="H3277" s="12" t="s">
        <v>693</v>
      </c>
      <c r="I3277" s="12" t="s">
        <v>302</v>
      </c>
      <c r="J3277" s="12">
        <v>1</v>
      </c>
      <c r="K3277" s="12" t="s">
        <v>303</v>
      </c>
    </row>
    <row r="3278" spans="1:16" x14ac:dyDescent="0.3">
      <c r="A3278" s="12" t="s">
        <v>95</v>
      </c>
      <c r="B3278" s="12" t="s">
        <v>294</v>
      </c>
      <c r="C3278" s="12" t="s">
        <v>123</v>
      </c>
      <c r="D3278" s="12" t="s">
        <v>110</v>
      </c>
      <c r="E3278" s="12" t="s">
        <v>4</v>
      </c>
      <c r="F3278" s="12" t="s">
        <v>304</v>
      </c>
      <c r="G3278" s="12">
        <v>99831145</v>
      </c>
      <c r="H3278" s="12" t="s">
        <v>305</v>
      </c>
      <c r="I3278" s="12" t="s">
        <v>306</v>
      </c>
      <c r="J3278" s="12">
        <v>1</v>
      </c>
      <c r="K3278" s="12" t="s">
        <v>307</v>
      </c>
    </row>
    <row r="3279" spans="1:16" x14ac:dyDescent="0.3">
      <c r="A3279" s="12" t="s">
        <v>95</v>
      </c>
      <c r="B3279" s="12" t="s">
        <v>294</v>
      </c>
      <c r="C3279" s="12" t="s">
        <v>123</v>
      </c>
      <c r="D3279" s="12" t="s">
        <v>110</v>
      </c>
      <c r="E3279" s="12" t="s">
        <v>5</v>
      </c>
      <c r="F3279" s="12" t="s">
        <v>308</v>
      </c>
      <c r="G3279" s="12">
        <v>3691937</v>
      </c>
      <c r="H3279" s="12" t="s">
        <v>309</v>
      </c>
      <c r="I3279" s="12" t="s">
        <v>302</v>
      </c>
      <c r="J3279" s="12">
        <v>1</v>
      </c>
      <c r="K3279" s="12" t="s">
        <v>303</v>
      </c>
    </row>
    <row r="3280" spans="1:16" x14ac:dyDescent="0.3">
      <c r="A3280" s="12" t="s">
        <v>95</v>
      </c>
      <c r="B3280" s="12" t="s">
        <v>294</v>
      </c>
      <c r="C3280" s="12" t="s">
        <v>123</v>
      </c>
      <c r="D3280" s="12" t="s">
        <v>110</v>
      </c>
      <c r="E3280" s="12" t="s">
        <v>65</v>
      </c>
      <c r="F3280" s="12" t="s">
        <v>944</v>
      </c>
      <c r="G3280" s="12">
        <v>4493</v>
      </c>
      <c r="H3280" s="12" t="s">
        <v>945</v>
      </c>
      <c r="I3280" s="12" t="s">
        <v>306</v>
      </c>
      <c r="J3280" s="12">
        <v>1</v>
      </c>
      <c r="K3280" s="12" t="s">
        <v>303</v>
      </c>
    </row>
    <row r="3281" spans="1:11" x14ac:dyDescent="0.3">
      <c r="A3281" s="12" t="s">
        <v>95</v>
      </c>
      <c r="B3281" s="12" t="s">
        <v>294</v>
      </c>
      <c r="C3281" s="12" t="s">
        <v>123</v>
      </c>
      <c r="D3281" s="12" t="s">
        <v>110</v>
      </c>
      <c r="E3281" s="12" t="s">
        <v>58</v>
      </c>
      <c r="F3281" s="12" t="s">
        <v>834</v>
      </c>
      <c r="G3281" s="12">
        <v>653400472</v>
      </c>
      <c r="H3281" s="12" t="s">
        <v>835</v>
      </c>
      <c r="I3281" s="12" t="s">
        <v>302</v>
      </c>
      <c r="J3281" s="12">
        <v>1</v>
      </c>
      <c r="K3281" s="12" t="s">
        <v>382</v>
      </c>
    </row>
    <row r="3282" spans="1:11" x14ac:dyDescent="0.3">
      <c r="A3282" s="12" t="s">
        <v>95</v>
      </c>
      <c r="B3282" s="12" t="s">
        <v>294</v>
      </c>
      <c r="C3282" s="12" t="s">
        <v>123</v>
      </c>
      <c r="D3282" s="12" t="s">
        <v>110</v>
      </c>
      <c r="E3282" s="12" t="s">
        <v>7</v>
      </c>
      <c r="F3282" s="12" t="s">
        <v>312</v>
      </c>
      <c r="G3282" s="12">
        <v>313130367</v>
      </c>
      <c r="H3282" s="12" t="s">
        <v>313</v>
      </c>
      <c r="I3282" s="12" t="s">
        <v>302</v>
      </c>
      <c r="J3282" s="12">
        <v>1</v>
      </c>
      <c r="K3282" s="12" t="s">
        <v>303</v>
      </c>
    </row>
    <row r="3283" spans="1:11" x14ac:dyDescent="0.3">
      <c r="A3283" s="12" t="s">
        <v>95</v>
      </c>
      <c r="B3283" s="12" t="s">
        <v>294</v>
      </c>
      <c r="C3283" s="12" t="s">
        <v>123</v>
      </c>
      <c r="D3283" s="12" t="s">
        <v>110</v>
      </c>
      <c r="E3283" s="12" t="s">
        <v>8</v>
      </c>
      <c r="F3283" s="12" t="s">
        <v>314</v>
      </c>
      <c r="G3283" s="12">
        <v>10098</v>
      </c>
      <c r="H3283" s="12" t="s">
        <v>315</v>
      </c>
      <c r="I3283" s="12" t="s">
        <v>306</v>
      </c>
      <c r="J3283" s="12">
        <v>1</v>
      </c>
      <c r="K3283" s="12" t="s">
        <v>303</v>
      </c>
    </row>
    <row r="3284" spans="1:11" x14ac:dyDescent="0.3">
      <c r="A3284" s="12" t="s">
        <v>95</v>
      </c>
      <c r="B3284" s="12" t="s">
        <v>294</v>
      </c>
      <c r="C3284" s="12" t="s">
        <v>123</v>
      </c>
      <c r="D3284" s="12" t="s">
        <v>110</v>
      </c>
      <c r="E3284" s="12" t="s">
        <v>9</v>
      </c>
      <c r="F3284" s="12" t="s">
        <v>316</v>
      </c>
      <c r="G3284" s="12">
        <v>308728373</v>
      </c>
      <c r="H3284" s="12" t="s">
        <v>317</v>
      </c>
      <c r="I3284" s="12" t="s">
        <v>302</v>
      </c>
      <c r="J3284" s="12">
        <v>1</v>
      </c>
      <c r="K3284" s="12" t="s">
        <v>303</v>
      </c>
    </row>
    <row r="3285" spans="1:11" x14ac:dyDescent="0.3">
      <c r="A3285" s="12" t="s">
        <v>95</v>
      </c>
      <c r="B3285" s="12" t="s">
        <v>294</v>
      </c>
      <c r="C3285" s="12" t="s">
        <v>123</v>
      </c>
      <c r="D3285" s="12" t="s">
        <v>110</v>
      </c>
      <c r="E3285" s="12" t="s">
        <v>3</v>
      </c>
      <c r="F3285" s="12" t="s">
        <v>318</v>
      </c>
      <c r="G3285" s="12">
        <v>87335484</v>
      </c>
      <c r="H3285" s="12" t="s">
        <v>319</v>
      </c>
      <c r="I3285" s="12" t="s">
        <v>306</v>
      </c>
      <c r="J3285" s="12">
        <v>1</v>
      </c>
      <c r="K3285" s="12" t="s">
        <v>303</v>
      </c>
    </row>
    <row r="3286" spans="1:11" x14ac:dyDescent="0.3">
      <c r="A3286" s="12" t="s">
        <v>95</v>
      </c>
      <c r="B3286" s="12" t="s">
        <v>294</v>
      </c>
      <c r="C3286" s="12" t="s">
        <v>123</v>
      </c>
      <c r="D3286" s="12" t="s">
        <v>110</v>
      </c>
      <c r="E3286" s="12" t="s">
        <v>11</v>
      </c>
      <c r="F3286" s="12" t="s">
        <v>322</v>
      </c>
      <c r="G3286" s="12">
        <v>272997</v>
      </c>
      <c r="H3286" s="12" t="s">
        <v>323</v>
      </c>
      <c r="I3286" s="12" t="s">
        <v>302</v>
      </c>
      <c r="J3286" s="12">
        <v>1</v>
      </c>
      <c r="K3286" s="12" t="s">
        <v>303</v>
      </c>
    </row>
    <row r="3287" spans="1:11" x14ac:dyDescent="0.3">
      <c r="A3287" s="12" t="s">
        <v>95</v>
      </c>
      <c r="B3287" s="12" t="s">
        <v>294</v>
      </c>
      <c r="C3287" s="12" t="s">
        <v>123</v>
      </c>
      <c r="D3287" s="12" t="s">
        <v>110</v>
      </c>
      <c r="E3287" s="12" t="s">
        <v>66</v>
      </c>
      <c r="F3287" s="12" t="s">
        <v>946</v>
      </c>
      <c r="G3287" s="12">
        <v>365921621</v>
      </c>
      <c r="H3287" s="12" t="s">
        <v>947</v>
      </c>
      <c r="I3287" s="12" t="s">
        <v>306</v>
      </c>
      <c r="J3287" s="12">
        <v>1</v>
      </c>
      <c r="K3287" s="12" t="s">
        <v>303</v>
      </c>
    </row>
    <row r="3288" spans="1:11" x14ac:dyDescent="0.3">
      <c r="A3288" s="12" t="s">
        <v>95</v>
      </c>
      <c r="B3288" s="12" t="s">
        <v>294</v>
      </c>
      <c r="C3288" s="12" t="s">
        <v>123</v>
      </c>
      <c r="D3288" s="12" t="s">
        <v>110</v>
      </c>
      <c r="E3288" s="12" t="s">
        <v>14</v>
      </c>
      <c r="F3288" s="12" t="s">
        <v>328</v>
      </c>
      <c r="G3288" s="12">
        <v>6442</v>
      </c>
      <c r="H3288" s="12" t="s">
        <v>329</v>
      </c>
      <c r="I3288" s="12" t="s">
        <v>306</v>
      </c>
      <c r="J3288" s="12">
        <v>1</v>
      </c>
      <c r="K3288" s="12" t="s">
        <v>303</v>
      </c>
    </row>
    <row r="3289" spans="1:11" x14ac:dyDescent="0.3">
      <c r="A3289" s="12" t="s">
        <v>95</v>
      </c>
      <c r="B3289" s="12" t="s">
        <v>294</v>
      </c>
      <c r="C3289" s="12" t="s">
        <v>123</v>
      </c>
      <c r="D3289" s="12" t="s">
        <v>110</v>
      </c>
      <c r="E3289" s="12" t="s">
        <v>67</v>
      </c>
      <c r="F3289" s="12" t="s">
        <v>948</v>
      </c>
      <c r="G3289" s="12">
        <v>6682</v>
      </c>
      <c r="H3289" s="12" t="s">
        <v>949</v>
      </c>
      <c r="I3289" s="12" t="s">
        <v>306</v>
      </c>
      <c r="J3289" s="12">
        <v>1</v>
      </c>
      <c r="K3289" s="12" t="s">
        <v>303</v>
      </c>
    </row>
    <row r="3290" spans="1:11" x14ac:dyDescent="0.3">
      <c r="A3290" s="12" t="s">
        <v>95</v>
      </c>
      <c r="B3290" s="12" t="s">
        <v>294</v>
      </c>
      <c r="C3290" s="12" t="s">
        <v>123</v>
      </c>
      <c r="D3290" s="12" t="s">
        <v>110</v>
      </c>
      <c r="E3290" s="12" t="s">
        <v>68</v>
      </c>
      <c r="F3290" s="12" t="s">
        <v>950</v>
      </c>
      <c r="G3290" s="12">
        <v>41622169</v>
      </c>
      <c r="H3290" s="12" t="s">
        <v>951</v>
      </c>
      <c r="I3290" s="12" t="s">
        <v>302</v>
      </c>
      <c r="J3290" s="12">
        <v>1</v>
      </c>
      <c r="K3290" s="12" t="s">
        <v>303</v>
      </c>
    </row>
    <row r="3291" spans="1:11" x14ac:dyDescent="0.3">
      <c r="A3291" s="12" t="s">
        <v>95</v>
      </c>
      <c r="B3291" s="12" t="s">
        <v>294</v>
      </c>
      <c r="C3291" s="12" t="s">
        <v>123</v>
      </c>
      <c r="D3291" s="12" t="s">
        <v>110</v>
      </c>
      <c r="E3291" s="12" t="s">
        <v>18</v>
      </c>
      <c r="F3291" s="12" t="s">
        <v>336</v>
      </c>
      <c r="G3291" s="12">
        <v>7496</v>
      </c>
      <c r="H3291" s="12" t="s">
        <v>337</v>
      </c>
      <c r="I3291" s="12" t="s">
        <v>306</v>
      </c>
      <c r="J3291" s="12">
        <v>1</v>
      </c>
      <c r="K3291" s="12" t="s">
        <v>303</v>
      </c>
    </row>
    <row r="3292" spans="1:11" x14ac:dyDescent="0.3">
      <c r="A3292" s="12" t="s">
        <v>95</v>
      </c>
      <c r="B3292" s="12" t="s">
        <v>294</v>
      </c>
      <c r="C3292" s="12" t="s">
        <v>123</v>
      </c>
      <c r="D3292" s="12" t="s">
        <v>110</v>
      </c>
      <c r="E3292" s="12" t="s">
        <v>48</v>
      </c>
      <c r="F3292" s="12" t="s">
        <v>698</v>
      </c>
      <c r="G3292" s="12">
        <v>498843743</v>
      </c>
      <c r="H3292" s="12" t="s">
        <v>699</v>
      </c>
      <c r="I3292" s="12" t="s">
        <v>306</v>
      </c>
      <c r="J3292" s="12">
        <v>1</v>
      </c>
      <c r="K3292" s="12" t="s">
        <v>303</v>
      </c>
    </row>
    <row r="3293" spans="1:11" x14ac:dyDescent="0.3">
      <c r="A3293" s="12" t="s">
        <v>95</v>
      </c>
      <c r="B3293" s="12" t="s">
        <v>294</v>
      </c>
      <c r="C3293" s="12" t="s">
        <v>123</v>
      </c>
      <c r="D3293" s="12" t="s">
        <v>110</v>
      </c>
      <c r="E3293" s="12" t="s">
        <v>54</v>
      </c>
      <c r="F3293" s="12" t="s">
        <v>761</v>
      </c>
      <c r="G3293" s="12">
        <v>691984365</v>
      </c>
      <c r="H3293" s="12" t="s">
        <v>762</v>
      </c>
      <c r="I3293" s="12" t="s">
        <v>306</v>
      </c>
      <c r="J3293" s="12">
        <v>1</v>
      </c>
      <c r="K3293" s="12" t="s">
        <v>303</v>
      </c>
    </row>
    <row r="3294" spans="1:11" x14ac:dyDescent="0.3">
      <c r="A3294" s="12" t="s">
        <v>95</v>
      </c>
      <c r="B3294" s="12" t="s">
        <v>294</v>
      </c>
      <c r="C3294" s="12" t="s">
        <v>123</v>
      </c>
      <c r="D3294" s="12" t="s">
        <v>110</v>
      </c>
      <c r="E3294" s="12" t="s">
        <v>19</v>
      </c>
      <c r="F3294" s="12" t="s">
        <v>338</v>
      </c>
      <c r="G3294" s="12">
        <v>208813719</v>
      </c>
      <c r="H3294" s="12" t="s">
        <v>339</v>
      </c>
      <c r="I3294" s="12" t="s">
        <v>302</v>
      </c>
      <c r="J3294" s="12">
        <v>1</v>
      </c>
      <c r="K3294" s="12" t="s">
        <v>303</v>
      </c>
    </row>
    <row r="3295" spans="1:11" x14ac:dyDescent="0.3">
      <c r="A3295" s="12" t="s">
        <v>95</v>
      </c>
      <c r="B3295" s="12" t="s">
        <v>294</v>
      </c>
      <c r="C3295" s="12" t="s">
        <v>123</v>
      </c>
      <c r="D3295" s="12" t="s">
        <v>110</v>
      </c>
      <c r="E3295" s="12" t="s">
        <v>69</v>
      </c>
      <c r="F3295" s="12" t="s">
        <v>952</v>
      </c>
      <c r="G3295" s="12">
        <v>85076790</v>
      </c>
      <c r="H3295" s="12" t="s">
        <v>953</v>
      </c>
      <c r="I3295" s="12" t="s">
        <v>306</v>
      </c>
      <c r="J3295" s="12">
        <v>1</v>
      </c>
      <c r="K3295" s="12" t="s">
        <v>303</v>
      </c>
    </row>
    <row r="3296" spans="1:11" x14ac:dyDescent="0.3">
      <c r="A3296" s="12" t="s">
        <v>95</v>
      </c>
      <c r="B3296" s="12" t="s">
        <v>294</v>
      </c>
      <c r="C3296" s="12" t="s">
        <v>123</v>
      </c>
      <c r="D3296" s="12" t="s">
        <v>110</v>
      </c>
      <c r="E3296" s="12" t="s">
        <v>20</v>
      </c>
      <c r="F3296" s="12" t="s">
        <v>340</v>
      </c>
      <c r="G3296" s="12">
        <v>7930</v>
      </c>
      <c r="H3296" s="12" t="s">
        <v>341</v>
      </c>
      <c r="I3296" s="12" t="s">
        <v>306</v>
      </c>
      <c r="J3296" s="12">
        <v>1</v>
      </c>
      <c r="K3296" s="12" t="s">
        <v>303</v>
      </c>
    </row>
    <row r="3297" spans="1:11" x14ac:dyDescent="0.3">
      <c r="A3297" s="12" t="s">
        <v>95</v>
      </c>
      <c r="B3297" s="12" t="s">
        <v>294</v>
      </c>
      <c r="C3297" s="12" t="s">
        <v>123</v>
      </c>
      <c r="D3297" s="12" t="s">
        <v>110</v>
      </c>
      <c r="E3297" s="12" t="s">
        <v>22</v>
      </c>
      <c r="F3297" s="12" t="s">
        <v>344</v>
      </c>
      <c r="G3297" s="12">
        <v>403121976</v>
      </c>
      <c r="H3297" s="12" t="s">
        <v>345</v>
      </c>
      <c r="I3297" s="12" t="s">
        <v>306</v>
      </c>
      <c r="J3297" s="12">
        <v>1</v>
      </c>
      <c r="K3297" s="12" t="s">
        <v>303</v>
      </c>
    </row>
    <row r="3298" spans="1:11" x14ac:dyDescent="0.3">
      <c r="A3298" s="12" t="s">
        <v>95</v>
      </c>
      <c r="B3298" s="12" t="s">
        <v>294</v>
      </c>
      <c r="C3298" s="12" t="s">
        <v>123</v>
      </c>
      <c r="D3298" s="12" t="s">
        <v>110</v>
      </c>
      <c r="E3298" s="12" t="s">
        <v>37</v>
      </c>
      <c r="F3298" s="12" t="s">
        <v>613</v>
      </c>
      <c r="G3298" s="12">
        <v>8314</v>
      </c>
      <c r="H3298" s="12" t="s">
        <v>614</v>
      </c>
      <c r="I3298" s="12" t="s">
        <v>306</v>
      </c>
      <c r="J3298" s="12">
        <v>1</v>
      </c>
      <c r="K3298" s="12" t="s">
        <v>303</v>
      </c>
    </row>
    <row r="3299" spans="1:11" x14ac:dyDescent="0.3">
      <c r="A3299" s="12" t="s">
        <v>95</v>
      </c>
      <c r="B3299" s="12" t="s">
        <v>294</v>
      </c>
      <c r="C3299" s="12" t="s">
        <v>123</v>
      </c>
      <c r="D3299" s="12" t="s">
        <v>110</v>
      </c>
      <c r="E3299" s="12" t="s">
        <v>24</v>
      </c>
      <c r="F3299" s="12" t="s">
        <v>348</v>
      </c>
      <c r="G3299" s="12">
        <v>404509190</v>
      </c>
      <c r="H3299" s="12" t="s">
        <v>349</v>
      </c>
      <c r="I3299" s="12" t="s">
        <v>306</v>
      </c>
      <c r="J3299" s="12">
        <v>1</v>
      </c>
      <c r="K3299" s="12" t="s">
        <v>303</v>
      </c>
    </row>
    <row r="3300" spans="1:11" x14ac:dyDescent="0.3">
      <c r="A3300" s="12" t="s">
        <v>95</v>
      </c>
      <c r="B3300" s="12" t="s">
        <v>294</v>
      </c>
      <c r="C3300" s="12" t="s">
        <v>123</v>
      </c>
      <c r="D3300" s="12" t="s">
        <v>110</v>
      </c>
      <c r="E3300" s="12" t="s">
        <v>70</v>
      </c>
      <c r="F3300" s="12" t="s">
        <v>954</v>
      </c>
      <c r="G3300" s="12">
        <v>1520593</v>
      </c>
      <c r="H3300" s="12" t="s">
        <v>955</v>
      </c>
      <c r="I3300" s="12" t="s">
        <v>306</v>
      </c>
      <c r="J3300" s="12">
        <v>1</v>
      </c>
      <c r="K3300" s="12" t="s">
        <v>303</v>
      </c>
    </row>
    <row r="3301" spans="1:11" x14ac:dyDescent="0.3">
      <c r="A3301" s="12" t="s">
        <v>95</v>
      </c>
      <c r="B3301" s="12" t="s">
        <v>294</v>
      </c>
      <c r="C3301" s="12" t="s">
        <v>123</v>
      </c>
      <c r="D3301" s="12" t="s">
        <v>110</v>
      </c>
      <c r="E3301" s="12" t="s">
        <v>59</v>
      </c>
      <c r="F3301" s="12" t="s">
        <v>836</v>
      </c>
      <c r="G3301" s="12">
        <v>8894</v>
      </c>
      <c r="H3301" s="12" t="s">
        <v>837</v>
      </c>
      <c r="I3301" s="12" t="s">
        <v>306</v>
      </c>
      <c r="J3301" s="12">
        <v>1</v>
      </c>
      <c r="K3301" s="12" t="s">
        <v>303</v>
      </c>
    </row>
    <row r="3302" spans="1:11" x14ac:dyDescent="0.3">
      <c r="A3302" s="12" t="s">
        <v>95</v>
      </c>
      <c r="B3302" s="12" t="s">
        <v>294</v>
      </c>
      <c r="C3302" s="12" t="s">
        <v>123</v>
      </c>
      <c r="D3302" s="12" t="s">
        <v>110</v>
      </c>
      <c r="E3302" s="12" t="s">
        <v>49</v>
      </c>
      <c r="F3302" s="12" t="s">
        <v>700</v>
      </c>
      <c r="G3302" s="12">
        <v>9160</v>
      </c>
      <c r="H3302" s="12" t="s">
        <v>701</v>
      </c>
      <c r="I3302" s="12" t="s">
        <v>306</v>
      </c>
      <c r="J3302" s="12">
        <v>1</v>
      </c>
      <c r="K3302" s="12" t="s">
        <v>303</v>
      </c>
    </row>
    <row r="3303" spans="1:11" x14ac:dyDescent="0.3">
      <c r="A3303" s="12" t="s">
        <v>95</v>
      </c>
      <c r="B3303" s="12" t="s">
        <v>294</v>
      </c>
      <c r="C3303" s="12" t="s">
        <v>123</v>
      </c>
      <c r="D3303" s="12" t="s">
        <v>110</v>
      </c>
      <c r="E3303" s="12" t="s">
        <v>26</v>
      </c>
      <c r="F3303" s="12" t="s">
        <v>352</v>
      </c>
      <c r="G3303" s="12">
        <v>6497</v>
      </c>
      <c r="H3303" s="12" t="s">
        <v>353</v>
      </c>
      <c r="I3303" s="12" t="s">
        <v>306</v>
      </c>
      <c r="J3303" s="12">
        <v>1</v>
      </c>
      <c r="K3303" s="12" t="s">
        <v>303</v>
      </c>
    </row>
    <row r="3304" spans="1:11" x14ac:dyDescent="0.3">
      <c r="A3304" s="12" t="s">
        <v>95</v>
      </c>
      <c r="B3304" s="12" t="s">
        <v>294</v>
      </c>
      <c r="C3304" s="12" t="s">
        <v>123</v>
      </c>
      <c r="D3304" s="12" t="s">
        <v>110</v>
      </c>
      <c r="E3304" s="12" t="s">
        <v>27</v>
      </c>
      <c r="F3304" s="12" t="s">
        <v>354</v>
      </c>
      <c r="G3304" s="12">
        <v>107113386</v>
      </c>
      <c r="H3304" s="12" t="s">
        <v>355</v>
      </c>
      <c r="I3304" s="12" t="s">
        <v>302</v>
      </c>
      <c r="J3304" s="12">
        <v>1</v>
      </c>
      <c r="K3304" s="12" t="s">
        <v>303</v>
      </c>
    </row>
    <row r="3305" spans="1:11" x14ac:dyDescent="0.3">
      <c r="A3305" s="12" t="s">
        <v>95</v>
      </c>
      <c r="B3305" s="12" t="s">
        <v>294</v>
      </c>
      <c r="C3305" s="12" t="s">
        <v>123</v>
      </c>
      <c r="D3305" s="12" t="s">
        <v>110</v>
      </c>
      <c r="E3305" s="12" t="s">
        <v>28</v>
      </c>
      <c r="F3305" s="12" t="s">
        <v>356</v>
      </c>
      <c r="G3305" s="12">
        <v>272093</v>
      </c>
      <c r="H3305" s="12" t="s">
        <v>357</v>
      </c>
      <c r="I3305" s="12" t="s">
        <v>302</v>
      </c>
      <c r="J3305" s="12">
        <v>1</v>
      </c>
      <c r="K3305" s="12" t="s">
        <v>303</v>
      </c>
    </row>
    <row r="3306" spans="1:11" x14ac:dyDescent="0.3">
      <c r="A3306" s="12" t="s">
        <v>95</v>
      </c>
      <c r="B3306" s="12" t="s">
        <v>294</v>
      </c>
      <c r="C3306" s="12" t="s">
        <v>123</v>
      </c>
      <c r="D3306" s="12" t="s">
        <v>110</v>
      </c>
      <c r="E3306" s="12" t="s">
        <v>55</v>
      </c>
      <c r="F3306" s="12" t="s">
        <v>763</v>
      </c>
      <c r="G3306" s="12">
        <v>9939</v>
      </c>
      <c r="H3306" s="12" t="s">
        <v>764</v>
      </c>
      <c r="I3306" s="12" t="s">
        <v>302</v>
      </c>
      <c r="J3306" s="12">
        <v>1</v>
      </c>
      <c r="K3306" s="12" t="s">
        <v>303</v>
      </c>
    </row>
    <row r="3307" spans="1:11" x14ac:dyDescent="0.3">
      <c r="A3307" s="12" t="s">
        <v>95</v>
      </c>
      <c r="B3307" s="12" t="s">
        <v>294</v>
      </c>
      <c r="C3307" s="12" t="s">
        <v>123</v>
      </c>
      <c r="D3307" s="12" t="s">
        <v>110</v>
      </c>
      <c r="E3307" s="12" t="s">
        <v>50</v>
      </c>
      <c r="F3307" s="12" t="s">
        <v>702</v>
      </c>
      <c r="G3307" s="12">
        <v>109911821</v>
      </c>
      <c r="H3307" s="12" t="s">
        <v>703</v>
      </c>
      <c r="I3307" s="12" t="s">
        <v>306</v>
      </c>
      <c r="J3307" s="12">
        <v>1</v>
      </c>
      <c r="K3307" s="12" t="s">
        <v>303</v>
      </c>
    </row>
    <row r="3308" spans="1:11" x14ac:dyDescent="0.3">
      <c r="A3308" s="12" t="s">
        <v>95</v>
      </c>
      <c r="B3308" s="12" t="s">
        <v>294</v>
      </c>
      <c r="C3308" s="12" t="s">
        <v>123</v>
      </c>
      <c r="D3308" s="12" t="s">
        <v>110</v>
      </c>
      <c r="E3308" s="12" t="s">
        <v>71</v>
      </c>
      <c r="F3308" s="12" t="s">
        <v>956</v>
      </c>
      <c r="G3308" s="12">
        <v>4815747</v>
      </c>
      <c r="H3308" s="12" t="s">
        <v>957</v>
      </c>
      <c r="I3308" s="12" t="s">
        <v>302</v>
      </c>
      <c r="J3308" s="12">
        <v>1</v>
      </c>
      <c r="K3308" s="12" t="s">
        <v>303</v>
      </c>
    </row>
    <row r="3309" spans="1:11" x14ac:dyDescent="0.3">
      <c r="A3309" s="12" t="s">
        <v>95</v>
      </c>
      <c r="B3309" s="12" t="s">
        <v>294</v>
      </c>
      <c r="C3309" s="12" t="s">
        <v>123</v>
      </c>
      <c r="D3309" s="12" t="s">
        <v>110</v>
      </c>
      <c r="E3309" s="12" t="s">
        <v>56</v>
      </c>
      <c r="F3309" s="12" t="s">
        <v>765</v>
      </c>
      <c r="G3309" s="12">
        <v>10611</v>
      </c>
      <c r="H3309" s="12" t="s">
        <v>766</v>
      </c>
      <c r="I3309" s="12" t="s">
        <v>306</v>
      </c>
      <c r="J3309" s="12">
        <v>1</v>
      </c>
      <c r="K3309" s="12" t="s">
        <v>382</v>
      </c>
    </row>
    <row r="3310" spans="1:11" x14ac:dyDescent="0.3">
      <c r="A3310" s="12" t="s">
        <v>95</v>
      </c>
      <c r="B3310" s="12" t="s">
        <v>294</v>
      </c>
      <c r="C3310" s="12" t="s">
        <v>123</v>
      </c>
      <c r="D3310" s="12" t="s">
        <v>110</v>
      </c>
      <c r="E3310" s="12" t="s">
        <v>72</v>
      </c>
      <c r="F3310" s="12" t="s">
        <v>958</v>
      </c>
      <c r="G3310" s="12">
        <v>77791077</v>
      </c>
      <c r="H3310" s="12" t="s">
        <v>959</v>
      </c>
      <c r="I3310" s="12" t="s">
        <v>302</v>
      </c>
      <c r="J3310" s="12">
        <v>1</v>
      </c>
      <c r="K3310" s="12" t="s">
        <v>303</v>
      </c>
    </row>
    <row r="3311" spans="1:11" x14ac:dyDescent="0.3">
      <c r="A3311" s="12" t="s">
        <v>95</v>
      </c>
      <c r="B3311" s="12" t="s">
        <v>294</v>
      </c>
      <c r="C3311" s="12" t="s">
        <v>123</v>
      </c>
      <c r="D3311" s="12" t="s">
        <v>110</v>
      </c>
      <c r="E3311" s="12" t="s">
        <v>29</v>
      </c>
      <c r="F3311" s="12" t="s">
        <v>358</v>
      </c>
      <c r="G3311" s="12">
        <v>110619459</v>
      </c>
      <c r="H3311" s="12" t="s">
        <v>359</v>
      </c>
      <c r="I3311" s="12" t="s">
        <v>302</v>
      </c>
      <c r="J3311" s="12">
        <v>1</v>
      </c>
      <c r="K3311" s="12" t="s">
        <v>303</v>
      </c>
    </row>
    <row r="3312" spans="1:11" x14ac:dyDescent="0.3">
      <c r="A3312" s="12" t="s">
        <v>95</v>
      </c>
      <c r="B3312" s="12" t="s">
        <v>294</v>
      </c>
      <c r="C3312" s="12" t="s">
        <v>123</v>
      </c>
      <c r="D3312" s="12" t="s">
        <v>110</v>
      </c>
      <c r="E3312" s="12" t="s">
        <v>73</v>
      </c>
      <c r="F3312" s="12" t="s">
        <v>960</v>
      </c>
      <c r="G3312" s="12">
        <v>105669270</v>
      </c>
      <c r="H3312" s="12" t="s">
        <v>961</v>
      </c>
      <c r="I3312" s="12" t="s">
        <v>306</v>
      </c>
      <c r="J3312" s="12">
        <v>1</v>
      </c>
      <c r="K3312" s="12" t="s">
        <v>303</v>
      </c>
    </row>
    <row r="3313" spans="1:11" x14ac:dyDescent="0.3">
      <c r="A3313" s="12" t="s">
        <v>95</v>
      </c>
      <c r="B3313" s="12" t="s">
        <v>294</v>
      </c>
      <c r="C3313" s="12" t="s">
        <v>123</v>
      </c>
      <c r="D3313" s="12" t="s">
        <v>110</v>
      </c>
      <c r="E3313" s="12" t="s">
        <v>74</v>
      </c>
      <c r="F3313" s="12" t="s">
        <v>962</v>
      </c>
      <c r="G3313" s="12">
        <v>6608432</v>
      </c>
      <c r="H3313" s="12" t="s">
        <v>963</v>
      </c>
      <c r="I3313" s="12" t="s">
        <v>306</v>
      </c>
      <c r="J3313" s="12">
        <v>1</v>
      </c>
      <c r="K3313" s="12" t="s">
        <v>303</v>
      </c>
    </row>
    <row r="3314" spans="1:11" x14ac:dyDescent="0.3">
      <c r="A3314" s="12" t="s">
        <v>95</v>
      </c>
      <c r="B3314" s="12" t="s">
        <v>294</v>
      </c>
      <c r="C3314" s="12" t="s">
        <v>123</v>
      </c>
      <c r="D3314" s="12" t="s">
        <v>110</v>
      </c>
      <c r="E3314" s="12" t="s">
        <v>39</v>
      </c>
      <c r="F3314" s="12" t="s">
        <v>617</v>
      </c>
      <c r="G3314" s="12">
        <v>273544</v>
      </c>
      <c r="H3314" s="12" t="s">
        <v>618</v>
      </c>
      <c r="I3314" s="12" t="s">
        <v>302</v>
      </c>
      <c r="J3314" s="12">
        <v>1</v>
      </c>
      <c r="K3314" s="12" t="s">
        <v>303</v>
      </c>
    </row>
    <row r="3315" spans="1:11" x14ac:dyDescent="0.3">
      <c r="A3315" s="12" t="s">
        <v>95</v>
      </c>
      <c r="B3315" s="12" t="s">
        <v>294</v>
      </c>
      <c r="C3315" s="12" t="s">
        <v>123</v>
      </c>
      <c r="D3315" s="12" t="s">
        <v>110</v>
      </c>
      <c r="E3315" s="12" t="s">
        <v>82</v>
      </c>
      <c r="F3315" s="12" t="s">
        <v>1058</v>
      </c>
      <c r="G3315" s="12">
        <v>320227571</v>
      </c>
      <c r="H3315" s="12" t="s">
        <v>1059</v>
      </c>
      <c r="I3315" s="12" t="s">
        <v>302</v>
      </c>
      <c r="J3315" s="12">
        <v>1</v>
      </c>
      <c r="K3315" s="12" t="s">
        <v>413</v>
      </c>
    </row>
    <row r="3316" spans="1:11" x14ac:dyDescent="0.3">
      <c r="A3316" s="12" t="s">
        <v>95</v>
      </c>
      <c r="B3316" s="12" t="s">
        <v>294</v>
      </c>
      <c r="C3316" s="12" t="s">
        <v>123</v>
      </c>
      <c r="D3316" s="12" t="s">
        <v>110</v>
      </c>
      <c r="E3316" s="12" t="s">
        <v>75</v>
      </c>
      <c r="F3316" s="12" t="s">
        <v>964</v>
      </c>
      <c r="G3316" s="12">
        <v>273733</v>
      </c>
      <c r="H3316" s="12" t="s">
        <v>965</v>
      </c>
      <c r="I3316" s="12" t="s">
        <v>302</v>
      </c>
      <c r="J3316" s="12">
        <v>1</v>
      </c>
      <c r="K3316" s="12" t="s">
        <v>303</v>
      </c>
    </row>
    <row r="3317" spans="1:11" x14ac:dyDescent="0.3">
      <c r="A3317" s="12" t="s">
        <v>95</v>
      </c>
      <c r="B3317" s="12" t="s">
        <v>294</v>
      </c>
      <c r="C3317" s="12" t="s">
        <v>123</v>
      </c>
      <c r="D3317" s="12" t="s">
        <v>110</v>
      </c>
      <c r="E3317" s="12" t="s">
        <v>76</v>
      </c>
      <c r="F3317" s="12" t="s">
        <v>966</v>
      </c>
      <c r="G3317" s="12">
        <v>415342104</v>
      </c>
      <c r="H3317" s="12" t="s">
        <v>967</v>
      </c>
      <c r="I3317" s="12" t="s">
        <v>306</v>
      </c>
      <c r="J3317" s="12">
        <v>1</v>
      </c>
      <c r="K3317" s="12" t="s">
        <v>303</v>
      </c>
    </row>
    <row r="3318" spans="1:11" x14ac:dyDescent="0.3">
      <c r="A3318" s="12" t="s">
        <v>95</v>
      </c>
      <c r="B3318" s="12" t="s">
        <v>294</v>
      </c>
      <c r="C3318" s="12" t="s">
        <v>123</v>
      </c>
      <c r="D3318" s="12" t="s">
        <v>110</v>
      </c>
      <c r="E3318" s="12" t="s">
        <v>51</v>
      </c>
      <c r="F3318" s="12" t="s">
        <v>704</v>
      </c>
      <c r="G3318" s="12">
        <v>43261373</v>
      </c>
      <c r="H3318" s="12" t="s">
        <v>705</v>
      </c>
      <c r="I3318" s="12" t="s">
        <v>302</v>
      </c>
      <c r="J3318" s="12">
        <v>1</v>
      </c>
      <c r="K3318" s="12" t="s">
        <v>303</v>
      </c>
    </row>
    <row r="3319" spans="1:11" x14ac:dyDescent="0.3">
      <c r="A3319" s="12" t="s">
        <v>95</v>
      </c>
      <c r="B3319" s="12" t="s">
        <v>294</v>
      </c>
      <c r="C3319" s="12" t="s">
        <v>123</v>
      </c>
      <c r="D3319" s="12" t="s">
        <v>110</v>
      </c>
      <c r="E3319" s="12" t="s">
        <v>83</v>
      </c>
      <c r="F3319" s="12" t="s">
        <v>1060</v>
      </c>
      <c r="G3319" s="12">
        <v>12658194</v>
      </c>
      <c r="H3319" s="12" t="s">
        <v>1061</v>
      </c>
      <c r="I3319" s="12" t="s">
        <v>302</v>
      </c>
      <c r="J3319" s="12">
        <v>1</v>
      </c>
      <c r="K3319" s="12" t="s">
        <v>413</v>
      </c>
    </row>
    <row r="3320" spans="1:11" x14ac:dyDescent="0.3">
      <c r="A3320" s="12" t="s">
        <v>95</v>
      </c>
      <c r="B3320" s="12" t="s">
        <v>294</v>
      </c>
      <c r="C3320" s="12" t="s">
        <v>123</v>
      </c>
      <c r="D3320" s="12" t="s">
        <v>110</v>
      </c>
      <c r="E3320" s="12" t="s">
        <v>77</v>
      </c>
      <c r="F3320" s="12" t="s">
        <v>968</v>
      </c>
      <c r="G3320" s="12">
        <v>76792991</v>
      </c>
      <c r="H3320" s="12" t="s">
        <v>969</v>
      </c>
      <c r="I3320" s="12" t="s">
        <v>302</v>
      </c>
      <c r="J3320" s="12">
        <v>1</v>
      </c>
      <c r="K3320" s="12" t="s">
        <v>303</v>
      </c>
    </row>
    <row r="3321" spans="1:11" x14ac:dyDescent="0.3">
      <c r="A3321" s="12" t="s">
        <v>95</v>
      </c>
      <c r="B3321" s="12" t="s">
        <v>294</v>
      </c>
      <c r="C3321" s="12" t="s">
        <v>123</v>
      </c>
      <c r="D3321" s="12" t="s">
        <v>110</v>
      </c>
      <c r="E3321" s="12" t="s">
        <v>78</v>
      </c>
      <c r="F3321" s="12" t="s">
        <v>970</v>
      </c>
      <c r="G3321" s="12">
        <v>13096</v>
      </c>
      <c r="H3321" s="12" t="s">
        <v>971</v>
      </c>
      <c r="I3321" s="12" t="s">
        <v>302</v>
      </c>
      <c r="J3321" s="12">
        <v>1</v>
      </c>
      <c r="K3321" s="12" t="s">
        <v>303</v>
      </c>
    </row>
    <row r="3322" spans="1:11" x14ac:dyDescent="0.3">
      <c r="A3322" s="12" t="s">
        <v>95</v>
      </c>
      <c r="B3322" s="12" t="s">
        <v>294</v>
      </c>
      <c r="C3322" s="12" t="s">
        <v>123</v>
      </c>
      <c r="D3322" s="12" t="s">
        <v>110</v>
      </c>
      <c r="E3322" s="12" t="s">
        <v>32</v>
      </c>
      <c r="F3322" s="12" t="s">
        <v>364</v>
      </c>
      <c r="G3322" s="12">
        <v>365207014</v>
      </c>
      <c r="H3322" s="12" t="s">
        <v>365</v>
      </c>
      <c r="I3322" s="12" t="s">
        <v>306</v>
      </c>
      <c r="J3322" s="12">
        <v>1</v>
      </c>
      <c r="K3322" s="12" t="s">
        <v>303</v>
      </c>
    </row>
    <row r="3323" spans="1:11" x14ac:dyDescent="0.3">
      <c r="A3323" s="12" t="s">
        <v>95</v>
      </c>
      <c r="B3323" s="12" t="s">
        <v>294</v>
      </c>
      <c r="C3323" s="12" t="s">
        <v>123</v>
      </c>
      <c r="D3323" s="12" t="s">
        <v>110</v>
      </c>
      <c r="E3323" s="12" t="s">
        <v>61</v>
      </c>
      <c r="F3323" s="12" t="s">
        <v>840</v>
      </c>
      <c r="G3323" s="12">
        <v>4215217</v>
      </c>
      <c r="H3323" s="12" t="s">
        <v>841</v>
      </c>
      <c r="I3323" s="12" t="s">
        <v>623</v>
      </c>
      <c r="J3323" s="12">
        <v>1</v>
      </c>
      <c r="K3323" s="12" t="s">
        <v>413</v>
      </c>
    </row>
    <row r="3324" spans="1:11" x14ac:dyDescent="0.3">
      <c r="A3324" s="12" t="s">
        <v>95</v>
      </c>
      <c r="B3324" s="12" t="s">
        <v>294</v>
      </c>
      <c r="C3324" s="12" t="s">
        <v>123</v>
      </c>
      <c r="D3324" s="12" t="s">
        <v>110</v>
      </c>
      <c r="E3324" s="12" t="s">
        <v>62</v>
      </c>
      <c r="F3324" s="12" t="s">
        <v>842</v>
      </c>
      <c r="G3324" s="12">
        <v>4215220</v>
      </c>
      <c r="H3324" s="12" t="s">
        <v>843</v>
      </c>
      <c r="I3324" s="12" t="s">
        <v>623</v>
      </c>
      <c r="J3324" s="12">
        <v>1</v>
      </c>
      <c r="K3324" s="12" t="s">
        <v>413</v>
      </c>
    </row>
    <row r="3325" spans="1:11" x14ac:dyDescent="0.3">
      <c r="A3325" s="12" t="s">
        <v>95</v>
      </c>
      <c r="B3325" s="12" t="s">
        <v>294</v>
      </c>
      <c r="C3325" s="12" t="s">
        <v>123</v>
      </c>
      <c r="D3325" s="12" t="s">
        <v>110</v>
      </c>
      <c r="E3325" s="12" t="s">
        <v>41</v>
      </c>
      <c r="F3325" s="12" t="s">
        <v>621</v>
      </c>
      <c r="G3325" s="12">
        <v>319359438</v>
      </c>
      <c r="H3325" s="12" t="s">
        <v>622</v>
      </c>
      <c r="I3325" s="12" t="s">
        <v>623</v>
      </c>
      <c r="J3325" s="12">
        <v>1</v>
      </c>
      <c r="K3325" s="12" t="s">
        <v>413</v>
      </c>
    </row>
    <row r="3326" spans="1:11" x14ac:dyDescent="0.3">
      <c r="A3326" s="12" t="s">
        <v>95</v>
      </c>
      <c r="B3326" s="12" t="s">
        <v>294</v>
      </c>
      <c r="C3326" s="12" t="s">
        <v>123</v>
      </c>
      <c r="D3326" s="12" t="s">
        <v>110</v>
      </c>
      <c r="E3326" s="12" t="s">
        <v>79</v>
      </c>
      <c r="F3326" s="12" t="s">
        <v>972</v>
      </c>
      <c r="G3326" s="12">
        <v>4215227</v>
      </c>
      <c r="H3326" s="12" t="s">
        <v>973</v>
      </c>
      <c r="I3326" s="12" t="s">
        <v>623</v>
      </c>
      <c r="J3326" s="12">
        <v>1</v>
      </c>
      <c r="K3326" s="12" t="s">
        <v>413</v>
      </c>
    </row>
    <row r="3327" spans="1:11" x14ac:dyDescent="0.3">
      <c r="A3327" s="12" t="s">
        <v>95</v>
      </c>
      <c r="B3327" s="12" t="s">
        <v>294</v>
      </c>
      <c r="C3327" s="12" t="s">
        <v>123</v>
      </c>
      <c r="D3327" s="12" t="s">
        <v>110</v>
      </c>
      <c r="E3327" s="12" t="s">
        <v>42</v>
      </c>
      <c r="F3327" s="12" t="s">
        <v>624</v>
      </c>
      <c r="G3327" s="12">
        <v>4215230</v>
      </c>
      <c r="H3327" s="12" t="s">
        <v>625</v>
      </c>
      <c r="I3327" s="12" t="s">
        <v>623</v>
      </c>
      <c r="J3327" s="12">
        <v>1</v>
      </c>
      <c r="K3327" s="12" t="s">
        <v>413</v>
      </c>
    </row>
    <row r="3328" spans="1:11" x14ac:dyDescent="0.3">
      <c r="A3328" s="12" t="s">
        <v>95</v>
      </c>
      <c r="B3328" s="12" t="s">
        <v>294</v>
      </c>
      <c r="C3328" s="12" t="s">
        <v>123</v>
      </c>
      <c r="D3328" s="12" t="s">
        <v>110</v>
      </c>
      <c r="E3328" s="12" t="s">
        <v>43</v>
      </c>
      <c r="F3328" s="12" t="s">
        <v>626</v>
      </c>
      <c r="G3328" s="12">
        <v>4215235</v>
      </c>
      <c r="H3328" s="12" t="s">
        <v>627</v>
      </c>
      <c r="I3328" s="12" t="s">
        <v>623</v>
      </c>
      <c r="J3328" s="12">
        <v>1</v>
      </c>
      <c r="K3328" s="12" t="s">
        <v>413</v>
      </c>
    </row>
    <row r="3329" spans="1:12" x14ac:dyDescent="0.3">
      <c r="A3329" s="12" t="s">
        <v>95</v>
      </c>
      <c r="B3329" s="12" t="s">
        <v>294</v>
      </c>
      <c r="C3329" s="12" t="s">
        <v>123</v>
      </c>
      <c r="D3329" s="12" t="s">
        <v>110</v>
      </c>
      <c r="E3329" s="12" t="s">
        <v>44</v>
      </c>
      <c r="F3329" s="12" t="s">
        <v>628</v>
      </c>
      <c r="G3329" s="12">
        <v>4215205</v>
      </c>
      <c r="H3329" s="12" t="s">
        <v>629</v>
      </c>
      <c r="I3329" s="12" t="s">
        <v>623</v>
      </c>
      <c r="J3329" s="12">
        <v>1</v>
      </c>
      <c r="K3329" s="12" t="s">
        <v>413</v>
      </c>
    </row>
    <row r="3330" spans="1:12" x14ac:dyDescent="0.3">
      <c r="A3330" s="12" t="s">
        <v>95</v>
      </c>
      <c r="B3330" s="12" t="s">
        <v>294</v>
      </c>
      <c r="C3330" s="12" t="s">
        <v>123</v>
      </c>
      <c r="D3330" s="12" t="s">
        <v>110</v>
      </c>
      <c r="E3330" s="12" t="s">
        <v>84</v>
      </c>
      <c r="F3330" s="12" t="s">
        <v>1062</v>
      </c>
      <c r="G3330" s="12">
        <v>4215215</v>
      </c>
      <c r="H3330" s="12" t="s">
        <v>1063</v>
      </c>
      <c r="I3330" s="12" t="s">
        <v>623</v>
      </c>
      <c r="J3330" s="12">
        <v>1</v>
      </c>
      <c r="K3330" s="12" t="s">
        <v>413</v>
      </c>
    </row>
    <row r="3331" spans="1:12" x14ac:dyDescent="0.3">
      <c r="A3331" s="12" t="s">
        <v>95</v>
      </c>
      <c r="B3331" s="12" t="s">
        <v>294</v>
      </c>
      <c r="C3331" s="12" t="s">
        <v>123</v>
      </c>
      <c r="D3331" s="12" t="s">
        <v>110</v>
      </c>
      <c r="E3331" s="12" t="s">
        <v>35</v>
      </c>
      <c r="F3331" s="12" t="s">
        <v>370</v>
      </c>
      <c r="G3331" s="12">
        <v>13977</v>
      </c>
      <c r="H3331" s="12" t="s">
        <v>371</v>
      </c>
      <c r="I3331" s="12" t="s">
        <v>306</v>
      </c>
      <c r="J3331" s="12">
        <v>1</v>
      </c>
      <c r="K3331" s="12" t="s">
        <v>303</v>
      </c>
    </row>
    <row r="3332" spans="1:12" x14ac:dyDescent="0.3">
      <c r="A3332" s="12" t="s">
        <v>95</v>
      </c>
      <c r="B3332" s="12" t="s">
        <v>294</v>
      </c>
      <c r="C3332" s="12" t="s">
        <v>120</v>
      </c>
      <c r="D3332" s="12" t="s">
        <v>100</v>
      </c>
      <c r="E3332" s="12" t="s">
        <v>0</v>
      </c>
      <c r="F3332" s="12" t="s">
        <v>269</v>
      </c>
      <c r="G3332" s="12" t="s">
        <v>295</v>
      </c>
      <c r="H3332" s="12" t="s">
        <v>297</v>
      </c>
      <c r="I3332" s="12" t="s">
        <v>298</v>
      </c>
      <c r="J3332" s="12" t="s">
        <v>372</v>
      </c>
      <c r="K3332" s="12" t="s">
        <v>373</v>
      </c>
      <c r="L3332" s="12" t="s">
        <v>165</v>
      </c>
    </row>
    <row r="3333" spans="1:12" x14ac:dyDescent="0.3">
      <c r="A3333" s="12" t="s">
        <v>95</v>
      </c>
      <c r="B3333" s="12" t="s">
        <v>294</v>
      </c>
      <c r="C3333" s="12" t="s">
        <v>123</v>
      </c>
      <c r="D3333" s="12" t="s">
        <v>112</v>
      </c>
      <c r="E3333" s="12" t="s">
        <v>80</v>
      </c>
      <c r="F3333" s="12" t="s">
        <v>974</v>
      </c>
      <c r="G3333" s="12">
        <v>637533398</v>
      </c>
      <c r="H3333" s="12" t="s">
        <v>375</v>
      </c>
      <c r="I3333" s="12">
        <v>5</v>
      </c>
      <c r="J3333" s="20">
        <v>45555</v>
      </c>
      <c r="K3333" s="12" t="s">
        <v>770</v>
      </c>
    </row>
    <row r="3334" spans="1:12" x14ac:dyDescent="0.3">
      <c r="A3334" s="12" t="s">
        <v>95</v>
      </c>
      <c r="B3334" s="12" t="s">
        <v>294</v>
      </c>
      <c r="C3334" s="12" t="s">
        <v>123</v>
      </c>
      <c r="D3334" s="12" t="s">
        <v>112</v>
      </c>
      <c r="E3334" s="12" t="s">
        <v>81</v>
      </c>
      <c r="F3334" s="12" t="s">
        <v>975</v>
      </c>
      <c r="G3334" s="12">
        <v>637533593</v>
      </c>
      <c r="H3334" s="12" t="s">
        <v>375</v>
      </c>
      <c r="I3334" s="12">
        <v>2</v>
      </c>
      <c r="J3334" s="20">
        <v>45555</v>
      </c>
      <c r="K3334" s="12" t="s">
        <v>770</v>
      </c>
    </row>
    <row r="3335" spans="1:12" x14ac:dyDescent="0.3">
      <c r="A3335" s="12" t="s">
        <v>95</v>
      </c>
      <c r="B3335" s="12" t="s">
        <v>376</v>
      </c>
      <c r="C3335" s="12" t="s">
        <v>120</v>
      </c>
      <c r="D3335" s="12" t="s">
        <v>165</v>
      </c>
      <c r="E3335" s="12" t="s">
        <v>377</v>
      </c>
      <c r="F3335" s="12" t="s">
        <v>378</v>
      </c>
      <c r="G3335" s="12" t="s">
        <v>379</v>
      </c>
    </row>
    <row r="3336" spans="1:12" x14ac:dyDescent="0.3">
      <c r="A3336" s="12" t="s">
        <v>95</v>
      </c>
      <c r="B3336" s="12" t="s">
        <v>376</v>
      </c>
      <c r="C3336" s="12" t="s">
        <v>123</v>
      </c>
      <c r="D3336" s="12" t="s">
        <v>380</v>
      </c>
      <c r="E3336" s="12" t="s">
        <v>381</v>
      </c>
    </row>
    <row r="3337" spans="1:12" x14ac:dyDescent="0.3">
      <c r="A3337" s="12" t="s">
        <v>95</v>
      </c>
      <c r="B3337" s="12" t="s">
        <v>376</v>
      </c>
      <c r="C3337" s="12" t="s">
        <v>123</v>
      </c>
      <c r="D3337" s="12" t="s">
        <v>382</v>
      </c>
      <c r="E3337" s="12" t="s">
        <v>383</v>
      </c>
    </row>
    <row r="3338" spans="1:12" x14ac:dyDescent="0.3">
      <c r="A3338" s="12" t="s">
        <v>95</v>
      </c>
      <c r="B3338" s="12" t="s">
        <v>376</v>
      </c>
      <c r="C3338" s="12" t="s">
        <v>123</v>
      </c>
      <c r="D3338" s="12" t="s">
        <v>384</v>
      </c>
      <c r="E3338" s="12" t="s">
        <v>385</v>
      </c>
    </row>
    <row r="3339" spans="1:12" x14ac:dyDescent="0.3">
      <c r="A3339" s="12" t="s">
        <v>95</v>
      </c>
      <c r="B3339" s="12" t="s">
        <v>376</v>
      </c>
      <c r="C3339" s="12" t="s">
        <v>123</v>
      </c>
      <c r="D3339" s="12" t="s">
        <v>386</v>
      </c>
      <c r="E3339" s="12" t="s">
        <v>387</v>
      </c>
    </row>
    <row r="3340" spans="1:12" x14ac:dyDescent="0.3">
      <c r="A3340" s="12" t="s">
        <v>95</v>
      </c>
      <c r="B3340" s="12" t="s">
        <v>376</v>
      </c>
      <c r="C3340" s="12" t="s">
        <v>123</v>
      </c>
      <c r="D3340" s="12" t="s">
        <v>388</v>
      </c>
      <c r="E3340" s="12" t="s">
        <v>389</v>
      </c>
    </row>
    <row r="3341" spans="1:12" x14ac:dyDescent="0.3">
      <c r="A3341" s="12" t="s">
        <v>95</v>
      </c>
      <c r="B3341" s="12" t="s">
        <v>376</v>
      </c>
      <c r="C3341" s="12" t="s">
        <v>123</v>
      </c>
      <c r="D3341" s="12" t="s">
        <v>390</v>
      </c>
      <c r="E3341" s="12" t="s">
        <v>391</v>
      </c>
    </row>
    <row r="3342" spans="1:12" x14ac:dyDescent="0.3">
      <c r="A3342" s="12" t="s">
        <v>95</v>
      </c>
      <c r="B3342" s="12" t="s">
        <v>376</v>
      </c>
      <c r="C3342" s="12" t="s">
        <v>123</v>
      </c>
      <c r="D3342" s="12" t="s">
        <v>392</v>
      </c>
      <c r="E3342" s="12" t="s">
        <v>393</v>
      </c>
    </row>
    <row r="3343" spans="1:12" x14ac:dyDescent="0.3">
      <c r="A3343" s="12" t="s">
        <v>95</v>
      </c>
      <c r="B3343" s="12" t="s">
        <v>376</v>
      </c>
      <c r="C3343" s="12" t="s">
        <v>123</v>
      </c>
      <c r="D3343" s="12" t="s">
        <v>394</v>
      </c>
      <c r="E3343" s="12" t="s">
        <v>395</v>
      </c>
    </row>
    <row r="3344" spans="1:12" x14ac:dyDescent="0.3">
      <c r="A3344" s="12" t="s">
        <v>95</v>
      </c>
      <c r="B3344" s="12" t="s">
        <v>376</v>
      </c>
      <c r="C3344" s="12" t="s">
        <v>123</v>
      </c>
      <c r="D3344" s="12" t="s">
        <v>396</v>
      </c>
      <c r="E3344" s="12" t="s">
        <v>397</v>
      </c>
    </row>
    <row r="3345" spans="1:5" x14ac:dyDescent="0.3">
      <c r="A3345" s="12" t="s">
        <v>95</v>
      </c>
      <c r="B3345" s="12" t="s">
        <v>376</v>
      </c>
      <c r="C3345" s="12" t="s">
        <v>123</v>
      </c>
      <c r="D3345" s="12" t="s">
        <v>3</v>
      </c>
      <c r="E3345" s="12" t="s">
        <v>398</v>
      </c>
    </row>
    <row r="3346" spans="1:5" x14ac:dyDescent="0.3">
      <c r="A3346" s="12" t="s">
        <v>95</v>
      </c>
      <c r="B3346" s="12" t="s">
        <v>376</v>
      </c>
      <c r="C3346" s="12" t="s">
        <v>123</v>
      </c>
      <c r="D3346" s="12" t="s">
        <v>399</v>
      </c>
      <c r="E3346" s="12" t="s">
        <v>400</v>
      </c>
    </row>
    <row r="3347" spans="1:5" x14ac:dyDescent="0.3">
      <c r="A3347" s="12" t="s">
        <v>95</v>
      </c>
      <c r="B3347" s="12" t="s">
        <v>376</v>
      </c>
      <c r="C3347" s="12" t="s">
        <v>123</v>
      </c>
      <c r="D3347" s="12" t="s">
        <v>401</v>
      </c>
      <c r="E3347" s="12" t="s">
        <v>402</v>
      </c>
    </row>
    <row r="3348" spans="1:5" x14ac:dyDescent="0.3">
      <c r="A3348" s="12" t="s">
        <v>95</v>
      </c>
      <c r="B3348" s="12" t="s">
        <v>376</v>
      </c>
      <c r="C3348" s="12" t="s">
        <v>123</v>
      </c>
      <c r="D3348" s="12" t="s">
        <v>403</v>
      </c>
      <c r="E3348" s="12" t="s">
        <v>404</v>
      </c>
    </row>
    <row r="3349" spans="1:5" x14ac:dyDescent="0.3">
      <c r="A3349" s="12" t="s">
        <v>95</v>
      </c>
      <c r="B3349" s="12" t="s">
        <v>376</v>
      </c>
      <c r="C3349" s="12" t="s">
        <v>123</v>
      </c>
      <c r="D3349" s="12" t="s">
        <v>405</v>
      </c>
      <c r="E3349" s="12" t="s">
        <v>406</v>
      </c>
    </row>
    <row r="3350" spans="1:5" x14ac:dyDescent="0.3">
      <c r="A3350" s="12" t="s">
        <v>95</v>
      </c>
      <c r="B3350" s="12" t="s">
        <v>376</v>
      </c>
      <c r="C3350" s="12" t="s">
        <v>123</v>
      </c>
      <c r="D3350" s="12" t="s">
        <v>407</v>
      </c>
      <c r="E3350" s="12" t="s">
        <v>408</v>
      </c>
    </row>
    <row r="3351" spans="1:5" x14ac:dyDescent="0.3">
      <c r="A3351" s="12" t="s">
        <v>95</v>
      </c>
      <c r="B3351" s="12" t="s">
        <v>376</v>
      </c>
      <c r="C3351" s="12" t="s">
        <v>123</v>
      </c>
      <c r="D3351" s="12" t="s">
        <v>409</v>
      </c>
      <c r="E3351" s="12" t="s">
        <v>410</v>
      </c>
    </row>
    <row r="3352" spans="1:5" x14ac:dyDescent="0.3">
      <c r="A3352" s="12" t="s">
        <v>95</v>
      </c>
      <c r="B3352" s="12" t="s">
        <v>376</v>
      </c>
      <c r="C3352" s="12" t="s">
        <v>123</v>
      </c>
      <c r="D3352" s="12" t="s">
        <v>411</v>
      </c>
      <c r="E3352" s="12" t="s">
        <v>412</v>
      </c>
    </row>
    <row r="3353" spans="1:5" x14ac:dyDescent="0.3">
      <c r="A3353" s="12" t="s">
        <v>95</v>
      </c>
      <c r="B3353" s="12" t="s">
        <v>376</v>
      </c>
      <c r="C3353" s="12" t="s">
        <v>123</v>
      </c>
      <c r="D3353" s="12" t="s">
        <v>413</v>
      </c>
      <c r="E3353" s="12" t="s">
        <v>414</v>
      </c>
    </row>
    <row r="3354" spans="1:5" x14ac:dyDescent="0.3">
      <c r="A3354" s="12" t="s">
        <v>95</v>
      </c>
      <c r="B3354" s="12" t="s">
        <v>376</v>
      </c>
      <c r="C3354" s="12" t="s">
        <v>123</v>
      </c>
      <c r="D3354" s="12" t="s">
        <v>415</v>
      </c>
      <c r="E3354" s="12" t="s">
        <v>416</v>
      </c>
    </row>
    <row r="3355" spans="1:5" x14ac:dyDescent="0.3">
      <c r="A3355" s="12" t="s">
        <v>95</v>
      </c>
      <c r="B3355" s="12" t="s">
        <v>376</v>
      </c>
      <c r="C3355" s="12" t="s">
        <v>123</v>
      </c>
      <c r="D3355" s="12" t="s">
        <v>417</v>
      </c>
      <c r="E3355" s="12" t="s">
        <v>418</v>
      </c>
    </row>
    <row r="3356" spans="1:5" x14ac:dyDescent="0.3">
      <c r="A3356" s="12" t="s">
        <v>95</v>
      </c>
      <c r="B3356" s="12" t="s">
        <v>376</v>
      </c>
      <c r="C3356" s="12" t="s">
        <v>123</v>
      </c>
      <c r="D3356" s="12" t="s">
        <v>419</v>
      </c>
      <c r="E3356" s="12" t="s">
        <v>420</v>
      </c>
    </row>
    <row r="3357" spans="1:5" x14ac:dyDescent="0.3">
      <c r="A3357" s="12" t="s">
        <v>95</v>
      </c>
      <c r="B3357" s="12" t="s">
        <v>376</v>
      </c>
      <c r="C3357" s="12" t="s">
        <v>123</v>
      </c>
      <c r="D3357" s="12" t="s">
        <v>421</v>
      </c>
      <c r="E3357" s="12" t="s">
        <v>422</v>
      </c>
    </row>
    <row r="3358" spans="1:5" x14ac:dyDescent="0.3">
      <c r="A3358" s="12" t="s">
        <v>95</v>
      </c>
      <c r="B3358" s="12" t="s">
        <v>376</v>
      </c>
      <c r="C3358" s="12" t="s">
        <v>123</v>
      </c>
      <c r="D3358" s="12" t="s">
        <v>423</v>
      </c>
      <c r="E3358" s="12" t="s">
        <v>424</v>
      </c>
    </row>
    <row r="3359" spans="1:5" x14ac:dyDescent="0.3">
      <c r="A3359" s="12" t="s">
        <v>95</v>
      </c>
      <c r="B3359" s="12" t="s">
        <v>376</v>
      </c>
      <c r="C3359" s="12" t="s">
        <v>123</v>
      </c>
      <c r="D3359" s="12" t="s">
        <v>425</v>
      </c>
      <c r="E3359" s="12" t="s">
        <v>426</v>
      </c>
    </row>
    <row r="3360" spans="1:5" x14ac:dyDescent="0.3">
      <c r="A3360" s="12" t="s">
        <v>95</v>
      </c>
      <c r="B3360" s="12" t="s">
        <v>376</v>
      </c>
      <c r="C3360" s="12" t="s">
        <v>123</v>
      </c>
      <c r="D3360" s="12" t="s">
        <v>427</v>
      </c>
      <c r="E3360" s="12" t="s">
        <v>428</v>
      </c>
    </row>
    <row r="3361" spans="1:5" x14ac:dyDescent="0.3">
      <c r="A3361" s="12" t="s">
        <v>95</v>
      </c>
      <c r="B3361" s="12" t="s">
        <v>376</v>
      </c>
      <c r="C3361" s="12" t="s">
        <v>123</v>
      </c>
      <c r="D3361" s="12" t="s">
        <v>429</v>
      </c>
      <c r="E3361" s="12" t="s">
        <v>430</v>
      </c>
    </row>
    <row r="3362" spans="1:5" x14ac:dyDescent="0.3">
      <c r="A3362" s="12" t="s">
        <v>95</v>
      </c>
      <c r="B3362" s="12" t="s">
        <v>376</v>
      </c>
      <c r="C3362" s="12" t="s">
        <v>123</v>
      </c>
      <c r="D3362" s="12" t="s">
        <v>431</v>
      </c>
      <c r="E3362" s="12" t="s">
        <v>432</v>
      </c>
    </row>
    <row r="3363" spans="1:5" x14ac:dyDescent="0.3">
      <c r="A3363" s="12" t="s">
        <v>95</v>
      </c>
      <c r="B3363" s="12" t="s">
        <v>376</v>
      </c>
      <c r="C3363" s="12" t="s">
        <v>123</v>
      </c>
      <c r="D3363" s="12" t="s">
        <v>433</v>
      </c>
      <c r="E3363" s="12" t="s">
        <v>434</v>
      </c>
    </row>
    <row r="3364" spans="1:5" x14ac:dyDescent="0.3">
      <c r="A3364" s="12" t="s">
        <v>95</v>
      </c>
      <c r="B3364" s="12" t="s">
        <v>376</v>
      </c>
      <c r="C3364" s="12" t="s">
        <v>123</v>
      </c>
      <c r="D3364" s="12" t="s">
        <v>435</v>
      </c>
      <c r="E3364" s="12" t="s">
        <v>436</v>
      </c>
    </row>
    <row r="3365" spans="1:5" x14ac:dyDescent="0.3">
      <c r="A3365" s="12" t="s">
        <v>95</v>
      </c>
      <c r="B3365" s="12" t="s">
        <v>376</v>
      </c>
      <c r="C3365" s="12" t="s">
        <v>123</v>
      </c>
      <c r="D3365" s="12" t="s">
        <v>437</v>
      </c>
      <c r="E3365" s="12" t="s">
        <v>438</v>
      </c>
    </row>
    <row r="3366" spans="1:5" x14ac:dyDescent="0.3">
      <c r="A3366" s="12" t="s">
        <v>95</v>
      </c>
      <c r="B3366" s="12" t="s">
        <v>376</v>
      </c>
      <c r="C3366" s="12" t="s">
        <v>123</v>
      </c>
      <c r="D3366" s="12" t="s">
        <v>439</v>
      </c>
      <c r="E3366" s="12" t="s">
        <v>440</v>
      </c>
    </row>
    <row r="3367" spans="1:5" x14ac:dyDescent="0.3">
      <c r="A3367" s="12" t="s">
        <v>95</v>
      </c>
      <c r="B3367" s="12" t="s">
        <v>376</v>
      </c>
      <c r="C3367" s="12" t="s">
        <v>123</v>
      </c>
      <c r="D3367" s="12" t="s">
        <v>441</v>
      </c>
      <c r="E3367" s="12" t="s">
        <v>442</v>
      </c>
    </row>
    <row r="3368" spans="1:5" x14ac:dyDescent="0.3">
      <c r="A3368" s="12" t="s">
        <v>95</v>
      </c>
      <c r="B3368" s="12" t="s">
        <v>376</v>
      </c>
      <c r="C3368" s="12" t="s">
        <v>123</v>
      </c>
      <c r="D3368" s="12" t="s">
        <v>443</v>
      </c>
      <c r="E3368" s="12" t="s">
        <v>444</v>
      </c>
    </row>
    <row r="3369" spans="1:5" x14ac:dyDescent="0.3">
      <c r="A3369" s="12" t="s">
        <v>95</v>
      </c>
      <c r="B3369" s="12" t="s">
        <v>376</v>
      </c>
      <c r="C3369" s="12" t="s">
        <v>123</v>
      </c>
      <c r="D3369" s="12" t="s">
        <v>445</v>
      </c>
      <c r="E3369" s="12" t="s">
        <v>446</v>
      </c>
    </row>
    <row r="3370" spans="1:5" x14ac:dyDescent="0.3">
      <c r="A3370" s="12" t="s">
        <v>95</v>
      </c>
      <c r="B3370" s="12" t="s">
        <v>376</v>
      </c>
      <c r="C3370" s="12" t="s">
        <v>123</v>
      </c>
      <c r="D3370" s="12" t="s">
        <v>447</v>
      </c>
      <c r="E3370" s="12" t="s">
        <v>448</v>
      </c>
    </row>
    <row r="3371" spans="1:5" x14ac:dyDescent="0.3">
      <c r="A3371" s="12" t="s">
        <v>95</v>
      </c>
      <c r="B3371" s="12" t="s">
        <v>376</v>
      </c>
      <c r="C3371" s="12" t="s">
        <v>123</v>
      </c>
      <c r="D3371" s="12" t="s">
        <v>449</v>
      </c>
      <c r="E3371" s="12" t="s">
        <v>450</v>
      </c>
    </row>
    <row r="3372" spans="1:5" x14ac:dyDescent="0.3">
      <c r="A3372" s="12" t="s">
        <v>95</v>
      </c>
      <c r="B3372" s="12" t="s">
        <v>376</v>
      </c>
      <c r="C3372" s="12" t="s">
        <v>123</v>
      </c>
      <c r="D3372" s="12" t="s">
        <v>451</v>
      </c>
      <c r="E3372" s="12" t="s">
        <v>452</v>
      </c>
    </row>
    <row r="3373" spans="1:5" x14ac:dyDescent="0.3">
      <c r="A3373" s="12" t="s">
        <v>95</v>
      </c>
      <c r="B3373" s="12" t="s">
        <v>376</v>
      </c>
      <c r="C3373" s="12" t="s">
        <v>123</v>
      </c>
      <c r="D3373" s="12" t="s">
        <v>453</v>
      </c>
      <c r="E3373" s="12" t="s">
        <v>454</v>
      </c>
    </row>
    <row r="3374" spans="1:5" x14ac:dyDescent="0.3">
      <c r="A3374" s="12" t="s">
        <v>95</v>
      </c>
      <c r="B3374" s="12" t="s">
        <v>376</v>
      </c>
      <c r="C3374" s="12" t="s">
        <v>123</v>
      </c>
      <c r="D3374" s="12" t="s">
        <v>455</v>
      </c>
      <c r="E3374" s="12" t="s">
        <v>456</v>
      </c>
    </row>
    <row r="3375" spans="1:5" x14ac:dyDescent="0.3">
      <c r="A3375" s="12" t="s">
        <v>95</v>
      </c>
      <c r="B3375" s="12" t="s">
        <v>376</v>
      </c>
      <c r="C3375" s="12" t="s">
        <v>123</v>
      </c>
      <c r="D3375" s="12" t="s">
        <v>457</v>
      </c>
      <c r="E3375" s="12" t="s">
        <v>458</v>
      </c>
    </row>
    <row r="3376" spans="1:5" x14ac:dyDescent="0.3">
      <c r="A3376" s="12" t="s">
        <v>95</v>
      </c>
      <c r="B3376" s="12" t="s">
        <v>376</v>
      </c>
      <c r="C3376" s="12" t="s">
        <v>123</v>
      </c>
      <c r="D3376" s="12" t="s">
        <v>459</v>
      </c>
      <c r="E3376" s="12" t="s">
        <v>460</v>
      </c>
    </row>
    <row r="3377" spans="1:5" x14ac:dyDescent="0.3">
      <c r="A3377" s="12" t="s">
        <v>95</v>
      </c>
      <c r="B3377" s="12" t="s">
        <v>376</v>
      </c>
      <c r="C3377" s="12" t="s">
        <v>123</v>
      </c>
      <c r="D3377" s="12" t="s">
        <v>461</v>
      </c>
      <c r="E3377" s="12" t="s">
        <v>462</v>
      </c>
    </row>
    <row r="3378" spans="1:5" x14ac:dyDescent="0.3">
      <c r="A3378" s="12" t="s">
        <v>95</v>
      </c>
      <c r="B3378" s="12" t="s">
        <v>376</v>
      </c>
      <c r="C3378" s="12" t="s">
        <v>123</v>
      </c>
      <c r="D3378" s="12" t="s">
        <v>463</v>
      </c>
      <c r="E3378" s="12" t="s">
        <v>464</v>
      </c>
    </row>
    <row r="3379" spans="1:5" x14ac:dyDescent="0.3">
      <c r="A3379" s="12" t="s">
        <v>95</v>
      </c>
      <c r="B3379" s="12" t="s">
        <v>376</v>
      </c>
      <c r="C3379" s="12" t="s">
        <v>123</v>
      </c>
      <c r="D3379" s="12" t="s">
        <v>465</v>
      </c>
      <c r="E3379" s="12" t="s">
        <v>466</v>
      </c>
    </row>
    <row r="3380" spans="1:5" x14ac:dyDescent="0.3">
      <c r="A3380" s="12" t="s">
        <v>95</v>
      </c>
      <c r="B3380" s="12" t="s">
        <v>376</v>
      </c>
      <c r="C3380" s="12" t="s">
        <v>123</v>
      </c>
      <c r="D3380" s="12" t="s">
        <v>215</v>
      </c>
      <c r="E3380" s="12" t="s">
        <v>467</v>
      </c>
    </row>
    <row r="3381" spans="1:5" x14ac:dyDescent="0.3">
      <c r="A3381" s="12" t="s">
        <v>95</v>
      </c>
      <c r="B3381" s="12" t="s">
        <v>376</v>
      </c>
      <c r="C3381" s="12" t="s">
        <v>123</v>
      </c>
      <c r="D3381" s="12" t="s">
        <v>468</v>
      </c>
      <c r="E3381" s="12" t="s">
        <v>469</v>
      </c>
    </row>
    <row r="3382" spans="1:5" x14ac:dyDescent="0.3">
      <c r="A3382" s="12" t="s">
        <v>95</v>
      </c>
      <c r="B3382" s="12" t="s">
        <v>376</v>
      </c>
      <c r="C3382" s="12" t="s">
        <v>123</v>
      </c>
      <c r="D3382" s="12" t="s">
        <v>470</v>
      </c>
      <c r="E3382" s="12" t="s">
        <v>471</v>
      </c>
    </row>
    <row r="3383" spans="1:5" x14ac:dyDescent="0.3">
      <c r="A3383" s="12" t="s">
        <v>95</v>
      </c>
      <c r="B3383" s="12" t="s">
        <v>376</v>
      </c>
      <c r="C3383" s="12" t="s">
        <v>123</v>
      </c>
      <c r="D3383" s="12" t="s">
        <v>472</v>
      </c>
      <c r="E3383" s="12" t="s">
        <v>473</v>
      </c>
    </row>
    <row r="3384" spans="1:5" x14ac:dyDescent="0.3">
      <c r="A3384" s="12" t="s">
        <v>95</v>
      </c>
      <c r="B3384" s="12" t="s">
        <v>376</v>
      </c>
      <c r="C3384" s="12" t="s">
        <v>123</v>
      </c>
      <c r="D3384" s="12" t="s">
        <v>474</v>
      </c>
      <c r="E3384" s="12" t="s">
        <v>475</v>
      </c>
    </row>
    <row r="3385" spans="1:5" x14ac:dyDescent="0.3">
      <c r="A3385" s="12" t="s">
        <v>95</v>
      </c>
      <c r="B3385" s="12" t="s">
        <v>376</v>
      </c>
      <c r="C3385" s="12" t="s">
        <v>123</v>
      </c>
      <c r="D3385" s="12" t="s">
        <v>476</v>
      </c>
      <c r="E3385" s="12" t="s">
        <v>477</v>
      </c>
    </row>
    <row r="3386" spans="1:5" x14ac:dyDescent="0.3">
      <c r="A3386" s="12" t="s">
        <v>95</v>
      </c>
      <c r="B3386" s="12" t="s">
        <v>376</v>
      </c>
      <c r="C3386" s="12" t="s">
        <v>123</v>
      </c>
      <c r="D3386" s="12" t="s">
        <v>291</v>
      </c>
      <c r="E3386" s="12" t="s">
        <v>478</v>
      </c>
    </row>
    <row r="3387" spans="1:5" x14ac:dyDescent="0.3">
      <c r="A3387" s="12" t="s">
        <v>95</v>
      </c>
      <c r="B3387" s="12" t="s">
        <v>376</v>
      </c>
      <c r="C3387" s="12" t="s">
        <v>123</v>
      </c>
      <c r="D3387" s="12" t="s">
        <v>479</v>
      </c>
      <c r="E3387" s="12" t="s">
        <v>480</v>
      </c>
    </row>
    <row r="3388" spans="1:5" x14ac:dyDescent="0.3">
      <c r="A3388" s="12" t="s">
        <v>95</v>
      </c>
      <c r="B3388" s="12" t="s">
        <v>376</v>
      </c>
      <c r="C3388" s="12" t="s">
        <v>123</v>
      </c>
      <c r="D3388" s="12" t="s">
        <v>481</v>
      </c>
      <c r="E3388" s="12" t="s">
        <v>482</v>
      </c>
    </row>
    <row r="3389" spans="1:5" x14ac:dyDescent="0.3">
      <c r="A3389" s="12" t="s">
        <v>95</v>
      </c>
      <c r="B3389" s="12" t="s">
        <v>376</v>
      </c>
      <c r="C3389" s="12" t="s">
        <v>123</v>
      </c>
      <c r="D3389" s="12" t="s">
        <v>483</v>
      </c>
      <c r="E3389" s="12" t="s">
        <v>484</v>
      </c>
    </row>
    <row r="3390" spans="1:5" x14ac:dyDescent="0.3">
      <c r="A3390" s="12" t="s">
        <v>95</v>
      </c>
      <c r="B3390" s="12" t="s">
        <v>376</v>
      </c>
      <c r="C3390" s="12" t="s">
        <v>123</v>
      </c>
      <c r="D3390" s="12" t="s">
        <v>485</v>
      </c>
      <c r="E3390" s="12" t="s">
        <v>486</v>
      </c>
    </row>
    <row r="3391" spans="1:5" x14ac:dyDescent="0.3">
      <c r="A3391" s="12" t="s">
        <v>95</v>
      </c>
      <c r="B3391" s="12" t="s">
        <v>376</v>
      </c>
      <c r="C3391" s="12" t="s">
        <v>123</v>
      </c>
      <c r="D3391" s="12" t="s">
        <v>487</v>
      </c>
      <c r="E3391" s="12" t="s">
        <v>488</v>
      </c>
    </row>
    <row r="3392" spans="1:5" x14ac:dyDescent="0.3">
      <c r="A3392" s="12" t="s">
        <v>95</v>
      </c>
      <c r="B3392" s="12" t="s">
        <v>376</v>
      </c>
      <c r="C3392" s="12" t="s">
        <v>123</v>
      </c>
      <c r="D3392" s="12" t="s">
        <v>489</v>
      </c>
      <c r="E3392" s="12" t="s">
        <v>490</v>
      </c>
    </row>
    <row r="3393" spans="1:5" x14ac:dyDescent="0.3">
      <c r="A3393" s="12" t="s">
        <v>95</v>
      </c>
      <c r="B3393" s="12" t="s">
        <v>376</v>
      </c>
      <c r="C3393" s="12" t="s">
        <v>123</v>
      </c>
      <c r="D3393" s="12" t="s">
        <v>491</v>
      </c>
      <c r="E3393" s="12" t="s">
        <v>492</v>
      </c>
    </row>
    <row r="3394" spans="1:5" x14ac:dyDescent="0.3">
      <c r="A3394" s="12" t="s">
        <v>95</v>
      </c>
      <c r="B3394" s="12" t="s">
        <v>376</v>
      </c>
      <c r="C3394" s="12" t="s">
        <v>123</v>
      </c>
      <c r="D3394" s="12" t="s">
        <v>292</v>
      </c>
      <c r="E3394" s="12" t="s">
        <v>493</v>
      </c>
    </row>
    <row r="3395" spans="1:5" x14ac:dyDescent="0.3">
      <c r="A3395" s="12" t="s">
        <v>95</v>
      </c>
      <c r="B3395" s="12" t="s">
        <v>376</v>
      </c>
      <c r="C3395" s="12" t="s">
        <v>123</v>
      </c>
      <c r="D3395" s="12" t="s">
        <v>494</v>
      </c>
      <c r="E3395" s="12" t="s">
        <v>495</v>
      </c>
    </row>
    <row r="3396" spans="1:5" x14ac:dyDescent="0.3">
      <c r="A3396" s="12" t="s">
        <v>95</v>
      </c>
      <c r="B3396" s="12" t="s">
        <v>376</v>
      </c>
      <c r="C3396" s="12" t="s">
        <v>123</v>
      </c>
      <c r="D3396" s="12" t="s">
        <v>496</v>
      </c>
      <c r="E3396" s="12" t="s">
        <v>497</v>
      </c>
    </row>
    <row r="3397" spans="1:5" x14ac:dyDescent="0.3">
      <c r="A3397" s="12" t="s">
        <v>95</v>
      </c>
      <c r="B3397" s="12" t="s">
        <v>376</v>
      </c>
      <c r="C3397" s="12" t="s">
        <v>123</v>
      </c>
      <c r="D3397" s="12" t="s">
        <v>498</v>
      </c>
      <c r="E3397" s="12" t="s">
        <v>499</v>
      </c>
    </row>
    <row r="3398" spans="1:5" x14ac:dyDescent="0.3">
      <c r="A3398" s="12" t="s">
        <v>95</v>
      </c>
      <c r="B3398" s="12" t="s">
        <v>376</v>
      </c>
      <c r="C3398" s="12" t="s">
        <v>123</v>
      </c>
      <c r="D3398" s="12" t="s">
        <v>500</v>
      </c>
      <c r="E3398" s="12" t="s">
        <v>501</v>
      </c>
    </row>
    <row r="3399" spans="1:5" x14ac:dyDescent="0.3">
      <c r="A3399" s="12" t="s">
        <v>95</v>
      </c>
      <c r="B3399" s="12" t="s">
        <v>376</v>
      </c>
      <c r="C3399" s="12" t="s">
        <v>123</v>
      </c>
      <c r="D3399" s="12" t="s">
        <v>502</v>
      </c>
      <c r="E3399" s="12" t="s">
        <v>503</v>
      </c>
    </row>
    <row r="3400" spans="1:5" x14ac:dyDescent="0.3">
      <c r="A3400" s="12" t="s">
        <v>95</v>
      </c>
      <c r="B3400" s="12" t="s">
        <v>376</v>
      </c>
      <c r="C3400" s="12" t="s">
        <v>123</v>
      </c>
      <c r="D3400" s="12" t="s">
        <v>504</v>
      </c>
      <c r="E3400" s="12" t="s">
        <v>505</v>
      </c>
    </row>
    <row r="3401" spans="1:5" x14ac:dyDescent="0.3">
      <c r="A3401" s="12" t="s">
        <v>95</v>
      </c>
      <c r="B3401" s="12" t="s">
        <v>376</v>
      </c>
      <c r="C3401" s="12" t="s">
        <v>123</v>
      </c>
      <c r="D3401" s="12" t="s">
        <v>506</v>
      </c>
      <c r="E3401" s="12" t="s">
        <v>507</v>
      </c>
    </row>
    <row r="3402" spans="1:5" x14ac:dyDescent="0.3">
      <c r="A3402" s="12" t="s">
        <v>95</v>
      </c>
      <c r="B3402" s="12" t="s">
        <v>376</v>
      </c>
      <c r="C3402" s="12" t="s">
        <v>123</v>
      </c>
      <c r="D3402" s="12" t="s">
        <v>508</v>
      </c>
      <c r="E3402" s="12" t="s">
        <v>509</v>
      </c>
    </row>
    <row r="3403" spans="1:5" x14ac:dyDescent="0.3">
      <c r="A3403" s="12" t="s">
        <v>95</v>
      </c>
      <c r="B3403" s="12" t="s">
        <v>376</v>
      </c>
      <c r="C3403" s="12" t="s">
        <v>123</v>
      </c>
      <c r="D3403" s="12" t="s">
        <v>510</v>
      </c>
      <c r="E3403" s="12" t="s">
        <v>511</v>
      </c>
    </row>
    <row r="3404" spans="1:5" x14ac:dyDescent="0.3">
      <c r="A3404" s="12" t="s">
        <v>95</v>
      </c>
      <c r="B3404" s="12" t="s">
        <v>376</v>
      </c>
      <c r="C3404" s="12" t="s">
        <v>123</v>
      </c>
      <c r="D3404" s="12" t="s">
        <v>555</v>
      </c>
      <c r="E3404" s="12" t="s">
        <v>1064</v>
      </c>
    </row>
    <row r="3405" spans="1:5" x14ac:dyDescent="0.3">
      <c r="A3405" s="12" t="s">
        <v>95</v>
      </c>
      <c r="B3405" s="12" t="s">
        <v>376</v>
      </c>
      <c r="C3405" s="12" t="s">
        <v>123</v>
      </c>
      <c r="D3405" s="12" t="s">
        <v>512</v>
      </c>
      <c r="E3405" s="12" t="s">
        <v>513</v>
      </c>
    </row>
    <row r="3406" spans="1:5" x14ac:dyDescent="0.3">
      <c r="A3406" s="12" t="s">
        <v>95</v>
      </c>
      <c r="B3406" s="12" t="s">
        <v>376</v>
      </c>
      <c r="C3406" s="12" t="s">
        <v>123</v>
      </c>
      <c r="D3406" s="12" t="s">
        <v>514</v>
      </c>
      <c r="E3406" s="12" t="s">
        <v>515</v>
      </c>
    </row>
    <row r="3407" spans="1:5" x14ac:dyDescent="0.3">
      <c r="A3407" s="12" t="s">
        <v>95</v>
      </c>
      <c r="B3407" s="12" t="s">
        <v>376</v>
      </c>
      <c r="C3407" s="12" t="s">
        <v>123</v>
      </c>
      <c r="D3407" s="12" t="s">
        <v>516</v>
      </c>
      <c r="E3407" s="12" t="s">
        <v>517</v>
      </c>
    </row>
    <row r="3408" spans="1:5" x14ac:dyDescent="0.3">
      <c r="A3408" s="12" t="s">
        <v>95</v>
      </c>
      <c r="B3408" s="12" t="s">
        <v>518</v>
      </c>
      <c r="C3408" s="12" t="s">
        <v>120</v>
      </c>
      <c r="D3408" s="12" t="s">
        <v>299</v>
      </c>
      <c r="E3408" s="12" t="s">
        <v>519</v>
      </c>
    </row>
    <row r="3409" spans="1:5" x14ac:dyDescent="0.3">
      <c r="A3409" s="12" t="s">
        <v>95</v>
      </c>
      <c r="B3409" s="12" t="s">
        <v>518</v>
      </c>
      <c r="C3409" s="12" t="s">
        <v>123</v>
      </c>
      <c r="D3409" s="12" t="s">
        <v>520</v>
      </c>
      <c r="E3409" s="12" t="s">
        <v>521</v>
      </c>
    </row>
    <row r="3410" spans="1:5" x14ac:dyDescent="0.3">
      <c r="A3410" s="12" t="s">
        <v>95</v>
      </c>
      <c r="B3410" s="12" t="s">
        <v>518</v>
      </c>
      <c r="C3410" s="12" t="s">
        <v>123</v>
      </c>
      <c r="D3410" s="12" t="s">
        <v>520</v>
      </c>
      <c r="E3410" s="12" t="s">
        <v>522</v>
      </c>
    </row>
    <row r="3411" spans="1:5" x14ac:dyDescent="0.3">
      <c r="A3411" s="12" t="s">
        <v>95</v>
      </c>
      <c r="B3411" s="12" t="s">
        <v>518</v>
      </c>
      <c r="C3411" s="12" t="s">
        <v>123</v>
      </c>
      <c r="D3411" s="12" t="s">
        <v>520</v>
      </c>
      <c r="E3411" s="12" t="s">
        <v>523</v>
      </c>
    </row>
    <row r="3412" spans="1:5" x14ac:dyDescent="0.3">
      <c r="A3412" s="12" t="s">
        <v>95</v>
      </c>
      <c r="B3412" s="12" t="s">
        <v>518</v>
      </c>
      <c r="C3412" s="12" t="s">
        <v>123</v>
      </c>
      <c r="D3412" s="12" t="s">
        <v>520</v>
      </c>
      <c r="E3412" s="12" t="s">
        <v>524</v>
      </c>
    </row>
    <row r="3413" spans="1:5" x14ac:dyDescent="0.3">
      <c r="A3413" s="12" t="s">
        <v>95</v>
      </c>
      <c r="B3413" s="12" t="s">
        <v>518</v>
      </c>
      <c r="C3413" s="12" t="s">
        <v>123</v>
      </c>
      <c r="D3413" s="12" t="s">
        <v>520</v>
      </c>
      <c r="E3413" s="12" t="s">
        <v>525</v>
      </c>
    </row>
    <row r="3414" spans="1:5" x14ac:dyDescent="0.3">
      <c r="A3414" s="12" t="s">
        <v>95</v>
      </c>
      <c r="B3414" s="12" t="s">
        <v>518</v>
      </c>
      <c r="C3414" s="12" t="s">
        <v>123</v>
      </c>
      <c r="D3414" s="12" t="s">
        <v>520</v>
      </c>
      <c r="E3414" s="12" t="s">
        <v>526</v>
      </c>
    </row>
    <row r="3415" spans="1:5" x14ac:dyDescent="0.3">
      <c r="A3415" s="12" t="s">
        <v>95</v>
      </c>
      <c r="B3415" s="12" t="s">
        <v>518</v>
      </c>
      <c r="C3415" s="12" t="s">
        <v>123</v>
      </c>
      <c r="D3415" s="12" t="s">
        <v>520</v>
      </c>
      <c r="E3415" s="12" t="s">
        <v>527</v>
      </c>
    </row>
    <row r="3416" spans="1:5" x14ac:dyDescent="0.3">
      <c r="A3416" s="12" t="s">
        <v>95</v>
      </c>
      <c r="B3416" s="12" t="s">
        <v>518</v>
      </c>
      <c r="C3416" s="12" t="s">
        <v>123</v>
      </c>
      <c r="D3416" s="12" t="s">
        <v>520</v>
      </c>
      <c r="E3416" s="12" t="s">
        <v>528</v>
      </c>
    </row>
    <row r="3417" spans="1:5" x14ac:dyDescent="0.3">
      <c r="A3417" s="12" t="s">
        <v>95</v>
      </c>
      <c r="B3417" s="12" t="s">
        <v>518</v>
      </c>
      <c r="C3417" s="12" t="s">
        <v>123</v>
      </c>
      <c r="D3417" s="12" t="s">
        <v>520</v>
      </c>
      <c r="E3417" s="12" t="s">
        <v>529</v>
      </c>
    </row>
    <row r="3418" spans="1:5" x14ac:dyDescent="0.3">
      <c r="A3418" s="12" t="s">
        <v>95</v>
      </c>
      <c r="B3418" s="12" t="s">
        <v>518</v>
      </c>
      <c r="C3418" s="12" t="s">
        <v>123</v>
      </c>
      <c r="D3418" s="12" t="s">
        <v>520</v>
      </c>
      <c r="E3418" s="12" t="s">
        <v>530</v>
      </c>
    </row>
    <row r="3419" spans="1:5" x14ac:dyDescent="0.3">
      <c r="A3419" s="12" t="s">
        <v>95</v>
      </c>
      <c r="B3419" s="12" t="s">
        <v>518</v>
      </c>
      <c r="C3419" s="12" t="s">
        <v>123</v>
      </c>
      <c r="D3419" s="12" t="s">
        <v>520</v>
      </c>
      <c r="E3419" s="12" t="s">
        <v>531</v>
      </c>
    </row>
    <row r="3420" spans="1:5" x14ac:dyDescent="0.3">
      <c r="A3420" s="12" t="s">
        <v>95</v>
      </c>
      <c r="B3420" s="12" t="s">
        <v>518</v>
      </c>
      <c r="C3420" s="12" t="s">
        <v>123</v>
      </c>
      <c r="D3420" s="12" t="s">
        <v>520</v>
      </c>
      <c r="E3420" s="12" t="s">
        <v>532</v>
      </c>
    </row>
    <row r="3421" spans="1:5" x14ac:dyDescent="0.3">
      <c r="A3421" s="12" t="s">
        <v>95</v>
      </c>
      <c r="B3421" s="12" t="s">
        <v>518</v>
      </c>
      <c r="C3421" s="12" t="s">
        <v>123</v>
      </c>
      <c r="D3421" s="12" t="s">
        <v>520</v>
      </c>
      <c r="E3421" s="12" t="s">
        <v>533</v>
      </c>
    </row>
    <row r="3422" spans="1:5" x14ac:dyDescent="0.3">
      <c r="A3422" s="12" t="s">
        <v>95</v>
      </c>
      <c r="B3422" s="12" t="s">
        <v>518</v>
      </c>
      <c r="C3422" s="12" t="s">
        <v>123</v>
      </c>
      <c r="D3422" s="12" t="s">
        <v>520</v>
      </c>
      <c r="E3422" s="12" t="s">
        <v>534</v>
      </c>
    </row>
    <row r="3423" spans="1:5" x14ac:dyDescent="0.3">
      <c r="A3423" s="12" t="s">
        <v>95</v>
      </c>
      <c r="B3423" s="12" t="s">
        <v>518</v>
      </c>
      <c r="C3423" s="12" t="s">
        <v>123</v>
      </c>
      <c r="D3423" s="12" t="s">
        <v>520</v>
      </c>
      <c r="E3423" s="12" t="s">
        <v>535</v>
      </c>
    </row>
    <row r="3424" spans="1:5" x14ac:dyDescent="0.3">
      <c r="A3424" s="12" t="s">
        <v>95</v>
      </c>
      <c r="B3424" s="12" t="s">
        <v>518</v>
      </c>
      <c r="C3424" s="12" t="s">
        <v>123</v>
      </c>
      <c r="D3424" s="12" t="s">
        <v>520</v>
      </c>
      <c r="E3424" s="12" t="s">
        <v>536</v>
      </c>
    </row>
    <row r="3425" spans="1:5" x14ac:dyDescent="0.3">
      <c r="A3425" s="12" t="s">
        <v>95</v>
      </c>
      <c r="B3425" s="12" t="s">
        <v>518</v>
      </c>
      <c r="C3425" s="12" t="s">
        <v>123</v>
      </c>
      <c r="D3425" s="12" t="s">
        <v>520</v>
      </c>
      <c r="E3425" s="12" t="s">
        <v>537</v>
      </c>
    </row>
    <row r="3426" spans="1:5" x14ac:dyDescent="0.3">
      <c r="A3426" s="12" t="s">
        <v>95</v>
      </c>
      <c r="B3426" s="12" t="s">
        <v>518</v>
      </c>
      <c r="C3426" s="12" t="s">
        <v>123</v>
      </c>
      <c r="D3426" s="12" t="s">
        <v>538</v>
      </c>
      <c r="E3426" s="12" t="s">
        <v>539</v>
      </c>
    </row>
    <row r="3427" spans="1:5" x14ac:dyDescent="0.3">
      <c r="A3427" s="12" t="s">
        <v>95</v>
      </c>
      <c r="B3427" s="12" t="s">
        <v>518</v>
      </c>
      <c r="C3427" s="12" t="s">
        <v>123</v>
      </c>
      <c r="D3427" s="12" t="s">
        <v>540</v>
      </c>
      <c r="E3427" s="12" t="s">
        <v>541</v>
      </c>
    </row>
    <row r="3428" spans="1:5" x14ac:dyDescent="0.3">
      <c r="A3428" s="12" t="s">
        <v>95</v>
      </c>
      <c r="B3428" s="12" t="s">
        <v>518</v>
      </c>
      <c r="C3428" s="12" t="s">
        <v>123</v>
      </c>
      <c r="D3428" s="12" t="s">
        <v>542</v>
      </c>
      <c r="E3428" s="12" t="s">
        <v>1506</v>
      </c>
    </row>
    <row r="3429" spans="1:5" x14ac:dyDescent="0.3">
      <c r="A3429" s="12" t="s">
        <v>95</v>
      </c>
      <c r="B3429" s="12" t="s">
        <v>518</v>
      </c>
      <c r="C3429" s="12" t="s">
        <v>123</v>
      </c>
      <c r="D3429" s="12" t="s">
        <v>542</v>
      </c>
      <c r="E3429" s="12" t="s">
        <v>543</v>
      </c>
    </row>
    <row r="3430" spans="1:5" x14ac:dyDescent="0.3">
      <c r="A3430" s="12" t="s">
        <v>95</v>
      </c>
      <c r="B3430" s="12" t="s">
        <v>518</v>
      </c>
      <c r="C3430" s="12" t="s">
        <v>123</v>
      </c>
      <c r="D3430" s="12" t="s">
        <v>542</v>
      </c>
      <c r="E3430" s="12" t="s">
        <v>544</v>
      </c>
    </row>
    <row r="3431" spans="1:5" x14ac:dyDescent="0.3">
      <c r="A3431" s="12" t="s">
        <v>95</v>
      </c>
      <c r="B3431" s="12" t="s">
        <v>518</v>
      </c>
      <c r="C3431" s="12" t="s">
        <v>123</v>
      </c>
      <c r="D3431" s="12" t="s">
        <v>542</v>
      </c>
      <c r="E3431" s="12" t="s">
        <v>545</v>
      </c>
    </row>
    <row r="3432" spans="1:5" x14ac:dyDescent="0.3">
      <c r="A3432" s="12" t="s">
        <v>95</v>
      </c>
      <c r="B3432" s="12" t="s">
        <v>518</v>
      </c>
      <c r="C3432" s="12" t="s">
        <v>123</v>
      </c>
      <c r="D3432" s="12" t="s">
        <v>542</v>
      </c>
      <c r="E3432" s="12" t="s">
        <v>546</v>
      </c>
    </row>
    <row r="3433" spans="1:5" x14ac:dyDescent="0.3">
      <c r="A3433" s="12" t="s">
        <v>95</v>
      </c>
      <c r="B3433" s="12" t="s">
        <v>518</v>
      </c>
      <c r="C3433" s="12" t="s">
        <v>123</v>
      </c>
      <c r="D3433" s="12" t="s">
        <v>542</v>
      </c>
      <c r="E3433" s="12" t="s">
        <v>547</v>
      </c>
    </row>
    <row r="3434" spans="1:5" x14ac:dyDescent="0.3">
      <c r="A3434" s="12" t="s">
        <v>95</v>
      </c>
      <c r="B3434" s="12" t="s">
        <v>518</v>
      </c>
      <c r="C3434" s="12" t="s">
        <v>123</v>
      </c>
      <c r="D3434" s="12" t="s">
        <v>542</v>
      </c>
      <c r="E3434" s="12" t="s">
        <v>1507</v>
      </c>
    </row>
    <row r="3435" spans="1:5" x14ac:dyDescent="0.3">
      <c r="A3435" s="12" t="s">
        <v>95</v>
      </c>
      <c r="B3435" s="12" t="s">
        <v>518</v>
      </c>
      <c r="C3435" s="12" t="s">
        <v>123</v>
      </c>
      <c r="D3435" s="12" t="s">
        <v>542</v>
      </c>
      <c r="E3435" s="12" t="s">
        <v>1508</v>
      </c>
    </row>
    <row r="3436" spans="1:5" x14ac:dyDescent="0.3">
      <c r="A3436" s="12" t="s">
        <v>95</v>
      </c>
      <c r="B3436" s="12" t="s">
        <v>518</v>
      </c>
      <c r="C3436" s="12" t="s">
        <v>123</v>
      </c>
      <c r="D3436" s="12" t="s">
        <v>542</v>
      </c>
      <c r="E3436" s="12" t="s">
        <v>548</v>
      </c>
    </row>
    <row r="3437" spans="1:5" x14ac:dyDescent="0.3">
      <c r="A3437" s="12" t="s">
        <v>95</v>
      </c>
      <c r="B3437" s="12" t="s">
        <v>518</v>
      </c>
      <c r="C3437" s="12" t="s">
        <v>123</v>
      </c>
      <c r="D3437" s="12" t="s">
        <v>542</v>
      </c>
      <c r="E3437" s="12" t="s">
        <v>549</v>
      </c>
    </row>
    <row r="3438" spans="1:5" x14ac:dyDescent="0.3">
      <c r="A3438" s="12" t="s">
        <v>95</v>
      </c>
      <c r="B3438" s="12" t="s">
        <v>518</v>
      </c>
      <c r="C3438" s="12" t="s">
        <v>123</v>
      </c>
      <c r="D3438" s="12" t="s">
        <v>542</v>
      </c>
      <c r="E3438" s="12" t="s">
        <v>550</v>
      </c>
    </row>
    <row r="3439" spans="1:5" x14ac:dyDescent="0.3">
      <c r="A3439" s="12" t="s">
        <v>95</v>
      </c>
      <c r="B3439" s="12" t="s">
        <v>518</v>
      </c>
      <c r="C3439" s="12" t="s">
        <v>123</v>
      </c>
      <c r="D3439" s="12" t="s">
        <v>542</v>
      </c>
      <c r="E3439" s="12" t="s">
        <v>551</v>
      </c>
    </row>
    <row r="3440" spans="1:5" x14ac:dyDescent="0.3">
      <c r="A3440" s="12" t="s">
        <v>95</v>
      </c>
      <c r="B3440" s="12" t="s">
        <v>518</v>
      </c>
      <c r="C3440" s="12" t="s">
        <v>123</v>
      </c>
      <c r="E3440" s="12" t="s">
        <v>552</v>
      </c>
    </row>
    <row r="3441" spans="1:9" x14ac:dyDescent="0.3">
      <c r="A3441" s="12" t="s">
        <v>96</v>
      </c>
      <c r="B3441" s="12" t="s">
        <v>119</v>
      </c>
      <c r="C3441" s="12" t="s">
        <v>120</v>
      </c>
      <c r="D3441" s="12" t="s">
        <v>121</v>
      </c>
      <c r="E3441" s="12" t="s">
        <v>122</v>
      </c>
    </row>
    <row r="3442" spans="1:9" x14ac:dyDescent="0.3">
      <c r="A3442" s="12" t="s">
        <v>96</v>
      </c>
      <c r="B3442" s="12" t="s">
        <v>119</v>
      </c>
      <c r="C3442" s="12" t="s">
        <v>123</v>
      </c>
      <c r="D3442" s="12" t="s">
        <v>124</v>
      </c>
      <c r="E3442" s="12" t="s">
        <v>125</v>
      </c>
    </row>
    <row r="3443" spans="1:9" x14ac:dyDescent="0.3">
      <c r="A3443" s="12" t="s">
        <v>96</v>
      </c>
      <c r="B3443" s="12" t="s">
        <v>119</v>
      </c>
      <c r="C3443" s="12" t="s">
        <v>123</v>
      </c>
      <c r="D3443" s="12" t="s">
        <v>126</v>
      </c>
    </row>
    <row r="3444" spans="1:9" x14ac:dyDescent="0.3">
      <c r="A3444" s="12" t="s">
        <v>96</v>
      </c>
      <c r="B3444" s="12" t="s">
        <v>119</v>
      </c>
      <c r="C3444" s="12" t="s">
        <v>123</v>
      </c>
      <c r="D3444" s="12" t="s">
        <v>127</v>
      </c>
      <c r="E3444" s="12" t="s">
        <v>128</v>
      </c>
    </row>
    <row r="3445" spans="1:9" x14ac:dyDescent="0.3">
      <c r="A3445" s="12" t="s">
        <v>96</v>
      </c>
      <c r="B3445" s="12" t="s">
        <v>119</v>
      </c>
      <c r="C3445" s="12" t="s">
        <v>123</v>
      </c>
      <c r="D3445" s="12" t="s">
        <v>129</v>
      </c>
      <c r="E3445" s="12" t="s">
        <v>1065</v>
      </c>
    </row>
    <row r="3446" spans="1:9" x14ac:dyDescent="0.3">
      <c r="A3446" s="12" t="s">
        <v>96</v>
      </c>
      <c r="B3446" s="12" t="s">
        <v>119</v>
      </c>
      <c r="C3446" s="12" t="s">
        <v>123</v>
      </c>
      <c r="D3446" s="12" t="s">
        <v>131</v>
      </c>
      <c r="E3446" s="12" t="s">
        <v>1066</v>
      </c>
    </row>
    <row r="3447" spans="1:9" x14ac:dyDescent="0.3">
      <c r="A3447" s="12" t="s">
        <v>96</v>
      </c>
      <c r="B3447" s="12" t="s">
        <v>133</v>
      </c>
      <c r="C3447" s="12" t="s">
        <v>120</v>
      </c>
      <c r="D3447" s="12" t="s">
        <v>121</v>
      </c>
      <c r="E3447" s="12" t="s">
        <v>122</v>
      </c>
    </row>
    <row r="3448" spans="1:9" x14ac:dyDescent="0.3">
      <c r="A3448" s="12" t="s">
        <v>96</v>
      </c>
      <c r="B3448" s="12" t="s">
        <v>133</v>
      </c>
      <c r="C3448" s="12" t="s">
        <v>123</v>
      </c>
      <c r="D3448" s="12" t="s">
        <v>134</v>
      </c>
    </row>
    <row r="3449" spans="1:9" x14ac:dyDescent="0.3">
      <c r="A3449" s="12" t="s">
        <v>96</v>
      </c>
      <c r="B3449" s="12" t="s">
        <v>133</v>
      </c>
      <c r="C3449" s="12" t="s">
        <v>123</v>
      </c>
      <c r="D3449" s="12" t="s">
        <v>135</v>
      </c>
    </row>
    <row r="3450" spans="1:9" x14ac:dyDescent="0.3">
      <c r="A3450" s="12" t="s">
        <v>96</v>
      </c>
      <c r="B3450" s="12" t="s">
        <v>133</v>
      </c>
      <c r="C3450" s="12" t="s">
        <v>123</v>
      </c>
      <c r="D3450" s="12" t="s">
        <v>136</v>
      </c>
    </row>
    <row r="3451" spans="1:9" x14ac:dyDescent="0.3">
      <c r="A3451" s="12" t="s">
        <v>96</v>
      </c>
      <c r="B3451" s="12" t="s">
        <v>133</v>
      </c>
      <c r="C3451" s="12" t="s">
        <v>123</v>
      </c>
      <c r="D3451" s="12" t="s">
        <v>137</v>
      </c>
    </row>
    <row r="3452" spans="1:9" x14ac:dyDescent="0.3">
      <c r="A3452" s="12" t="s">
        <v>96</v>
      </c>
      <c r="B3452" s="12" t="s">
        <v>133</v>
      </c>
      <c r="C3452" s="12" t="s">
        <v>123</v>
      </c>
      <c r="D3452" s="12" t="s">
        <v>138</v>
      </c>
      <c r="E3452" s="12" t="s">
        <v>139</v>
      </c>
    </row>
    <row r="3453" spans="1:9" x14ac:dyDescent="0.3">
      <c r="A3453" s="12" t="s">
        <v>96</v>
      </c>
      <c r="B3453" s="12" t="s">
        <v>133</v>
      </c>
      <c r="C3453" s="12" t="s">
        <v>123</v>
      </c>
      <c r="D3453" s="12" t="s">
        <v>140</v>
      </c>
      <c r="E3453" s="12" t="s">
        <v>141</v>
      </c>
    </row>
    <row r="3454" spans="1:9" x14ac:dyDescent="0.3">
      <c r="A3454" s="12" t="s">
        <v>96</v>
      </c>
      <c r="B3454" s="12" t="s">
        <v>133</v>
      </c>
      <c r="C3454" s="12" t="s">
        <v>123</v>
      </c>
      <c r="D3454" s="12" t="s">
        <v>142</v>
      </c>
      <c r="E3454" s="12" t="s">
        <v>114</v>
      </c>
    </row>
    <row r="3455" spans="1:9" x14ac:dyDescent="0.3">
      <c r="A3455" s="12" t="s">
        <v>96</v>
      </c>
      <c r="B3455" s="12" t="s">
        <v>143</v>
      </c>
      <c r="C3455" s="12" t="s">
        <v>120</v>
      </c>
      <c r="D3455" s="12" t="s">
        <v>144</v>
      </c>
      <c r="E3455" s="12" t="s">
        <v>145</v>
      </c>
      <c r="F3455" s="12" t="s">
        <v>146</v>
      </c>
      <c r="G3455" s="12" t="s">
        <v>147</v>
      </c>
      <c r="H3455" s="12" t="s">
        <v>148</v>
      </c>
      <c r="I3455" s="12" t="s">
        <v>99</v>
      </c>
    </row>
    <row r="3456" spans="1:9" x14ac:dyDescent="0.3">
      <c r="A3456" s="12" t="s">
        <v>96</v>
      </c>
      <c r="B3456" s="12" t="s">
        <v>143</v>
      </c>
      <c r="C3456" s="12" t="s">
        <v>123</v>
      </c>
      <c r="D3456" s="12" t="s">
        <v>149</v>
      </c>
      <c r="E3456" s="12">
        <v>250000</v>
      </c>
      <c r="F3456" s="12">
        <v>30560.06</v>
      </c>
      <c r="G3456" s="12">
        <v>-61026.298875</v>
      </c>
      <c r="H3456" s="12">
        <v>-30466.238874999999</v>
      </c>
      <c r="I3456" s="12">
        <v>-280466.23887499998</v>
      </c>
    </row>
    <row r="3457" spans="1:9" x14ac:dyDescent="0.3">
      <c r="A3457" s="12" t="s">
        <v>96</v>
      </c>
      <c r="B3457" s="12" t="s">
        <v>143</v>
      </c>
      <c r="C3457" s="12" t="s">
        <v>123</v>
      </c>
      <c r="D3457" s="12" t="s">
        <v>150</v>
      </c>
      <c r="E3457" s="12">
        <v>0</v>
      </c>
      <c r="F3457" s="12">
        <v>539556.92000000004</v>
      </c>
      <c r="G3457" s="12">
        <v>0</v>
      </c>
      <c r="H3457" s="12">
        <v>539556.92000000004</v>
      </c>
      <c r="I3457" s="12">
        <v>539556.92000000004</v>
      </c>
    </row>
    <row r="3458" spans="1:9" x14ac:dyDescent="0.3">
      <c r="A3458" s="12" t="s">
        <v>96</v>
      </c>
      <c r="B3458" s="12" t="s">
        <v>143</v>
      </c>
      <c r="C3458" s="12" t="s">
        <v>123</v>
      </c>
      <c r="D3458" s="12" t="s">
        <v>151</v>
      </c>
      <c r="E3458" s="12">
        <v>96.6</v>
      </c>
      <c r="F3458" s="12">
        <v>4.05</v>
      </c>
      <c r="G3458" s="12">
        <v>-55.97</v>
      </c>
      <c r="H3458" s="12">
        <v>-51.92</v>
      </c>
      <c r="I3458" s="12">
        <v>-148.52000000000001</v>
      </c>
    </row>
    <row r="3459" spans="1:9" x14ac:dyDescent="0.3">
      <c r="A3459" s="12" t="s">
        <v>96</v>
      </c>
      <c r="B3459" s="12" t="s">
        <v>143</v>
      </c>
      <c r="C3459" s="12" t="s">
        <v>123</v>
      </c>
      <c r="D3459" s="12" t="s">
        <v>152</v>
      </c>
      <c r="E3459" s="12">
        <v>0</v>
      </c>
      <c r="F3459" s="12">
        <v>51.18</v>
      </c>
      <c r="G3459" s="12">
        <v>-0.57999999999999996</v>
      </c>
      <c r="H3459" s="12">
        <v>50.6</v>
      </c>
      <c r="I3459" s="12">
        <v>50.6</v>
      </c>
    </row>
    <row r="3460" spans="1:9" x14ac:dyDescent="0.3">
      <c r="A3460" s="12" t="s">
        <v>96</v>
      </c>
      <c r="B3460" s="12" t="s">
        <v>143</v>
      </c>
      <c r="C3460" s="12" t="s">
        <v>123</v>
      </c>
      <c r="D3460" s="12" t="s">
        <v>97</v>
      </c>
      <c r="E3460" s="12">
        <v>250096.6</v>
      </c>
      <c r="F3460" s="12">
        <v>570172.21</v>
      </c>
      <c r="G3460" s="12">
        <v>-61082.848875000003</v>
      </c>
      <c r="H3460" s="12">
        <v>509089.361125</v>
      </c>
      <c r="I3460" s="12">
        <v>258992.76112499999</v>
      </c>
    </row>
    <row r="3461" spans="1:9" x14ac:dyDescent="0.3">
      <c r="A3461" s="12" t="s">
        <v>96</v>
      </c>
      <c r="B3461" s="12" t="s">
        <v>143</v>
      </c>
      <c r="C3461" s="12" t="s">
        <v>120</v>
      </c>
      <c r="D3461" s="12" t="s">
        <v>153</v>
      </c>
    </row>
    <row r="3462" spans="1:9" x14ac:dyDescent="0.3">
      <c r="A3462" s="12" t="s">
        <v>96</v>
      </c>
      <c r="B3462" s="12" t="s">
        <v>143</v>
      </c>
      <c r="C3462" s="12" t="s">
        <v>123</v>
      </c>
      <c r="D3462" s="13">
        <v>4.5750795060000002E-2</v>
      </c>
    </row>
    <row r="3463" spans="1:9" x14ac:dyDescent="0.3">
      <c r="A3463" s="12" t="s">
        <v>96</v>
      </c>
      <c r="B3463" s="12" t="s">
        <v>154</v>
      </c>
      <c r="C3463" s="12" t="s">
        <v>120</v>
      </c>
      <c r="D3463" s="12" t="s">
        <v>121</v>
      </c>
      <c r="E3463" s="12" t="s">
        <v>122</v>
      </c>
    </row>
    <row r="3464" spans="1:9" x14ac:dyDescent="0.3">
      <c r="A3464" s="12" t="s">
        <v>96</v>
      </c>
      <c r="B3464" s="12" t="s">
        <v>154</v>
      </c>
      <c r="C3464" s="12" t="s">
        <v>123</v>
      </c>
      <c r="D3464" s="12" t="s">
        <v>155</v>
      </c>
      <c r="E3464" s="12">
        <v>250096.6</v>
      </c>
    </row>
    <row r="3465" spans="1:9" x14ac:dyDescent="0.3">
      <c r="A3465" s="12" t="s">
        <v>96</v>
      </c>
      <c r="B3465" s="12" t="s">
        <v>154</v>
      </c>
      <c r="C3465" s="12" t="s">
        <v>123</v>
      </c>
      <c r="D3465" s="12" t="s">
        <v>156</v>
      </c>
      <c r="E3465" s="12">
        <v>6716.3380999999999</v>
      </c>
    </row>
    <row r="3466" spans="1:9" x14ac:dyDescent="0.3">
      <c r="A3466" s="12" t="s">
        <v>96</v>
      </c>
      <c r="B3466" s="12" t="s">
        <v>154</v>
      </c>
      <c r="C3466" s="12" t="s">
        <v>123</v>
      </c>
      <c r="D3466" s="12" t="s">
        <v>773</v>
      </c>
      <c r="E3466" s="12">
        <v>250000</v>
      </c>
    </row>
    <row r="3467" spans="1:9" x14ac:dyDescent="0.3">
      <c r="A3467" s="12" t="s">
        <v>96</v>
      </c>
      <c r="B3467" s="12" t="s">
        <v>154</v>
      </c>
      <c r="C3467" s="12" t="s">
        <v>123</v>
      </c>
      <c r="D3467" s="12" t="s">
        <v>157</v>
      </c>
      <c r="E3467" s="12">
        <v>2144.12</v>
      </c>
    </row>
    <row r="3468" spans="1:9" x14ac:dyDescent="0.3">
      <c r="A3468" s="12" t="s">
        <v>96</v>
      </c>
      <c r="B3468" s="12" t="s">
        <v>154</v>
      </c>
      <c r="C3468" s="12" t="s">
        <v>123</v>
      </c>
      <c r="D3468" s="12" t="s">
        <v>158</v>
      </c>
      <c r="E3468" s="12">
        <v>-536.15</v>
      </c>
    </row>
    <row r="3469" spans="1:9" x14ac:dyDescent="0.3">
      <c r="A3469" s="12" t="s">
        <v>96</v>
      </c>
      <c r="B3469" s="12" t="s">
        <v>154</v>
      </c>
      <c r="C3469" s="12" t="s">
        <v>123</v>
      </c>
      <c r="D3469" s="12" t="s">
        <v>159</v>
      </c>
      <c r="E3469" s="12">
        <v>50.6</v>
      </c>
    </row>
    <row r="3470" spans="1:9" x14ac:dyDescent="0.3">
      <c r="A3470" s="12" t="s">
        <v>96</v>
      </c>
      <c r="B3470" s="12" t="s">
        <v>154</v>
      </c>
      <c r="C3470" s="12" t="s">
        <v>123</v>
      </c>
      <c r="D3470" s="12" t="s">
        <v>160</v>
      </c>
      <c r="E3470" s="12">
        <v>1054.8499999999999</v>
      </c>
    </row>
    <row r="3471" spans="1:9" x14ac:dyDescent="0.3">
      <c r="A3471" s="12" t="s">
        <v>96</v>
      </c>
      <c r="B3471" s="12" t="s">
        <v>154</v>
      </c>
      <c r="C3471" s="12" t="s">
        <v>123</v>
      </c>
      <c r="D3471" s="12" t="s">
        <v>161</v>
      </c>
      <c r="E3471" s="12">
        <v>-148.52000000000001</v>
      </c>
    </row>
    <row r="3472" spans="1:9" x14ac:dyDescent="0.3">
      <c r="A3472" s="12" t="s">
        <v>96</v>
      </c>
      <c r="B3472" s="12" t="s">
        <v>154</v>
      </c>
      <c r="C3472" s="12" t="s">
        <v>123</v>
      </c>
      <c r="D3472" s="12" t="s">
        <v>118</v>
      </c>
      <c r="E3472" s="12">
        <v>-9.66</v>
      </c>
    </row>
    <row r="3473" spans="1:15" x14ac:dyDescent="0.3">
      <c r="A3473" s="12" t="s">
        <v>96</v>
      </c>
      <c r="B3473" s="12" t="s">
        <v>154</v>
      </c>
      <c r="C3473" s="12" t="s">
        <v>123</v>
      </c>
      <c r="D3473" s="12" t="s">
        <v>162</v>
      </c>
      <c r="E3473" s="12">
        <v>-278.81700000000001</v>
      </c>
    </row>
    <row r="3474" spans="1:15" x14ac:dyDescent="0.3">
      <c r="A3474" s="12" t="s">
        <v>96</v>
      </c>
      <c r="B3474" s="12" t="s">
        <v>154</v>
      </c>
      <c r="C3474" s="12" t="s">
        <v>123</v>
      </c>
      <c r="D3474" s="12" t="s">
        <v>163</v>
      </c>
      <c r="E3474" s="12">
        <v>509089.361125</v>
      </c>
    </row>
    <row r="3475" spans="1:15" x14ac:dyDescent="0.3">
      <c r="A3475" s="12" t="s">
        <v>96</v>
      </c>
      <c r="B3475" s="12" t="s">
        <v>164</v>
      </c>
      <c r="C3475" s="12" t="s">
        <v>120</v>
      </c>
      <c r="D3475" s="12" t="s">
        <v>100</v>
      </c>
      <c r="E3475" s="12" t="s">
        <v>0</v>
      </c>
      <c r="F3475" s="12" t="s">
        <v>101</v>
      </c>
      <c r="G3475" s="12" t="s">
        <v>102</v>
      </c>
      <c r="H3475" s="12" t="s">
        <v>103</v>
      </c>
      <c r="I3475" s="12" t="s">
        <v>104</v>
      </c>
      <c r="J3475" s="12" t="s">
        <v>105</v>
      </c>
      <c r="K3475" s="12" t="s">
        <v>106</v>
      </c>
      <c r="L3475" s="12" t="s">
        <v>107</v>
      </c>
      <c r="M3475" s="12" t="s">
        <v>108</v>
      </c>
      <c r="N3475" s="12" t="s">
        <v>109</v>
      </c>
      <c r="O3475" s="12" t="s">
        <v>165</v>
      </c>
    </row>
    <row r="3476" spans="1:15" x14ac:dyDescent="0.3">
      <c r="A3476" s="12" t="s">
        <v>96</v>
      </c>
      <c r="B3476" s="12" t="s">
        <v>164</v>
      </c>
      <c r="C3476" s="12" t="s">
        <v>123</v>
      </c>
      <c r="D3476" s="12" t="s">
        <v>110</v>
      </c>
      <c r="E3476" s="12" t="s">
        <v>2</v>
      </c>
      <c r="F3476" s="12">
        <v>0</v>
      </c>
      <c r="G3476" s="12">
        <v>72</v>
      </c>
      <c r="H3476" s="12" t="s">
        <v>111</v>
      </c>
      <c r="I3476" s="12">
        <v>229</v>
      </c>
      <c r="J3476" s="12">
        <v>3625.29</v>
      </c>
      <c r="K3476" s="12">
        <v>1.35</v>
      </c>
      <c r="L3476" s="12">
        <v>-2.6</v>
      </c>
      <c r="M3476" s="12">
        <v>26.73</v>
      </c>
      <c r="N3476" s="12">
        <v>3650.77</v>
      </c>
    </row>
    <row r="3477" spans="1:15" x14ac:dyDescent="0.3">
      <c r="A3477" s="12" t="s">
        <v>96</v>
      </c>
      <c r="B3477" s="12" t="s">
        <v>164</v>
      </c>
      <c r="C3477" s="12" t="s">
        <v>123</v>
      </c>
      <c r="D3477" s="12" t="s">
        <v>110</v>
      </c>
      <c r="E3477" s="12" t="s">
        <v>63</v>
      </c>
      <c r="F3477" s="12">
        <v>0</v>
      </c>
      <c r="G3477" s="12">
        <v>0</v>
      </c>
      <c r="H3477" s="12" t="s">
        <v>111</v>
      </c>
      <c r="I3477" s="12" t="s">
        <v>111</v>
      </c>
      <c r="J3477" s="12">
        <v>-83.05</v>
      </c>
      <c r="K3477" s="12">
        <v>45.1</v>
      </c>
      <c r="L3477" s="12">
        <v>0</v>
      </c>
      <c r="M3477" s="12">
        <v>0</v>
      </c>
      <c r="N3477" s="12">
        <v>-37.950000000000003</v>
      </c>
    </row>
    <row r="3478" spans="1:15" x14ac:dyDescent="0.3">
      <c r="A3478" s="12" t="s">
        <v>96</v>
      </c>
      <c r="B3478" s="12" t="s">
        <v>164</v>
      </c>
      <c r="C3478" s="12" t="s">
        <v>123</v>
      </c>
      <c r="D3478" s="12" t="s">
        <v>110</v>
      </c>
      <c r="E3478" s="12" t="s">
        <v>64</v>
      </c>
      <c r="F3478" s="12">
        <v>0</v>
      </c>
      <c r="G3478" s="12">
        <v>0</v>
      </c>
      <c r="H3478" s="12" t="s">
        <v>111</v>
      </c>
      <c r="I3478" s="12" t="s">
        <v>111</v>
      </c>
      <c r="J3478" s="12">
        <v>60.95</v>
      </c>
      <c r="K3478" s="12">
        <v>41.86</v>
      </c>
      <c r="L3478" s="12">
        <v>0</v>
      </c>
      <c r="M3478" s="12">
        <v>0</v>
      </c>
      <c r="N3478" s="12">
        <v>102.81</v>
      </c>
    </row>
    <row r="3479" spans="1:15" x14ac:dyDescent="0.3">
      <c r="A3479" s="12" t="s">
        <v>96</v>
      </c>
      <c r="B3479" s="12" t="s">
        <v>164</v>
      </c>
      <c r="C3479" s="12" t="s">
        <v>123</v>
      </c>
      <c r="D3479" s="12" t="s">
        <v>110</v>
      </c>
      <c r="E3479" s="12" t="s">
        <v>45</v>
      </c>
      <c r="F3479" s="12">
        <v>0</v>
      </c>
      <c r="G3479" s="12">
        <v>75</v>
      </c>
      <c r="H3479" s="12" t="s">
        <v>111</v>
      </c>
      <c r="I3479" s="12">
        <v>148.56</v>
      </c>
      <c r="J3479" s="12">
        <v>-144.55000000000001</v>
      </c>
      <c r="K3479" s="12">
        <v>265.55</v>
      </c>
      <c r="L3479" s="12">
        <v>-3.9</v>
      </c>
      <c r="M3479" s="12">
        <v>0</v>
      </c>
      <c r="N3479" s="12">
        <v>117.1</v>
      </c>
    </row>
    <row r="3480" spans="1:15" x14ac:dyDescent="0.3">
      <c r="A3480" s="12" t="s">
        <v>96</v>
      </c>
      <c r="B3480" s="12" t="s">
        <v>164</v>
      </c>
      <c r="C3480" s="12" t="s">
        <v>123</v>
      </c>
      <c r="D3480" s="12" t="s">
        <v>110</v>
      </c>
      <c r="E3480" s="12" t="s">
        <v>4</v>
      </c>
      <c r="F3480" s="12">
        <v>0</v>
      </c>
      <c r="G3480" s="12">
        <v>0</v>
      </c>
      <c r="H3480" s="12" t="s">
        <v>111</v>
      </c>
      <c r="I3480" s="12" t="s">
        <v>111</v>
      </c>
      <c r="J3480" s="12">
        <v>-357.04</v>
      </c>
      <c r="K3480" s="12">
        <v>4.8</v>
      </c>
      <c r="L3480" s="12">
        <v>-2.6</v>
      </c>
      <c r="M3480" s="12">
        <v>26.73</v>
      </c>
      <c r="N3480" s="12">
        <v>-328.11</v>
      </c>
    </row>
    <row r="3481" spans="1:15" x14ac:dyDescent="0.3">
      <c r="A3481" s="12" t="s">
        <v>96</v>
      </c>
      <c r="B3481" s="12" t="s">
        <v>164</v>
      </c>
      <c r="C3481" s="12" t="s">
        <v>123</v>
      </c>
      <c r="D3481" s="12" t="s">
        <v>110</v>
      </c>
      <c r="E3481" s="12" t="s">
        <v>5</v>
      </c>
      <c r="F3481" s="12">
        <v>0</v>
      </c>
      <c r="G3481" s="12">
        <v>78</v>
      </c>
      <c r="H3481" s="12" t="s">
        <v>111</v>
      </c>
      <c r="I3481" s="12">
        <v>178.5</v>
      </c>
      <c r="J3481" s="12">
        <v>2630.37</v>
      </c>
      <c r="K3481" s="12">
        <v>17.809999999999999</v>
      </c>
      <c r="L3481" s="12">
        <v>-6.5</v>
      </c>
      <c r="M3481" s="12">
        <v>0</v>
      </c>
      <c r="N3481" s="12">
        <v>2641.68</v>
      </c>
    </row>
    <row r="3482" spans="1:15" x14ac:dyDescent="0.3">
      <c r="A3482" s="12" t="s">
        <v>96</v>
      </c>
      <c r="B3482" s="12" t="s">
        <v>164</v>
      </c>
      <c r="C3482" s="12" t="s">
        <v>123</v>
      </c>
      <c r="D3482" s="12" t="s">
        <v>110</v>
      </c>
      <c r="E3482" s="12" t="s">
        <v>6</v>
      </c>
      <c r="F3482" s="12">
        <v>0</v>
      </c>
      <c r="G3482" s="12">
        <v>0</v>
      </c>
      <c r="H3482" s="12" t="s">
        <v>111</v>
      </c>
      <c r="I3482" s="12" t="s">
        <v>111</v>
      </c>
      <c r="J3482" s="12">
        <v>1354.5</v>
      </c>
      <c r="K3482" s="12">
        <v>253.15</v>
      </c>
      <c r="L3482" s="12">
        <v>-5.2</v>
      </c>
      <c r="M3482" s="12">
        <v>0</v>
      </c>
      <c r="N3482" s="12">
        <v>1602.45</v>
      </c>
    </row>
    <row r="3483" spans="1:15" x14ac:dyDescent="0.3">
      <c r="A3483" s="12" t="s">
        <v>96</v>
      </c>
      <c r="B3483" s="12" t="s">
        <v>164</v>
      </c>
      <c r="C3483" s="12" t="s">
        <v>123</v>
      </c>
      <c r="D3483" s="12" t="s">
        <v>110</v>
      </c>
      <c r="E3483" s="12" t="s">
        <v>65</v>
      </c>
      <c r="F3483" s="12">
        <v>0</v>
      </c>
      <c r="G3483" s="12">
        <v>70</v>
      </c>
      <c r="H3483" s="12" t="s">
        <v>111</v>
      </c>
      <c r="I3483" s="12">
        <v>67.45</v>
      </c>
      <c r="J3483" s="12">
        <v>149.1</v>
      </c>
      <c r="K3483" s="12">
        <v>10.85</v>
      </c>
      <c r="L3483" s="12">
        <v>0</v>
      </c>
      <c r="M3483" s="12">
        <v>5.77</v>
      </c>
      <c r="N3483" s="12">
        <v>165.72</v>
      </c>
    </row>
    <row r="3484" spans="1:15" x14ac:dyDescent="0.3">
      <c r="A3484" s="12" t="s">
        <v>96</v>
      </c>
      <c r="B3484" s="12" t="s">
        <v>164</v>
      </c>
      <c r="C3484" s="12" t="s">
        <v>123</v>
      </c>
      <c r="D3484" s="12" t="s">
        <v>110</v>
      </c>
      <c r="E3484" s="12" t="s">
        <v>58</v>
      </c>
      <c r="F3484" s="12">
        <v>0</v>
      </c>
      <c r="G3484" s="12">
        <v>70</v>
      </c>
      <c r="H3484" s="12" t="s">
        <v>111</v>
      </c>
      <c r="I3484" s="12">
        <v>132.88</v>
      </c>
      <c r="J3484" s="12">
        <v>2471.9499999999998</v>
      </c>
      <c r="K3484" s="12">
        <v>25.4</v>
      </c>
      <c r="L3484" s="12">
        <v>0</v>
      </c>
      <c r="M3484" s="12">
        <v>0</v>
      </c>
      <c r="N3484" s="12">
        <v>2497.35</v>
      </c>
    </row>
    <row r="3485" spans="1:15" x14ac:dyDescent="0.3">
      <c r="A3485" s="12" t="s">
        <v>96</v>
      </c>
      <c r="B3485" s="12" t="s">
        <v>164</v>
      </c>
      <c r="C3485" s="12" t="s">
        <v>123</v>
      </c>
      <c r="D3485" s="12" t="s">
        <v>110</v>
      </c>
      <c r="E3485" s="12" t="s">
        <v>7</v>
      </c>
      <c r="F3485" s="12">
        <v>0</v>
      </c>
      <c r="G3485" s="12">
        <v>70</v>
      </c>
      <c r="H3485" s="12" t="s">
        <v>111</v>
      </c>
      <c r="I3485" s="12">
        <v>162.82</v>
      </c>
      <c r="J3485" s="12">
        <v>2735.44</v>
      </c>
      <c r="K3485" s="12">
        <v>-90.58</v>
      </c>
      <c r="L3485" s="12">
        <v>-6.5</v>
      </c>
      <c r="M3485" s="12">
        <v>43.31</v>
      </c>
      <c r="N3485" s="12">
        <v>2681.67</v>
      </c>
    </row>
    <row r="3486" spans="1:15" x14ac:dyDescent="0.3">
      <c r="A3486" s="12" t="s">
        <v>96</v>
      </c>
      <c r="B3486" s="12" t="s">
        <v>164</v>
      </c>
      <c r="C3486" s="12" t="s">
        <v>123</v>
      </c>
      <c r="D3486" s="12" t="s">
        <v>110</v>
      </c>
      <c r="E3486" s="12" t="s">
        <v>8</v>
      </c>
      <c r="F3486" s="12">
        <v>0</v>
      </c>
      <c r="G3486" s="12">
        <v>100</v>
      </c>
      <c r="H3486" s="12" t="s">
        <v>111</v>
      </c>
      <c r="I3486" s="12">
        <v>40.75</v>
      </c>
      <c r="J3486" s="12">
        <v>2545.27</v>
      </c>
      <c r="K3486" s="12">
        <v>-59.04</v>
      </c>
      <c r="L3486" s="12">
        <v>-2.9169999999999998</v>
      </c>
      <c r="M3486" s="12">
        <v>111.96</v>
      </c>
      <c r="N3486" s="12">
        <v>2595.2730000000001</v>
      </c>
    </row>
    <row r="3487" spans="1:15" x14ac:dyDescent="0.3">
      <c r="A3487" s="12" t="s">
        <v>96</v>
      </c>
      <c r="B3487" s="12" t="s">
        <v>164</v>
      </c>
      <c r="C3487" s="12" t="s">
        <v>123</v>
      </c>
      <c r="D3487" s="12" t="s">
        <v>110</v>
      </c>
      <c r="E3487" s="12" t="s">
        <v>9</v>
      </c>
      <c r="F3487" s="12">
        <v>0</v>
      </c>
      <c r="G3487" s="12">
        <v>2</v>
      </c>
      <c r="H3487" s="12" t="s">
        <v>111</v>
      </c>
      <c r="I3487" s="17">
        <v>3909.23</v>
      </c>
      <c r="J3487" s="12">
        <v>819.89</v>
      </c>
      <c r="K3487" s="12">
        <v>-224.14</v>
      </c>
      <c r="L3487" s="12">
        <v>-2.6</v>
      </c>
      <c r="M3487" s="12">
        <v>0</v>
      </c>
      <c r="N3487" s="12">
        <v>593.15</v>
      </c>
    </row>
    <row r="3488" spans="1:15" x14ac:dyDescent="0.3">
      <c r="A3488" s="12" t="s">
        <v>96</v>
      </c>
      <c r="B3488" s="12" t="s">
        <v>164</v>
      </c>
      <c r="C3488" s="12" t="s">
        <v>123</v>
      </c>
      <c r="D3488" s="12" t="s">
        <v>110</v>
      </c>
      <c r="E3488" s="12" t="s">
        <v>3</v>
      </c>
      <c r="F3488" s="12">
        <v>0</v>
      </c>
      <c r="G3488" s="12">
        <v>140</v>
      </c>
      <c r="H3488" s="12" t="s">
        <v>111</v>
      </c>
      <c r="I3488" s="12">
        <v>62.64</v>
      </c>
      <c r="J3488" s="12">
        <v>1779.56</v>
      </c>
      <c r="K3488" s="12">
        <v>76.64</v>
      </c>
      <c r="L3488" s="12">
        <v>-5.2</v>
      </c>
      <c r="M3488" s="12">
        <v>183.61</v>
      </c>
      <c r="N3488" s="12">
        <v>2034.61</v>
      </c>
    </row>
    <row r="3489" spans="1:14" x14ac:dyDescent="0.3">
      <c r="A3489" s="12" t="s">
        <v>96</v>
      </c>
      <c r="B3489" s="12" t="s">
        <v>164</v>
      </c>
      <c r="C3489" s="12" t="s">
        <v>123</v>
      </c>
      <c r="D3489" s="12" t="s">
        <v>110</v>
      </c>
      <c r="E3489" s="12" t="s">
        <v>46</v>
      </c>
      <c r="F3489" s="12">
        <v>0</v>
      </c>
      <c r="G3489" s="12">
        <v>0</v>
      </c>
      <c r="H3489" s="12" t="s">
        <v>111</v>
      </c>
      <c r="I3489" s="12" t="s">
        <v>111</v>
      </c>
      <c r="J3489" s="12">
        <v>-497.74</v>
      </c>
      <c r="K3489" s="12">
        <v>-5.18</v>
      </c>
      <c r="L3489" s="12">
        <v>-3.9</v>
      </c>
      <c r="M3489" s="12">
        <v>12.67</v>
      </c>
      <c r="N3489" s="12">
        <v>-494.15</v>
      </c>
    </row>
    <row r="3490" spans="1:14" x14ac:dyDescent="0.3">
      <c r="A3490" s="12" t="s">
        <v>96</v>
      </c>
      <c r="B3490" s="12" t="s">
        <v>164</v>
      </c>
      <c r="C3490" s="12" t="s">
        <v>123</v>
      </c>
      <c r="D3490" s="12" t="s">
        <v>110</v>
      </c>
      <c r="E3490" s="12" t="s">
        <v>10</v>
      </c>
      <c r="F3490" s="12">
        <v>0</v>
      </c>
      <c r="G3490" s="12">
        <v>0</v>
      </c>
      <c r="H3490" s="12" t="s">
        <v>111</v>
      </c>
      <c r="I3490" s="12" t="s">
        <v>111</v>
      </c>
      <c r="J3490" s="12">
        <v>-356.4</v>
      </c>
      <c r="K3490" s="12">
        <v>-125.6</v>
      </c>
      <c r="L3490" s="12">
        <v>-2.6</v>
      </c>
      <c r="M3490" s="12">
        <v>0</v>
      </c>
      <c r="N3490" s="12">
        <v>-484.6</v>
      </c>
    </row>
    <row r="3491" spans="1:14" x14ac:dyDescent="0.3">
      <c r="A3491" s="12" t="s">
        <v>96</v>
      </c>
      <c r="B3491" s="12" t="s">
        <v>164</v>
      </c>
      <c r="C3491" s="12" t="s">
        <v>123</v>
      </c>
      <c r="D3491" s="12" t="s">
        <v>110</v>
      </c>
      <c r="E3491" s="12" t="s">
        <v>11</v>
      </c>
      <c r="F3491" s="12">
        <v>0</v>
      </c>
      <c r="G3491" s="12">
        <v>10</v>
      </c>
      <c r="H3491" s="12" t="s">
        <v>111</v>
      </c>
      <c r="I3491" s="12">
        <v>892.38</v>
      </c>
      <c r="J3491" s="12">
        <v>2926.84</v>
      </c>
      <c r="K3491" s="12">
        <v>-230.94749999999999</v>
      </c>
      <c r="L3491" s="12">
        <v>-3.9</v>
      </c>
      <c r="M3491" s="12">
        <v>25.81</v>
      </c>
      <c r="N3491" s="12">
        <v>2717.8024999999998</v>
      </c>
    </row>
    <row r="3492" spans="1:14" x14ac:dyDescent="0.3">
      <c r="A3492" s="12" t="s">
        <v>96</v>
      </c>
      <c r="B3492" s="12" t="s">
        <v>164</v>
      </c>
      <c r="C3492" s="12" t="s">
        <v>123</v>
      </c>
      <c r="D3492" s="12" t="s">
        <v>110</v>
      </c>
      <c r="E3492" s="12" t="s">
        <v>47</v>
      </c>
      <c r="F3492" s="12">
        <v>0</v>
      </c>
      <c r="G3492" s="12">
        <v>0</v>
      </c>
      <c r="H3492" s="12" t="s">
        <v>111</v>
      </c>
      <c r="I3492" s="12" t="s">
        <v>111</v>
      </c>
      <c r="J3492" s="12">
        <v>-461.28</v>
      </c>
      <c r="K3492" s="12">
        <v>-72.48</v>
      </c>
      <c r="L3492" s="12">
        <v>-1.3</v>
      </c>
      <c r="M3492" s="12">
        <v>0</v>
      </c>
      <c r="N3492" s="12">
        <v>-535.05999999999995</v>
      </c>
    </row>
    <row r="3493" spans="1:14" x14ac:dyDescent="0.3">
      <c r="A3493" s="12" t="s">
        <v>96</v>
      </c>
      <c r="B3493" s="12" t="s">
        <v>164</v>
      </c>
      <c r="C3493" s="12" t="s">
        <v>123</v>
      </c>
      <c r="D3493" s="12" t="s">
        <v>110</v>
      </c>
      <c r="E3493" s="12" t="s">
        <v>85</v>
      </c>
      <c r="F3493" s="12">
        <v>0</v>
      </c>
      <c r="G3493" s="12">
        <v>20</v>
      </c>
      <c r="H3493" s="12" t="s">
        <v>111</v>
      </c>
      <c r="I3493" s="12">
        <v>252.9</v>
      </c>
      <c r="J3493" s="12">
        <v>-82.2</v>
      </c>
      <c r="K3493" s="12">
        <v>-37.799999999999997</v>
      </c>
      <c r="L3493" s="12">
        <v>0</v>
      </c>
      <c r="M3493" s="12">
        <v>0</v>
      </c>
      <c r="N3493" s="12">
        <v>-120</v>
      </c>
    </row>
    <row r="3494" spans="1:14" x14ac:dyDescent="0.3">
      <c r="A3494" s="12" t="s">
        <v>96</v>
      </c>
      <c r="B3494" s="12" t="s">
        <v>164</v>
      </c>
      <c r="C3494" s="12" t="s">
        <v>123</v>
      </c>
      <c r="D3494" s="12" t="s">
        <v>110</v>
      </c>
      <c r="E3494" s="12" t="s">
        <v>12</v>
      </c>
      <c r="F3494" s="12">
        <v>0</v>
      </c>
      <c r="G3494" s="12">
        <v>0</v>
      </c>
      <c r="H3494" s="12" t="s">
        <v>111</v>
      </c>
      <c r="I3494" s="12" t="s">
        <v>111</v>
      </c>
      <c r="J3494" s="12">
        <v>-809.4</v>
      </c>
      <c r="K3494" s="12">
        <v>-68.400000000000006</v>
      </c>
      <c r="L3494" s="12">
        <v>-2.6</v>
      </c>
      <c r="M3494" s="12">
        <v>47.38</v>
      </c>
      <c r="N3494" s="12">
        <v>-833.02</v>
      </c>
    </row>
    <row r="3495" spans="1:14" x14ac:dyDescent="0.3">
      <c r="A3495" s="12" t="s">
        <v>96</v>
      </c>
      <c r="B3495" s="12" t="s">
        <v>164</v>
      </c>
      <c r="C3495" s="12" t="s">
        <v>123</v>
      </c>
      <c r="D3495" s="12" t="s">
        <v>110</v>
      </c>
      <c r="E3495" s="12" t="s">
        <v>66</v>
      </c>
      <c r="F3495" s="12">
        <v>0</v>
      </c>
      <c r="G3495" s="12">
        <v>0</v>
      </c>
      <c r="H3495" s="12" t="s">
        <v>111</v>
      </c>
      <c r="I3495" s="12" t="s">
        <v>111</v>
      </c>
      <c r="J3495" s="12">
        <v>-44.2</v>
      </c>
      <c r="K3495" s="12">
        <v>5.85</v>
      </c>
      <c r="L3495" s="12">
        <v>0</v>
      </c>
      <c r="M3495" s="12">
        <v>0</v>
      </c>
      <c r="N3495" s="12">
        <v>-38.35</v>
      </c>
    </row>
    <row r="3496" spans="1:14" x14ac:dyDescent="0.3">
      <c r="A3496" s="12" t="s">
        <v>96</v>
      </c>
      <c r="B3496" s="12" t="s">
        <v>164</v>
      </c>
      <c r="C3496" s="12" t="s">
        <v>123</v>
      </c>
      <c r="D3496" s="12" t="s">
        <v>110</v>
      </c>
      <c r="E3496" s="12" t="s">
        <v>13</v>
      </c>
      <c r="F3496" s="12">
        <v>0</v>
      </c>
      <c r="G3496" s="12">
        <v>0</v>
      </c>
      <c r="H3496" s="12" t="s">
        <v>111</v>
      </c>
      <c r="I3496" s="12" t="s">
        <v>111</v>
      </c>
      <c r="J3496" s="12">
        <v>-271.68</v>
      </c>
      <c r="K3496" s="12">
        <v>58.3</v>
      </c>
      <c r="L3496" s="12">
        <v>-5.2</v>
      </c>
      <c r="M3496" s="12">
        <v>0</v>
      </c>
      <c r="N3496" s="12">
        <v>-218.58</v>
      </c>
    </row>
    <row r="3497" spans="1:14" x14ac:dyDescent="0.3">
      <c r="A3497" s="12" t="s">
        <v>96</v>
      </c>
      <c r="B3497" s="12" t="s">
        <v>164</v>
      </c>
      <c r="C3497" s="12" t="s">
        <v>123</v>
      </c>
      <c r="D3497" s="12" t="s">
        <v>110</v>
      </c>
      <c r="E3497" s="12" t="s">
        <v>14</v>
      </c>
      <c r="F3497" s="12">
        <v>0</v>
      </c>
      <c r="G3497" s="12">
        <v>0</v>
      </c>
      <c r="H3497" s="12" t="s">
        <v>111</v>
      </c>
      <c r="I3497" s="12" t="s">
        <v>111</v>
      </c>
      <c r="J3497" s="12">
        <v>-359.48</v>
      </c>
      <c r="K3497" s="12">
        <v>72.44</v>
      </c>
      <c r="L3497" s="12">
        <v>-2.6</v>
      </c>
      <c r="M3497" s="12">
        <v>6.07</v>
      </c>
      <c r="N3497" s="12">
        <v>-283.57</v>
      </c>
    </row>
    <row r="3498" spans="1:14" x14ac:dyDescent="0.3">
      <c r="A3498" s="12" t="s">
        <v>96</v>
      </c>
      <c r="B3498" s="12" t="s">
        <v>164</v>
      </c>
      <c r="C3498" s="12" t="s">
        <v>123</v>
      </c>
      <c r="D3498" s="12" t="s">
        <v>110</v>
      </c>
      <c r="E3498" s="12" t="s">
        <v>67</v>
      </c>
      <c r="F3498" s="12">
        <v>0</v>
      </c>
      <c r="G3498" s="12">
        <v>0</v>
      </c>
      <c r="H3498" s="12" t="s">
        <v>111</v>
      </c>
      <c r="I3498" s="12" t="s">
        <v>111</v>
      </c>
      <c r="J3498" s="12">
        <v>85.4</v>
      </c>
      <c r="K3498" s="12">
        <v>39.799999999999997</v>
      </c>
      <c r="L3498" s="12">
        <v>0</v>
      </c>
      <c r="M3498" s="12">
        <v>0</v>
      </c>
      <c r="N3498" s="12">
        <v>125.2</v>
      </c>
    </row>
    <row r="3499" spans="1:14" x14ac:dyDescent="0.3">
      <c r="A3499" s="12" t="s">
        <v>96</v>
      </c>
      <c r="B3499" s="12" t="s">
        <v>164</v>
      </c>
      <c r="C3499" s="12" t="s">
        <v>123</v>
      </c>
      <c r="D3499" s="12" t="s">
        <v>110</v>
      </c>
      <c r="E3499" s="12" t="s">
        <v>15</v>
      </c>
      <c r="F3499" s="12">
        <v>0</v>
      </c>
      <c r="G3499" s="12">
        <v>0</v>
      </c>
      <c r="H3499" s="12" t="s">
        <v>111</v>
      </c>
      <c r="I3499" s="12" t="s">
        <v>111</v>
      </c>
      <c r="J3499" s="12">
        <v>-63.6</v>
      </c>
      <c r="K3499" s="12">
        <v>85.64</v>
      </c>
      <c r="L3499" s="12">
        <v>-3.9</v>
      </c>
      <c r="M3499" s="12">
        <v>0</v>
      </c>
      <c r="N3499" s="12">
        <v>18.14</v>
      </c>
    </row>
    <row r="3500" spans="1:14" x14ac:dyDescent="0.3">
      <c r="A3500" s="12" t="s">
        <v>96</v>
      </c>
      <c r="B3500" s="12" t="s">
        <v>164</v>
      </c>
      <c r="C3500" s="12" t="s">
        <v>123</v>
      </c>
      <c r="D3500" s="12" t="s">
        <v>110</v>
      </c>
      <c r="E3500" s="12" t="s">
        <v>16</v>
      </c>
      <c r="F3500" s="12">
        <v>0</v>
      </c>
      <c r="G3500" s="12">
        <v>0</v>
      </c>
      <c r="H3500" s="12" t="s">
        <v>111</v>
      </c>
      <c r="I3500" s="12" t="s">
        <v>111</v>
      </c>
      <c r="J3500" s="12">
        <v>-227.4</v>
      </c>
      <c r="K3500" s="12">
        <v>-70.8</v>
      </c>
      <c r="L3500" s="12">
        <v>-2.6</v>
      </c>
      <c r="M3500" s="12">
        <v>13.65</v>
      </c>
      <c r="N3500" s="12">
        <v>-287.14999999999998</v>
      </c>
    </row>
    <row r="3501" spans="1:14" x14ac:dyDescent="0.3">
      <c r="A3501" s="12" t="s">
        <v>96</v>
      </c>
      <c r="B3501" s="12" t="s">
        <v>164</v>
      </c>
      <c r="C3501" s="12" t="s">
        <v>123</v>
      </c>
      <c r="D3501" s="12" t="s">
        <v>110</v>
      </c>
      <c r="E3501" s="12" t="s">
        <v>17</v>
      </c>
      <c r="F3501" s="12">
        <v>0</v>
      </c>
      <c r="G3501" s="12">
        <v>0</v>
      </c>
      <c r="H3501" s="12" t="s">
        <v>111</v>
      </c>
      <c r="I3501" s="12" t="s">
        <v>111</v>
      </c>
      <c r="J3501" s="12">
        <v>4.24</v>
      </c>
      <c r="K3501" s="12">
        <v>10.6</v>
      </c>
      <c r="L3501" s="12">
        <v>-2.6</v>
      </c>
      <c r="M3501" s="12">
        <v>0</v>
      </c>
      <c r="N3501" s="12">
        <v>12.24</v>
      </c>
    </row>
    <row r="3502" spans="1:14" x14ac:dyDescent="0.3">
      <c r="A3502" s="12" t="s">
        <v>96</v>
      </c>
      <c r="B3502" s="12" t="s">
        <v>164</v>
      </c>
      <c r="C3502" s="12" t="s">
        <v>123</v>
      </c>
      <c r="D3502" s="12" t="s">
        <v>110</v>
      </c>
      <c r="E3502" s="12" t="s">
        <v>68</v>
      </c>
      <c r="F3502" s="12">
        <v>0</v>
      </c>
      <c r="G3502" s="12">
        <v>0</v>
      </c>
      <c r="H3502" s="12" t="s">
        <v>111</v>
      </c>
      <c r="I3502" s="12" t="s">
        <v>111</v>
      </c>
      <c r="J3502" s="12">
        <v>-82.5</v>
      </c>
      <c r="K3502" s="12">
        <v>14.1</v>
      </c>
      <c r="L3502" s="12">
        <v>0</v>
      </c>
      <c r="M3502" s="12">
        <v>0</v>
      </c>
      <c r="N3502" s="12">
        <v>-68.400000000000006</v>
      </c>
    </row>
    <row r="3503" spans="1:14" x14ac:dyDescent="0.3">
      <c r="A3503" s="12" t="s">
        <v>96</v>
      </c>
      <c r="B3503" s="12" t="s">
        <v>164</v>
      </c>
      <c r="C3503" s="12" t="s">
        <v>123</v>
      </c>
      <c r="D3503" s="12" t="s">
        <v>110</v>
      </c>
      <c r="E3503" s="12" t="s">
        <v>18</v>
      </c>
      <c r="F3503" s="12">
        <v>0</v>
      </c>
      <c r="G3503" s="12">
        <v>30</v>
      </c>
      <c r="H3503" s="12" t="s">
        <v>111</v>
      </c>
      <c r="I3503" s="12">
        <v>299.36</v>
      </c>
      <c r="J3503" s="12">
        <v>726.58</v>
      </c>
      <c r="K3503" s="12">
        <v>-12.23</v>
      </c>
      <c r="L3503" s="12">
        <v>-2.6</v>
      </c>
      <c r="M3503" s="12">
        <v>66.040000000000006</v>
      </c>
      <c r="N3503" s="12">
        <v>777.79</v>
      </c>
    </row>
    <row r="3504" spans="1:14" x14ac:dyDescent="0.3">
      <c r="A3504" s="12" t="s">
        <v>96</v>
      </c>
      <c r="B3504" s="12" t="s">
        <v>164</v>
      </c>
      <c r="C3504" s="12" t="s">
        <v>123</v>
      </c>
      <c r="D3504" s="12" t="s">
        <v>110</v>
      </c>
      <c r="E3504" s="12" t="s">
        <v>48</v>
      </c>
      <c r="F3504" s="12">
        <v>0</v>
      </c>
      <c r="G3504" s="12">
        <v>65</v>
      </c>
      <c r="H3504" s="12" t="s">
        <v>111</v>
      </c>
      <c r="I3504" s="12">
        <v>174.62</v>
      </c>
      <c r="J3504" s="12">
        <v>2287.5500000000002</v>
      </c>
      <c r="K3504" s="12">
        <v>-60.25</v>
      </c>
      <c r="L3504" s="12">
        <v>-1.3</v>
      </c>
      <c r="M3504" s="12">
        <v>14.7</v>
      </c>
      <c r="N3504" s="12">
        <v>2240.6999999999998</v>
      </c>
    </row>
    <row r="3505" spans="1:14" x14ac:dyDescent="0.3">
      <c r="A3505" s="12" t="s">
        <v>96</v>
      </c>
      <c r="B3505" s="12" t="s">
        <v>164</v>
      </c>
      <c r="C3505" s="12" t="s">
        <v>123</v>
      </c>
      <c r="D3505" s="12" t="s">
        <v>110</v>
      </c>
      <c r="E3505" s="12" t="s">
        <v>54</v>
      </c>
      <c r="F3505" s="12">
        <v>0</v>
      </c>
      <c r="G3505" s="12">
        <v>30</v>
      </c>
      <c r="H3505" s="12" t="s">
        <v>111</v>
      </c>
      <c r="I3505" s="12">
        <v>201</v>
      </c>
      <c r="J3505" s="12">
        <v>1711.1</v>
      </c>
      <c r="K3505" s="12">
        <v>149.19062500000001</v>
      </c>
      <c r="L3505" s="12">
        <v>-1.3</v>
      </c>
      <c r="M3505" s="12">
        <v>0</v>
      </c>
      <c r="N3505" s="12">
        <v>1858.9906249999999</v>
      </c>
    </row>
    <row r="3506" spans="1:14" x14ac:dyDescent="0.3">
      <c r="A3506" s="12" t="s">
        <v>96</v>
      </c>
      <c r="B3506" s="12" t="s">
        <v>164</v>
      </c>
      <c r="C3506" s="12" t="s">
        <v>123</v>
      </c>
      <c r="D3506" s="12" t="s">
        <v>110</v>
      </c>
      <c r="E3506" s="12" t="s">
        <v>19</v>
      </c>
      <c r="F3506" s="12">
        <v>0</v>
      </c>
      <c r="G3506" s="12">
        <v>100</v>
      </c>
      <c r="H3506" s="12" t="s">
        <v>111</v>
      </c>
      <c r="I3506" s="12">
        <v>163.38</v>
      </c>
      <c r="J3506" s="12">
        <v>1731.32</v>
      </c>
      <c r="K3506" s="12">
        <v>-51.95</v>
      </c>
      <c r="L3506" s="12">
        <v>-5.2</v>
      </c>
      <c r="M3506" s="12">
        <v>18.600000000000001</v>
      </c>
      <c r="N3506" s="12">
        <v>1692.77</v>
      </c>
    </row>
    <row r="3507" spans="1:14" x14ac:dyDescent="0.3">
      <c r="A3507" s="12" t="s">
        <v>96</v>
      </c>
      <c r="B3507" s="12" t="s">
        <v>164</v>
      </c>
      <c r="C3507" s="12" t="s">
        <v>123</v>
      </c>
      <c r="D3507" s="12" t="s">
        <v>110</v>
      </c>
      <c r="E3507" s="12" t="s">
        <v>69</v>
      </c>
      <c r="F3507" s="12">
        <v>0</v>
      </c>
      <c r="G3507" s="12">
        <v>0</v>
      </c>
      <c r="H3507" s="12" t="s">
        <v>111</v>
      </c>
      <c r="I3507" s="12" t="s">
        <v>111</v>
      </c>
      <c r="J3507" s="12">
        <v>-188.85</v>
      </c>
      <c r="K3507" s="12">
        <v>55.5</v>
      </c>
      <c r="L3507" s="12">
        <v>0</v>
      </c>
      <c r="M3507" s="12">
        <v>7.42</v>
      </c>
      <c r="N3507" s="12">
        <v>-125.93</v>
      </c>
    </row>
    <row r="3508" spans="1:14" x14ac:dyDescent="0.3">
      <c r="A3508" s="12" t="s">
        <v>96</v>
      </c>
      <c r="B3508" s="12" t="s">
        <v>164</v>
      </c>
      <c r="C3508" s="12" t="s">
        <v>123</v>
      </c>
      <c r="D3508" s="12" t="s">
        <v>110</v>
      </c>
      <c r="E3508" s="12" t="s">
        <v>20</v>
      </c>
      <c r="F3508" s="12">
        <v>0</v>
      </c>
      <c r="G3508" s="12">
        <v>0</v>
      </c>
      <c r="H3508" s="12" t="s">
        <v>111</v>
      </c>
      <c r="I3508" s="12" t="s">
        <v>111</v>
      </c>
      <c r="J3508" s="12">
        <v>-342.51</v>
      </c>
      <c r="K3508" s="12">
        <v>81.91</v>
      </c>
      <c r="L3508" s="12">
        <v>-1.3</v>
      </c>
      <c r="M3508" s="12">
        <v>37.119999999999997</v>
      </c>
      <c r="N3508" s="12">
        <v>-224.78</v>
      </c>
    </row>
    <row r="3509" spans="1:14" x14ac:dyDescent="0.3">
      <c r="A3509" s="12" t="s">
        <v>96</v>
      </c>
      <c r="B3509" s="12" t="s">
        <v>164</v>
      </c>
      <c r="C3509" s="12" t="s">
        <v>123</v>
      </c>
      <c r="D3509" s="12" t="s">
        <v>110</v>
      </c>
      <c r="E3509" s="12" t="s">
        <v>21</v>
      </c>
      <c r="F3509" s="12">
        <v>0</v>
      </c>
      <c r="G3509" s="12">
        <v>0</v>
      </c>
      <c r="H3509" s="12" t="s">
        <v>111</v>
      </c>
      <c r="I3509" s="12" t="s">
        <v>111</v>
      </c>
      <c r="J3509" s="12">
        <v>490.68</v>
      </c>
      <c r="K3509" s="12">
        <v>-137.34</v>
      </c>
      <c r="L3509" s="12">
        <v>-2.6</v>
      </c>
      <c r="M3509" s="12">
        <v>0</v>
      </c>
      <c r="N3509" s="12">
        <v>350.74</v>
      </c>
    </row>
    <row r="3510" spans="1:14" x14ac:dyDescent="0.3">
      <c r="A3510" s="12" t="s">
        <v>96</v>
      </c>
      <c r="B3510" s="12" t="s">
        <v>164</v>
      </c>
      <c r="C3510" s="12" t="s">
        <v>123</v>
      </c>
      <c r="D3510" s="12" t="s">
        <v>110</v>
      </c>
      <c r="E3510" s="12" t="s">
        <v>22</v>
      </c>
      <c r="F3510" s="12">
        <v>0</v>
      </c>
      <c r="G3510" s="12">
        <v>43</v>
      </c>
      <c r="H3510" s="12" t="s">
        <v>111</v>
      </c>
      <c r="I3510" s="12">
        <v>96.66</v>
      </c>
      <c r="J3510" s="12">
        <v>2823.57</v>
      </c>
      <c r="K3510" s="12">
        <v>-0.57999999999999996</v>
      </c>
      <c r="L3510" s="12">
        <v>-5.2</v>
      </c>
      <c r="M3510" s="12">
        <v>8.16</v>
      </c>
      <c r="N3510" s="12">
        <v>2825.95</v>
      </c>
    </row>
    <row r="3511" spans="1:14" x14ac:dyDescent="0.3">
      <c r="A3511" s="12" t="s">
        <v>96</v>
      </c>
      <c r="B3511" s="12" t="s">
        <v>164</v>
      </c>
      <c r="C3511" s="12" t="s">
        <v>123</v>
      </c>
      <c r="D3511" s="12" t="s">
        <v>110</v>
      </c>
      <c r="E3511" s="12" t="s">
        <v>37</v>
      </c>
      <c r="F3511" s="12">
        <v>0</v>
      </c>
      <c r="G3511" s="12">
        <v>0</v>
      </c>
      <c r="H3511" s="12" t="s">
        <v>111</v>
      </c>
      <c r="I3511" s="12" t="s">
        <v>111</v>
      </c>
      <c r="J3511" s="12">
        <v>-43.25</v>
      </c>
      <c r="K3511" s="12">
        <v>-12.15</v>
      </c>
      <c r="L3511" s="12">
        <v>-2.6</v>
      </c>
      <c r="M3511" s="12">
        <v>37.57</v>
      </c>
      <c r="N3511" s="12">
        <v>-20.43</v>
      </c>
    </row>
    <row r="3512" spans="1:14" x14ac:dyDescent="0.3">
      <c r="A3512" s="12" t="s">
        <v>96</v>
      </c>
      <c r="B3512" s="12" t="s">
        <v>164</v>
      </c>
      <c r="C3512" s="12" t="s">
        <v>123</v>
      </c>
      <c r="D3512" s="12" t="s">
        <v>110</v>
      </c>
      <c r="E3512" s="12" t="s">
        <v>23</v>
      </c>
      <c r="F3512" s="12">
        <v>0</v>
      </c>
      <c r="G3512" s="12">
        <v>0</v>
      </c>
      <c r="H3512" s="12" t="s">
        <v>111</v>
      </c>
      <c r="I3512" s="12" t="s">
        <v>111</v>
      </c>
      <c r="J3512" s="12">
        <v>668.85</v>
      </c>
      <c r="K3512" s="12">
        <v>-124.93</v>
      </c>
      <c r="L3512" s="12">
        <v>-2.6</v>
      </c>
      <c r="M3512" s="12">
        <v>8.77</v>
      </c>
      <c r="N3512" s="12">
        <v>550.09</v>
      </c>
    </row>
    <row r="3513" spans="1:14" x14ac:dyDescent="0.3">
      <c r="A3513" s="12" t="s">
        <v>96</v>
      </c>
      <c r="B3513" s="12" t="s">
        <v>164</v>
      </c>
      <c r="C3513" s="12" t="s">
        <v>123</v>
      </c>
      <c r="D3513" s="12" t="s">
        <v>110</v>
      </c>
      <c r="E3513" s="12" t="s">
        <v>24</v>
      </c>
      <c r="F3513" s="12">
        <v>0</v>
      </c>
      <c r="G3513" s="12">
        <v>50</v>
      </c>
      <c r="H3513" s="12" t="s">
        <v>111</v>
      </c>
      <c r="I3513" s="12">
        <v>91.45</v>
      </c>
      <c r="J3513" s="12">
        <v>726.4</v>
      </c>
      <c r="K3513" s="12">
        <v>59</v>
      </c>
      <c r="L3513" s="12">
        <v>-3.9</v>
      </c>
      <c r="M3513" s="12">
        <v>1.5</v>
      </c>
      <c r="N3513" s="12">
        <v>783</v>
      </c>
    </row>
    <row r="3514" spans="1:14" x14ac:dyDescent="0.3">
      <c r="A3514" s="12" t="s">
        <v>96</v>
      </c>
      <c r="B3514" s="12" t="s">
        <v>164</v>
      </c>
      <c r="C3514" s="12" t="s">
        <v>123</v>
      </c>
      <c r="D3514" s="12" t="s">
        <v>110</v>
      </c>
      <c r="E3514" s="12" t="s">
        <v>70</v>
      </c>
      <c r="F3514" s="12">
        <v>0</v>
      </c>
      <c r="G3514" s="12">
        <v>55</v>
      </c>
      <c r="H3514" s="12" t="s">
        <v>111</v>
      </c>
      <c r="I3514" s="12">
        <v>224.8</v>
      </c>
      <c r="J3514" s="12">
        <v>1330.7</v>
      </c>
      <c r="K3514" s="12">
        <v>-63.3</v>
      </c>
      <c r="L3514" s="12">
        <v>0</v>
      </c>
      <c r="M3514" s="12">
        <v>21.56</v>
      </c>
      <c r="N3514" s="12">
        <v>1288.96</v>
      </c>
    </row>
    <row r="3515" spans="1:14" x14ac:dyDescent="0.3">
      <c r="A3515" s="12" t="s">
        <v>96</v>
      </c>
      <c r="B3515" s="12" t="s">
        <v>164</v>
      </c>
      <c r="C3515" s="12" t="s">
        <v>123</v>
      </c>
      <c r="D3515" s="12" t="s">
        <v>110</v>
      </c>
      <c r="E3515" s="12" t="s">
        <v>59</v>
      </c>
      <c r="F3515" s="12">
        <v>0</v>
      </c>
      <c r="G3515" s="12">
        <v>0</v>
      </c>
      <c r="H3515" s="12" t="s">
        <v>111</v>
      </c>
      <c r="I3515" s="12" t="s">
        <v>111</v>
      </c>
      <c r="J3515" s="12">
        <v>1.5</v>
      </c>
      <c r="K3515" s="12">
        <v>-33.9</v>
      </c>
      <c r="L3515" s="12">
        <v>0</v>
      </c>
      <c r="M3515" s="12">
        <v>25.46</v>
      </c>
      <c r="N3515" s="12">
        <v>-6.94</v>
      </c>
    </row>
    <row r="3516" spans="1:14" x14ac:dyDescent="0.3">
      <c r="A3516" s="12" t="s">
        <v>96</v>
      </c>
      <c r="B3516" s="12" t="s">
        <v>164</v>
      </c>
      <c r="C3516" s="12" t="s">
        <v>123</v>
      </c>
      <c r="D3516" s="12" t="s">
        <v>110</v>
      </c>
      <c r="E3516" s="12" t="s">
        <v>49</v>
      </c>
      <c r="F3516" s="12">
        <v>0</v>
      </c>
      <c r="G3516" s="12">
        <v>10</v>
      </c>
      <c r="H3516" s="12" t="s">
        <v>111</v>
      </c>
      <c r="I3516" s="12">
        <v>960.02</v>
      </c>
      <c r="J3516" s="12">
        <v>1864.43</v>
      </c>
      <c r="K3516" s="12">
        <v>-19.864999999999998</v>
      </c>
      <c r="L3516" s="12">
        <v>-3.9</v>
      </c>
      <c r="M3516" s="12">
        <v>9.75</v>
      </c>
      <c r="N3516" s="12">
        <v>1850.415</v>
      </c>
    </row>
    <row r="3517" spans="1:14" x14ac:dyDescent="0.3">
      <c r="A3517" s="12" t="s">
        <v>96</v>
      </c>
      <c r="B3517" s="12" t="s">
        <v>164</v>
      </c>
      <c r="C3517" s="12" t="s">
        <v>123</v>
      </c>
      <c r="D3517" s="12" t="s">
        <v>110</v>
      </c>
      <c r="E3517" s="12" t="s">
        <v>25</v>
      </c>
      <c r="F3517" s="12">
        <v>0</v>
      </c>
      <c r="G3517" s="12">
        <v>0</v>
      </c>
      <c r="H3517" s="12" t="s">
        <v>111</v>
      </c>
      <c r="I3517" s="12" t="s">
        <v>111</v>
      </c>
      <c r="J3517" s="12">
        <v>-276.52</v>
      </c>
      <c r="K3517" s="12">
        <v>33.26</v>
      </c>
      <c r="L3517" s="12">
        <v>-6.5</v>
      </c>
      <c r="M3517" s="12">
        <v>0</v>
      </c>
      <c r="N3517" s="12">
        <v>-249.76</v>
      </c>
    </row>
    <row r="3518" spans="1:14" x14ac:dyDescent="0.3">
      <c r="A3518" s="12" t="s">
        <v>96</v>
      </c>
      <c r="B3518" s="12" t="s">
        <v>164</v>
      </c>
      <c r="C3518" s="12" t="s">
        <v>123</v>
      </c>
      <c r="D3518" s="12" t="s">
        <v>110</v>
      </c>
      <c r="E3518" s="12" t="s">
        <v>26</v>
      </c>
      <c r="F3518" s="12">
        <v>0</v>
      </c>
      <c r="G3518" s="12">
        <v>5</v>
      </c>
      <c r="H3518" s="12" t="s">
        <v>111</v>
      </c>
      <c r="I3518" s="12">
        <v>487.74</v>
      </c>
      <c r="J3518" s="12">
        <v>993.8</v>
      </c>
      <c r="K3518" s="12">
        <v>-33.979999999999997</v>
      </c>
      <c r="L3518" s="12">
        <v>-5.2</v>
      </c>
      <c r="M3518" s="12">
        <v>19.12</v>
      </c>
      <c r="N3518" s="12">
        <v>973.74</v>
      </c>
    </row>
    <row r="3519" spans="1:14" x14ac:dyDescent="0.3">
      <c r="A3519" s="12" t="s">
        <v>96</v>
      </c>
      <c r="B3519" s="12" t="s">
        <v>164</v>
      </c>
      <c r="C3519" s="12" t="s">
        <v>123</v>
      </c>
      <c r="D3519" s="12" t="s">
        <v>110</v>
      </c>
      <c r="E3519" s="12" t="s">
        <v>38</v>
      </c>
      <c r="F3519" s="12">
        <v>0</v>
      </c>
      <c r="G3519" s="12">
        <v>0</v>
      </c>
      <c r="H3519" s="12" t="s">
        <v>111</v>
      </c>
      <c r="I3519" s="12" t="s">
        <v>111</v>
      </c>
      <c r="J3519" s="12">
        <v>22.16</v>
      </c>
      <c r="K3519" s="12">
        <v>-50.4</v>
      </c>
      <c r="L3519" s="12">
        <v>-2.6</v>
      </c>
      <c r="M3519" s="12">
        <v>0</v>
      </c>
      <c r="N3519" s="12">
        <v>-30.84</v>
      </c>
    </row>
    <row r="3520" spans="1:14" x14ac:dyDescent="0.3">
      <c r="A3520" s="12" t="s">
        <v>96</v>
      </c>
      <c r="B3520" s="12" t="s">
        <v>164</v>
      </c>
      <c r="C3520" s="12" t="s">
        <v>123</v>
      </c>
      <c r="D3520" s="12" t="s">
        <v>110</v>
      </c>
      <c r="E3520" s="12" t="s">
        <v>27</v>
      </c>
      <c r="F3520" s="12">
        <v>0</v>
      </c>
      <c r="G3520" s="12">
        <v>15</v>
      </c>
      <c r="H3520" s="12" t="s">
        <v>111</v>
      </c>
      <c r="I3520" s="12">
        <v>521.30999999999995</v>
      </c>
      <c r="J3520" s="12">
        <v>3738.64</v>
      </c>
      <c r="K3520" s="12">
        <v>-10.66</v>
      </c>
      <c r="L3520" s="12">
        <v>-3.9</v>
      </c>
      <c r="M3520" s="12">
        <v>20.62</v>
      </c>
      <c r="N3520" s="12">
        <v>3744.7</v>
      </c>
    </row>
    <row r="3521" spans="1:14" x14ac:dyDescent="0.3">
      <c r="A3521" s="12" t="s">
        <v>96</v>
      </c>
      <c r="B3521" s="12" t="s">
        <v>164</v>
      </c>
      <c r="C3521" s="12" t="s">
        <v>123</v>
      </c>
      <c r="D3521" s="12" t="s">
        <v>110</v>
      </c>
      <c r="E3521" s="12" t="s">
        <v>28</v>
      </c>
      <c r="F3521" s="12">
        <v>0</v>
      </c>
      <c r="G3521" s="12">
        <v>61</v>
      </c>
      <c r="H3521" s="12" t="s">
        <v>111</v>
      </c>
      <c r="I3521" s="12">
        <v>417.14</v>
      </c>
      <c r="J3521" s="12">
        <v>2158.9</v>
      </c>
      <c r="K3521" s="12">
        <v>73.39</v>
      </c>
      <c r="L3521" s="12">
        <v>-2.6</v>
      </c>
      <c r="M3521" s="12">
        <v>55.12</v>
      </c>
      <c r="N3521" s="12">
        <v>2284.81</v>
      </c>
    </row>
    <row r="3522" spans="1:14" x14ac:dyDescent="0.3">
      <c r="A3522" s="12" t="s">
        <v>96</v>
      </c>
      <c r="B3522" s="12" t="s">
        <v>164</v>
      </c>
      <c r="C3522" s="12" t="s">
        <v>123</v>
      </c>
      <c r="D3522" s="12" t="s">
        <v>110</v>
      </c>
      <c r="E3522" s="12" t="s">
        <v>55</v>
      </c>
      <c r="F3522" s="12">
        <v>0</v>
      </c>
      <c r="G3522" s="12">
        <v>40</v>
      </c>
      <c r="H3522" s="12" t="s">
        <v>111</v>
      </c>
      <c r="I3522" s="12">
        <v>96.24</v>
      </c>
      <c r="J3522" s="12">
        <v>-1689.7</v>
      </c>
      <c r="K3522" s="12">
        <v>-268.82</v>
      </c>
      <c r="L3522" s="12">
        <v>-1.3</v>
      </c>
      <c r="M3522" s="12">
        <v>6.9</v>
      </c>
      <c r="N3522" s="12">
        <v>-1952.92</v>
      </c>
    </row>
    <row r="3523" spans="1:14" x14ac:dyDescent="0.3">
      <c r="A3523" s="12" t="s">
        <v>96</v>
      </c>
      <c r="B3523" s="12" t="s">
        <v>164</v>
      </c>
      <c r="C3523" s="12" t="s">
        <v>123</v>
      </c>
      <c r="D3523" s="12" t="s">
        <v>110</v>
      </c>
      <c r="E3523" s="12" t="s">
        <v>50</v>
      </c>
      <c r="F3523" s="12">
        <v>0</v>
      </c>
      <c r="G3523" s="12">
        <v>0</v>
      </c>
      <c r="H3523" s="12" t="s">
        <v>111</v>
      </c>
      <c r="I3523" s="12" t="s">
        <v>111</v>
      </c>
      <c r="J3523" s="12">
        <v>-58.71</v>
      </c>
      <c r="K3523" s="12">
        <v>61.77</v>
      </c>
      <c r="L3523" s="12">
        <v>-2.6</v>
      </c>
      <c r="M3523" s="12">
        <v>0</v>
      </c>
      <c r="N3523" s="12">
        <v>0.46</v>
      </c>
    </row>
    <row r="3524" spans="1:14" x14ac:dyDescent="0.3">
      <c r="A3524" s="12" t="s">
        <v>96</v>
      </c>
      <c r="B3524" s="12" t="s">
        <v>164</v>
      </c>
      <c r="C3524" s="12" t="s">
        <v>123</v>
      </c>
      <c r="D3524" s="12" t="s">
        <v>110</v>
      </c>
      <c r="E3524" s="12" t="s">
        <v>71</v>
      </c>
      <c r="F3524" s="12">
        <v>0</v>
      </c>
      <c r="G3524" s="12">
        <v>0</v>
      </c>
      <c r="H3524" s="12" t="s">
        <v>111</v>
      </c>
      <c r="I3524" s="12" t="s">
        <v>111</v>
      </c>
      <c r="J3524" s="12">
        <v>38.5</v>
      </c>
      <c r="K3524" s="12">
        <v>-7.5</v>
      </c>
      <c r="L3524" s="12">
        <v>0</v>
      </c>
      <c r="M3524" s="12">
        <v>0</v>
      </c>
      <c r="N3524" s="12">
        <v>31</v>
      </c>
    </row>
    <row r="3525" spans="1:14" x14ac:dyDescent="0.3">
      <c r="A3525" s="12" t="s">
        <v>96</v>
      </c>
      <c r="B3525" s="12" t="s">
        <v>164</v>
      </c>
      <c r="C3525" s="12" t="s">
        <v>123</v>
      </c>
      <c r="D3525" s="12" t="s">
        <v>110</v>
      </c>
      <c r="E3525" s="12" t="s">
        <v>56</v>
      </c>
      <c r="F3525" s="12">
        <v>0</v>
      </c>
      <c r="G3525" s="12">
        <v>0</v>
      </c>
      <c r="H3525" s="12" t="s">
        <v>111</v>
      </c>
      <c r="I3525" s="12" t="s">
        <v>111</v>
      </c>
      <c r="J3525" s="12">
        <v>-383.25</v>
      </c>
      <c r="K3525" s="12">
        <v>105.45</v>
      </c>
      <c r="L3525" s="12">
        <v>-2.6</v>
      </c>
      <c r="M3525" s="12">
        <v>0</v>
      </c>
      <c r="N3525" s="12">
        <v>-280.39999999999998</v>
      </c>
    </row>
    <row r="3526" spans="1:14" x14ac:dyDescent="0.3">
      <c r="A3526" s="12" t="s">
        <v>96</v>
      </c>
      <c r="B3526" s="12" t="s">
        <v>164</v>
      </c>
      <c r="C3526" s="12" t="s">
        <v>123</v>
      </c>
      <c r="D3526" s="12" t="s">
        <v>110</v>
      </c>
      <c r="E3526" s="12" t="s">
        <v>72</v>
      </c>
      <c r="F3526" s="12">
        <v>0</v>
      </c>
      <c r="G3526" s="12">
        <v>0</v>
      </c>
      <c r="H3526" s="12" t="s">
        <v>111</v>
      </c>
      <c r="I3526" s="12" t="s">
        <v>111</v>
      </c>
      <c r="J3526" s="12">
        <v>7.92</v>
      </c>
      <c r="K3526" s="12">
        <v>93.78</v>
      </c>
      <c r="L3526" s="12">
        <v>0</v>
      </c>
      <c r="M3526" s="12">
        <v>0</v>
      </c>
      <c r="N3526" s="12">
        <v>101.7</v>
      </c>
    </row>
    <row r="3527" spans="1:14" x14ac:dyDescent="0.3">
      <c r="A3527" s="12" t="s">
        <v>96</v>
      </c>
      <c r="B3527" s="12" t="s">
        <v>164</v>
      </c>
      <c r="C3527" s="12" t="s">
        <v>123</v>
      </c>
      <c r="D3527" s="12" t="s">
        <v>110</v>
      </c>
      <c r="E3527" s="12" t="s">
        <v>57</v>
      </c>
      <c r="F3527" s="12">
        <v>0</v>
      </c>
      <c r="G3527" s="12">
        <v>0</v>
      </c>
      <c r="H3527" s="12" t="s">
        <v>111</v>
      </c>
      <c r="I3527" s="12" t="s">
        <v>111</v>
      </c>
      <c r="J3527" s="12">
        <v>134.6</v>
      </c>
      <c r="K3527" s="12">
        <v>-135.56</v>
      </c>
      <c r="L3527" s="12">
        <v>-2.6</v>
      </c>
      <c r="M3527" s="12">
        <v>0</v>
      </c>
      <c r="N3527" s="12">
        <v>-3.56</v>
      </c>
    </row>
    <row r="3528" spans="1:14" x14ac:dyDescent="0.3">
      <c r="A3528" s="12" t="s">
        <v>96</v>
      </c>
      <c r="B3528" s="12" t="s">
        <v>164</v>
      </c>
      <c r="C3528" s="12" t="s">
        <v>123</v>
      </c>
      <c r="D3528" s="12" t="s">
        <v>110</v>
      </c>
      <c r="E3528" s="12" t="s">
        <v>29</v>
      </c>
      <c r="F3528" s="12">
        <v>0</v>
      </c>
      <c r="G3528" s="12">
        <v>15</v>
      </c>
      <c r="H3528" s="12" t="s">
        <v>111</v>
      </c>
      <c r="I3528" s="12">
        <v>362.72</v>
      </c>
      <c r="J3528" s="12">
        <v>1800.72</v>
      </c>
      <c r="K3528" s="12">
        <v>109.98</v>
      </c>
      <c r="L3528" s="12">
        <v>-5.2</v>
      </c>
      <c r="M3528" s="12">
        <v>0</v>
      </c>
      <c r="N3528" s="12">
        <v>1905.5</v>
      </c>
    </row>
    <row r="3529" spans="1:14" x14ac:dyDescent="0.3">
      <c r="A3529" s="12" t="s">
        <v>96</v>
      </c>
      <c r="B3529" s="12" t="s">
        <v>164</v>
      </c>
      <c r="C3529" s="12" t="s">
        <v>123</v>
      </c>
      <c r="D3529" s="12" t="s">
        <v>110</v>
      </c>
      <c r="E3529" s="12" t="s">
        <v>73</v>
      </c>
      <c r="F3529" s="12">
        <v>0</v>
      </c>
      <c r="G3529" s="12">
        <v>0</v>
      </c>
      <c r="H3529" s="12" t="s">
        <v>111</v>
      </c>
      <c r="I3529" s="12" t="s">
        <v>111</v>
      </c>
      <c r="J3529" s="12">
        <v>-28.8</v>
      </c>
      <c r="K3529" s="12">
        <v>-2</v>
      </c>
      <c r="L3529" s="12">
        <v>0</v>
      </c>
      <c r="M3529" s="12">
        <v>0</v>
      </c>
      <c r="N3529" s="12">
        <v>-30.8</v>
      </c>
    </row>
    <row r="3530" spans="1:14" x14ac:dyDescent="0.3">
      <c r="A3530" s="12" t="s">
        <v>96</v>
      </c>
      <c r="B3530" s="12" t="s">
        <v>164</v>
      </c>
      <c r="C3530" s="12" t="s">
        <v>123</v>
      </c>
      <c r="D3530" s="12" t="s">
        <v>110</v>
      </c>
      <c r="E3530" s="12" t="s">
        <v>74</v>
      </c>
      <c r="F3530" s="12">
        <v>0</v>
      </c>
      <c r="G3530" s="12">
        <v>0</v>
      </c>
      <c r="H3530" s="12" t="s">
        <v>111</v>
      </c>
      <c r="I3530" s="12" t="s">
        <v>111</v>
      </c>
      <c r="J3530" s="12">
        <v>-160</v>
      </c>
      <c r="K3530" s="12">
        <v>81.3</v>
      </c>
      <c r="L3530" s="12">
        <v>0</v>
      </c>
      <c r="M3530" s="12">
        <v>0.67</v>
      </c>
      <c r="N3530" s="12">
        <v>-78.03</v>
      </c>
    </row>
    <row r="3531" spans="1:14" x14ac:dyDescent="0.3">
      <c r="A3531" s="12" t="s">
        <v>96</v>
      </c>
      <c r="B3531" s="12" t="s">
        <v>164</v>
      </c>
      <c r="C3531" s="12" t="s">
        <v>123</v>
      </c>
      <c r="D3531" s="12" t="s">
        <v>110</v>
      </c>
      <c r="E3531" s="12" t="s">
        <v>39</v>
      </c>
      <c r="F3531" s="12">
        <v>0</v>
      </c>
      <c r="G3531" s="12">
        <v>35</v>
      </c>
      <c r="H3531" s="12" t="s">
        <v>111</v>
      </c>
      <c r="I3531" s="12">
        <v>175.3</v>
      </c>
      <c r="J3531" s="12">
        <v>-173.6</v>
      </c>
      <c r="K3531" s="12">
        <v>-190.5</v>
      </c>
      <c r="L3531" s="12">
        <v>-3.9</v>
      </c>
      <c r="M3531" s="12">
        <v>43.87</v>
      </c>
      <c r="N3531" s="12">
        <v>-324.13</v>
      </c>
    </row>
    <row r="3532" spans="1:14" x14ac:dyDescent="0.3">
      <c r="A3532" s="12" t="s">
        <v>96</v>
      </c>
      <c r="B3532" s="12" t="s">
        <v>164</v>
      </c>
      <c r="C3532" s="12" t="s">
        <v>123</v>
      </c>
      <c r="D3532" s="12" t="s">
        <v>110</v>
      </c>
      <c r="E3532" s="12" t="s">
        <v>82</v>
      </c>
      <c r="F3532" s="12">
        <v>0</v>
      </c>
      <c r="G3532" s="12">
        <v>130</v>
      </c>
      <c r="H3532" s="12" t="s">
        <v>111</v>
      </c>
      <c r="I3532" s="12">
        <v>476.27</v>
      </c>
      <c r="J3532" s="12">
        <v>-165</v>
      </c>
      <c r="K3532" s="12">
        <v>406.1</v>
      </c>
      <c r="L3532" s="12">
        <v>0</v>
      </c>
      <c r="M3532" s="12">
        <v>0</v>
      </c>
      <c r="N3532" s="12">
        <v>241.1</v>
      </c>
    </row>
    <row r="3533" spans="1:14" x14ac:dyDescent="0.3">
      <c r="A3533" s="12" t="s">
        <v>96</v>
      </c>
      <c r="B3533" s="12" t="s">
        <v>164</v>
      </c>
      <c r="C3533" s="12" t="s">
        <v>123</v>
      </c>
      <c r="D3533" s="12" t="s">
        <v>110</v>
      </c>
      <c r="E3533" s="12" t="s">
        <v>75</v>
      </c>
      <c r="F3533" s="12">
        <v>0</v>
      </c>
      <c r="G3533" s="12">
        <v>0</v>
      </c>
      <c r="H3533" s="12" t="s">
        <v>111</v>
      </c>
      <c r="I3533" s="12" t="s">
        <v>111</v>
      </c>
      <c r="J3533" s="12">
        <v>315.12</v>
      </c>
      <c r="K3533" s="12">
        <v>119.63</v>
      </c>
      <c r="L3533" s="12">
        <v>0</v>
      </c>
      <c r="M3533" s="12">
        <v>0</v>
      </c>
      <c r="N3533" s="12">
        <v>434.75</v>
      </c>
    </row>
    <row r="3534" spans="1:14" x14ac:dyDescent="0.3">
      <c r="A3534" s="12" t="s">
        <v>96</v>
      </c>
      <c r="B3534" s="12" t="s">
        <v>164</v>
      </c>
      <c r="C3534" s="12" t="s">
        <v>123</v>
      </c>
      <c r="D3534" s="12" t="s">
        <v>110</v>
      </c>
      <c r="E3534" s="12" t="s">
        <v>30</v>
      </c>
      <c r="F3534" s="12">
        <v>0</v>
      </c>
      <c r="G3534" s="12">
        <v>0</v>
      </c>
      <c r="H3534" s="12" t="s">
        <v>111</v>
      </c>
      <c r="I3534" s="12" t="s">
        <v>111</v>
      </c>
      <c r="J3534" s="12">
        <v>-52.25</v>
      </c>
      <c r="K3534" s="12">
        <v>-11.83</v>
      </c>
      <c r="L3534" s="12">
        <v>-5.2</v>
      </c>
      <c r="M3534" s="12">
        <v>7.17</v>
      </c>
      <c r="N3534" s="12">
        <v>-62.11</v>
      </c>
    </row>
    <row r="3535" spans="1:14" x14ac:dyDescent="0.3">
      <c r="A3535" s="12" t="s">
        <v>96</v>
      </c>
      <c r="B3535" s="12" t="s">
        <v>164</v>
      </c>
      <c r="C3535" s="12" t="s">
        <v>123</v>
      </c>
      <c r="D3535" s="12" t="s">
        <v>110</v>
      </c>
      <c r="E3535" s="12" t="s">
        <v>76</v>
      </c>
      <c r="F3535" s="12">
        <v>0</v>
      </c>
      <c r="G3535" s="12">
        <v>0</v>
      </c>
      <c r="H3535" s="12" t="s">
        <v>111</v>
      </c>
      <c r="I3535" s="12" t="s">
        <v>111</v>
      </c>
      <c r="J3535" s="12">
        <v>-346.5</v>
      </c>
      <c r="K3535" s="12">
        <v>21.824999999999999</v>
      </c>
      <c r="L3535" s="12">
        <v>0</v>
      </c>
      <c r="M3535" s="12">
        <v>0</v>
      </c>
      <c r="N3535" s="12">
        <v>-324.67500000000001</v>
      </c>
    </row>
    <row r="3536" spans="1:14" x14ac:dyDescent="0.3">
      <c r="A3536" s="12" t="s">
        <v>96</v>
      </c>
      <c r="B3536" s="12" t="s">
        <v>164</v>
      </c>
      <c r="C3536" s="12" t="s">
        <v>123</v>
      </c>
      <c r="D3536" s="12" t="s">
        <v>110</v>
      </c>
      <c r="E3536" s="12" t="s">
        <v>51</v>
      </c>
      <c r="F3536" s="12">
        <v>0</v>
      </c>
      <c r="G3536" s="12">
        <v>0</v>
      </c>
      <c r="H3536" s="12" t="s">
        <v>111</v>
      </c>
      <c r="I3536" s="12" t="s">
        <v>111</v>
      </c>
      <c r="J3536" s="12">
        <v>-3765.82</v>
      </c>
      <c r="K3536" s="12">
        <v>-437.35</v>
      </c>
      <c r="L3536" s="12">
        <v>-5.2</v>
      </c>
      <c r="M3536" s="12">
        <v>0</v>
      </c>
      <c r="N3536" s="12">
        <v>-4208.37</v>
      </c>
    </row>
    <row r="3537" spans="1:14" x14ac:dyDescent="0.3">
      <c r="A3537" s="12" t="s">
        <v>96</v>
      </c>
      <c r="B3537" s="12" t="s">
        <v>164</v>
      </c>
      <c r="C3537" s="12" t="s">
        <v>123</v>
      </c>
      <c r="D3537" s="12" t="s">
        <v>110</v>
      </c>
      <c r="E3537" s="12" t="s">
        <v>31</v>
      </c>
      <c r="F3537" s="12">
        <v>0</v>
      </c>
      <c r="G3537" s="12">
        <v>0</v>
      </c>
      <c r="H3537" s="12" t="s">
        <v>111</v>
      </c>
      <c r="I3537" s="12" t="s">
        <v>111</v>
      </c>
      <c r="J3537" s="12">
        <v>-67.95</v>
      </c>
      <c r="K3537" s="12">
        <v>435.78</v>
      </c>
      <c r="L3537" s="12">
        <v>-5.2</v>
      </c>
      <c r="M3537" s="12">
        <v>0</v>
      </c>
      <c r="N3537" s="12">
        <v>362.63</v>
      </c>
    </row>
    <row r="3538" spans="1:14" x14ac:dyDescent="0.3">
      <c r="A3538" s="12" t="s">
        <v>96</v>
      </c>
      <c r="B3538" s="12" t="s">
        <v>164</v>
      </c>
      <c r="C3538" s="12" t="s">
        <v>123</v>
      </c>
      <c r="D3538" s="12" t="s">
        <v>110</v>
      </c>
      <c r="E3538" s="12" t="s">
        <v>83</v>
      </c>
      <c r="F3538" s="12">
        <v>0</v>
      </c>
      <c r="G3538" s="12">
        <v>120</v>
      </c>
      <c r="H3538" s="12" t="s">
        <v>111</v>
      </c>
      <c r="I3538" s="12">
        <v>231.14</v>
      </c>
      <c r="J3538" s="12">
        <v>-2617.1999999999998</v>
      </c>
      <c r="K3538" s="12">
        <v>-66.599999999999994</v>
      </c>
      <c r="L3538" s="12">
        <v>0</v>
      </c>
      <c r="M3538" s="12">
        <v>0</v>
      </c>
      <c r="N3538" s="12">
        <v>-2683.8</v>
      </c>
    </row>
    <row r="3539" spans="1:14" x14ac:dyDescent="0.3">
      <c r="A3539" s="12" t="s">
        <v>96</v>
      </c>
      <c r="B3539" s="12" t="s">
        <v>164</v>
      </c>
      <c r="C3539" s="12" t="s">
        <v>123</v>
      </c>
      <c r="D3539" s="12" t="s">
        <v>110</v>
      </c>
      <c r="E3539" s="12" t="s">
        <v>86</v>
      </c>
      <c r="F3539" s="12">
        <v>0</v>
      </c>
      <c r="G3539" s="12">
        <v>60</v>
      </c>
      <c r="H3539" s="12" t="s">
        <v>111</v>
      </c>
      <c r="I3539" s="12">
        <v>563.67999999999995</v>
      </c>
      <c r="J3539" s="12">
        <v>2491.8000000000002</v>
      </c>
      <c r="K3539" s="12">
        <v>154.80000000000001</v>
      </c>
      <c r="L3539" s="12">
        <v>0</v>
      </c>
      <c r="M3539" s="12">
        <v>0</v>
      </c>
      <c r="N3539" s="12">
        <v>2646.6</v>
      </c>
    </row>
    <row r="3540" spans="1:14" x14ac:dyDescent="0.3">
      <c r="A3540" s="12" t="s">
        <v>96</v>
      </c>
      <c r="B3540" s="12" t="s">
        <v>164</v>
      </c>
      <c r="C3540" s="12" t="s">
        <v>123</v>
      </c>
      <c r="D3540" s="12" t="s">
        <v>110</v>
      </c>
      <c r="E3540" s="12" t="s">
        <v>77</v>
      </c>
      <c r="F3540" s="12">
        <v>0</v>
      </c>
      <c r="G3540" s="12">
        <v>40</v>
      </c>
      <c r="H3540" s="12" t="s">
        <v>111</v>
      </c>
      <c r="I3540" s="12">
        <v>214.11</v>
      </c>
      <c r="J3540" s="12">
        <v>35.299999999999997</v>
      </c>
      <c r="K3540" s="12">
        <v>304.39999999999998</v>
      </c>
      <c r="L3540" s="12">
        <v>0</v>
      </c>
      <c r="M3540" s="12">
        <v>0</v>
      </c>
      <c r="N3540" s="12">
        <v>339.7</v>
      </c>
    </row>
    <row r="3541" spans="1:14" x14ac:dyDescent="0.3">
      <c r="A3541" s="12" t="s">
        <v>96</v>
      </c>
      <c r="B3541" s="12" t="s">
        <v>164</v>
      </c>
      <c r="C3541" s="12" t="s">
        <v>123</v>
      </c>
      <c r="D3541" s="12" t="s">
        <v>110</v>
      </c>
      <c r="E3541" s="12" t="s">
        <v>87</v>
      </c>
      <c r="F3541" s="12">
        <v>0</v>
      </c>
      <c r="G3541" s="12">
        <v>15</v>
      </c>
      <c r="H3541" s="12" t="s">
        <v>111</v>
      </c>
      <c r="I3541" s="12">
        <v>361.66</v>
      </c>
      <c r="J3541" s="12">
        <v>581.25</v>
      </c>
      <c r="K3541" s="12">
        <v>127.2</v>
      </c>
      <c r="L3541" s="12">
        <v>0</v>
      </c>
      <c r="M3541" s="12">
        <v>0</v>
      </c>
      <c r="N3541" s="12">
        <v>708.45</v>
      </c>
    </row>
    <row r="3542" spans="1:14" x14ac:dyDescent="0.3">
      <c r="A3542" s="12" t="s">
        <v>96</v>
      </c>
      <c r="B3542" s="12" t="s">
        <v>164</v>
      </c>
      <c r="C3542" s="12" t="s">
        <v>123</v>
      </c>
      <c r="D3542" s="12" t="s">
        <v>110</v>
      </c>
      <c r="E3542" s="12" t="s">
        <v>78</v>
      </c>
      <c r="F3542" s="12">
        <v>0</v>
      </c>
      <c r="G3542" s="12">
        <v>30</v>
      </c>
      <c r="H3542" s="12" t="s">
        <v>111</v>
      </c>
      <c r="I3542" s="12">
        <v>214.34</v>
      </c>
      <c r="J3542" s="12">
        <v>661.8</v>
      </c>
      <c r="K3542" s="12">
        <v>-15.9</v>
      </c>
      <c r="L3542" s="12">
        <v>0</v>
      </c>
      <c r="M3542" s="12">
        <v>29.25</v>
      </c>
      <c r="N3542" s="12">
        <v>675.15</v>
      </c>
    </row>
    <row r="3543" spans="1:14" x14ac:dyDescent="0.3">
      <c r="A3543" s="12" t="s">
        <v>96</v>
      </c>
      <c r="B3543" s="12" t="s">
        <v>164</v>
      </c>
      <c r="C3543" s="12" t="s">
        <v>123</v>
      </c>
      <c r="D3543" s="12" t="s">
        <v>110</v>
      </c>
      <c r="E3543" s="12" t="s">
        <v>32</v>
      </c>
      <c r="F3543" s="12">
        <v>0</v>
      </c>
      <c r="G3543" s="12">
        <v>70</v>
      </c>
      <c r="H3543" s="12" t="s">
        <v>111</v>
      </c>
      <c r="I3543" s="12">
        <v>73.13</v>
      </c>
      <c r="J3543" s="12">
        <v>1906.14</v>
      </c>
      <c r="K3543" s="12">
        <v>-89.754999999999995</v>
      </c>
      <c r="L3543" s="12">
        <v>-5.2</v>
      </c>
      <c r="M3543" s="12">
        <v>0</v>
      </c>
      <c r="N3543" s="12">
        <v>1811.1849999999999</v>
      </c>
    </row>
    <row r="3544" spans="1:14" x14ac:dyDescent="0.3">
      <c r="A3544" s="12" t="s">
        <v>96</v>
      </c>
      <c r="B3544" s="12" t="s">
        <v>164</v>
      </c>
      <c r="C3544" s="12" t="s">
        <v>123</v>
      </c>
      <c r="D3544" s="12" t="s">
        <v>110</v>
      </c>
      <c r="E3544" s="12" t="s">
        <v>33</v>
      </c>
      <c r="F3544" s="12">
        <v>0</v>
      </c>
      <c r="G3544" s="12">
        <v>0</v>
      </c>
      <c r="H3544" s="12" t="s">
        <v>111</v>
      </c>
      <c r="I3544" s="12" t="s">
        <v>111</v>
      </c>
      <c r="J3544" s="12">
        <v>400.68</v>
      </c>
      <c r="K3544" s="12">
        <v>-53.13</v>
      </c>
      <c r="L3544" s="12">
        <v>-2.6</v>
      </c>
      <c r="M3544" s="12">
        <v>0</v>
      </c>
      <c r="N3544" s="12">
        <v>344.95</v>
      </c>
    </row>
    <row r="3545" spans="1:14" x14ac:dyDescent="0.3">
      <c r="A3545" s="12" t="s">
        <v>96</v>
      </c>
      <c r="B3545" s="12" t="s">
        <v>164</v>
      </c>
      <c r="C3545" s="12" t="s">
        <v>123</v>
      </c>
      <c r="D3545" s="12" t="s">
        <v>110</v>
      </c>
      <c r="E3545" s="12" t="s">
        <v>60</v>
      </c>
      <c r="F3545" s="12">
        <v>0</v>
      </c>
      <c r="G3545" s="12">
        <v>0</v>
      </c>
      <c r="H3545" s="12" t="s">
        <v>111</v>
      </c>
      <c r="I3545" s="12" t="s">
        <v>111</v>
      </c>
      <c r="J3545" s="12">
        <v>-453.3</v>
      </c>
      <c r="K3545" s="12">
        <v>102</v>
      </c>
      <c r="L3545" s="12">
        <v>0</v>
      </c>
      <c r="M3545" s="12">
        <v>23.62</v>
      </c>
      <c r="N3545" s="12">
        <v>-327.68</v>
      </c>
    </row>
    <row r="3546" spans="1:14" x14ac:dyDescent="0.3">
      <c r="A3546" s="12" t="s">
        <v>96</v>
      </c>
      <c r="B3546" s="12" t="s">
        <v>164</v>
      </c>
      <c r="C3546" s="12" t="s">
        <v>123</v>
      </c>
      <c r="D3546" s="12" t="s">
        <v>110</v>
      </c>
      <c r="E3546" s="12" t="s">
        <v>40</v>
      </c>
      <c r="F3546" s="12">
        <v>0</v>
      </c>
      <c r="G3546" s="12">
        <v>0</v>
      </c>
      <c r="H3546" s="12" t="s">
        <v>111</v>
      </c>
      <c r="I3546" s="12" t="s">
        <v>111</v>
      </c>
      <c r="J3546" s="12">
        <v>-182.55</v>
      </c>
      <c r="K3546" s="12">
        <v>14.55</v>
      </c>
      <c r="L3546" s="12">
        <v>-2.6</v>
      </c>
      <c r="M3546" s="12">
        <v>14.62</v>
      </c>
      <c r="N3546" s="12">
        <v>-155.97999999999999</v>
      </c>
    </row>
    <row r="3547" spans="1:14" x14ac:dyDescent="0.3">
      <c r="A3547" s="12" t="s">
        <v>96</v>
      </c>
      <c r="B3547" s="12" t="s">
        <v>164</v>
      </c>
      <c r="C3547" s="12" t="s">
        <v>123</v>
      </c>
      <c r="D3547" s="12" t="s">
        <v>110</v>
      </c>
      <c r="E3547" s="12" t="s">
        <v>34</v>
      </c>
      <c r="F3547" s="12">
        <v>0</v>
      </c>
      <c r="G3547" s="12">
        <v>0</v>
      </c>
      <c r="H3547" s="12" t="s">
        <v>111</v>
      </c>
      <c r="I3547" s="12" t="s">
        <v>111</v>
      </c>
      <c r="J3547" s="12">
        <v>27.29</v>
      </c>
      <c r="K3547" s="12">
        <v>-16.14</v>
      </c>
      <c r="L3547" s="12">
        <v>-3.9</v>
      </c>
      <c r="M3547" s="12">
        <v>0</v>
      </c>
      <c r="N3547" s="12">
        <v>7.25</v>
      </c>
    </row>
    <row r="3548" spans="1:14" x14ac:dyDescent="0.3">
      <c r="A3548" s="12" t="s">
        <v>96</v>
      </c>
      <c r="B3548" s="12" t="s">
        <v>164</v>
      </c>
      <c r="C3548" s="12" t="s">
        <v>123</v>
      </c>
      <c r="D3548" s="12" t="s">
        <v>110</v>
      </c>
      <c r="E3548" s="12" t="s">
        <v>61</v>
      </c>
      <c r="F3548" s="12">
        <v>0</v>
      </c>
      <c r="G3548" s="12">
        <v>100</v>
      </c>
      <c r="H3548" s="12" t="s">
        <v>111</v>
      </c>
      <c r="I3548" s="12">
        <v>91.28</v>
      </c>
      <c r="J3548" s="12">
        <v>-255</v>
      </c>
      <c r="K3548" s="12">
        <v>-55</v>
      </c>
      <c r="L3548" s="12">
        <v>0</v>
      </c>
      <c r="M3548" s="12">
        <v>53.61</v>
      </c>
      <c r="N3548" s="12">
        <v>-256.39</v>
      </c>
    </row>
    <row r="3549" spans="1:14" x14ac:dyDescent="0.3">
      <c r="A3549" s="12" t="s">
        <v>96</v>
      </c>
      <c r="B3549" s="12" t="s">
        <v>164</v>
      </c>
      <c r="C3549" s="12" t="s">
        <v>123</v>
      </c>
      <c r="D3549" s="12" t="s">
        <v>110</v>
      </c>
      <c r="E3549" s="12" t="s">
        <v>62</v>
      </c>
      <c r="F3549" s="12">
        <v>0</v>
      </c>
      <c r="G3549" s="12">
        <v>200</v>
      </c>
      <c r="H3549" s="12" t="s">
        <v>111</v>
      </c>
      <c r="I3549" s="12">
        <v>45.74</v>
      </c>
      <c r="J3549" s="12">
        <v>829</v>
      </c>
      <c r="K3549" s="12">
        <v>24.13</v>
      </c>
      <c r="L3549" s="12">
        <v>0</v>
      </c>
      <c r="M3549" s="12">
        <v>24.42</v>
      </c>
      <c r="N3549" s="12">
        <v>877.55</v>
      </c>
    </row>
    <row r="3550" spans="1:14" x14ac:dyDescent="0.3">
      <c r="A3550" s="12" t="s">
        <v>96</v>
      </c>
      <c r="B3550" s="12" t="s">
        <v>164</v>
      </c>
      <c r="C3550" s="12" t="s">
        <v>123</v>
      </c>
      <c r="D3550" s="12" t="s">
        <v>110</v>
      </c>
      <c r="E3550" s="12" t="s">
        <v>41</v>
      </c>
      <c r="F3550" s="12">
        <v>0</v>
      </c>
      <c r="G3550" s="12">
        <v>1099</v>
      </c>
      <c r="H3550" s="12" t="s">
        <v>111</v>
      </c>
      <c r="I3550" s="12">
        <v>46.51</v>
      </c>
      <c r="J3550" s="12">
        <v>6502.03</v>
      </c>
      <c r="K3550" s="12">
        <v>-240.95</v>
      </c>
      <c r="L3550" s="12">
        <v>-11.2</v>
      </c>
      <c r="M3550" s="12">
        <v>158.69999999999999</v>
      </c>
      <c r="N3550" s="12">
        <v>6408.58</v>
      </c>
    </row>
    <row r="3551" spans="1:14" x14ac:dyDescent="0.3">
      <c r="A3551" s="12" t="s">
        <v>96</v>
      </c>
      <c r="B3551" s="12" t="s">
        <v>164</v>
      </c>
      <c r="C3551" s="12" t="s">
        <v>123</v>
      </c>
      <c r="D3551" s="12" t="s">
        <v>110</v>
      </c>
      <c r="E3551" s="12" t="s">
        <v>79</v>
      </c>
      <c r="F3551" s="12">
        <v>0</v>
      </c>
      <c r="G3551" s="12">
        <v>80</v>
      </c>
      <c r="H3551" s="12" t="s">
        <v>111</v>
      </c>
      <c r="I3551" s="12">
        <v>131.46</v>
      </c>
      <c r="J3551" s="12">
        <v>824.8</v>
      </c>
      <c r="K3551" s="12">
        <v>7.2</v>
      </c>
      <c r="L3551" s="12">
        <v>0</v>
      </c>
      <c r="M3551" s="12">
        <v>25.27</v>
      </c>
      <c r="N3551" s="12">
        <v>857.27</v>
      </c>
    </row>
    <row r="3552" spans="1:14" x14ac:dyDescent="0.3">
      <c r="A3552" s="12" t="s">
        <v>96</v>
      </c>
      <c r="B3552" s="12" t="s">
        <v>164</v>
      </c>
      <c r="C3552" s="12" t="s">
        <v>123</v>
      </c>
      <c r="D3552" s="12" t="s">
        <v>110</v>
      </c>
      <c r="E3552" s="12" t="s">
        <v>42</v>
      </c>
      <c r="F3552" s="12">
        <v>0</v>
      </c>
      <c r="G3552" s="12">
        <v>150</v>
      </c>
      <c r="H3552" s="12" t="s">
        <v>111</v>
      </c>
      <c r="I3552" s="12">
        <v>220.33</v>
      </c>
      <c r="J3552" s="12">
        <v>3353.75</v>
      </c>
      <c r="K3552" s="12">
        <v>-287.25</v>
      </c>
      <c r="L3552" s="12">
        <v>-3.9</v>
      </c>
      <c r="M3552" s="12">
        <v>57.72</v>
      </c>
      <c r="N3552" s="12">
        <v>3120.32</v>
      </c>
    </row>
    <row r="3553" spans="1:14" x14ac:dyDescent="0.3">
      <c r="A3553" s="12" t="s">
        <v>96</v>
      </c>
      <c r="B3553" s="12" t="s">
        <v>164</v>
      </c>
      <c r="C3553" s="12" t="s">
        <v>123</v>
      </c>
      <c r="D3553" s="12" t="s">
        <v>110</v>
      </c>
      <c r="E3553" s="12" t="s">
        <v>43</v>
      </c>
      <c r="F3553" s="12">
        <v>0</v>
      </c>
      <c r="G3553" s="12">
        <v>330</v>
      </c>
      <c r="H3553" s="12" t="s">
        <v>111</v>
      </c>
      <c r="I3553" s="12">
        <v>76.290000000000006</v>
      </c>
      <c r="J3553" s="12">
        <v>2558.4</v>
      </c>
      <c r="K3553" s="12">
        <v>-99.2</v>
      </c>
      <c r="L3553" s="12">
        <v>-1.3</v>
      </c>
      <c r="M3553" s="12">
        <v>126.92</v>
      </c>
      <c r="N3553" s="12">
        <v>2584.8200000000002</v>
      </c>
    </row>
    <row r="3554" spans="1:14" x14ac:dyDescent="0.3">
      <c r="A3554" s="12" t="s">
        <v>96</v>
      </c>
      <c r="B3554" s="12" t="s">
        <v>164</v>
      </c>
      <c r="C3554" s="12" t="s">
        <v>123</v>
      </c>
      <c r="D3554" s="12" t="s">
        <v>110</v>
      </c>
      <c r="E3554" s="12" t="s">
        <v>44</v>
      </c>
      <c r="F3554" s="12">
        <v>0</v>
      </c>
      <c r="G3554" s="12">
        <v>60</v>
      </c>
      <c r="H3554" s="12" t="s">
        <v>111</v>
      </c>
      <c r="I3554" s="12">
        <v>157.19999999999999</v>
      </c>
      <c r="J3554" s="12">
        <v>867.6</v>
      </c>
      <c r="K3554" s="12">
        <v>-22.65</v>
      </c>
      <c r="L3554" s="12">
        <v>-2.6</v>
      </c>
      <c r="M3554" s="12">
        <v>37.53</v>
      </c>
      <c r="N3554" s="12">
        <v>879.88</v>
      </c>
    </row>
    <row r="3555" spans="1:14" x14ac:dyDescent="0.3">
      <c r="A3555" s="12" t="s">
        <v>96</v>
      </c>
      <c r="B3555" s="12" t="s">
        <v>164</v>
      </c>
      <c r="C3555" s="12" t="s">
        <v>123</v>
      </c>
      <c r="D3555" s="12" t="s">
        <v>110</v>
      </c>
      <c r="E3555" s="12" t="s">
        <v>84</v>
      </c>
      <c r="F3555" s="12">
        <v>0</v>
      </c>
      <c r="G3555" s="12">
        <v>90</v>
      </c>
      <c r="H3555" s="12" t="s">
        <v>111</v>
      </c>
      <c r="I3555" s="12">
        <v>187.12</v>
      </c>
      <c r="J3555" s="12">
        <v>523.79999999999995</v>
      </c>
      <c r="K3555" s="12">
        <v>-378.9</v>
      </c>
      <c r="L3555" s="12">
        <v>0</v>
      </c>
      <c r="M3555" s="12">
        <v>0</v>
      </c>
      <c r="N3555" s="12">
        <v>144.9</v>
      </c>
    </row>
    <row r="3556" spans="1:14" x14ac:dyDescent="0.3">
      <c r="A3556" s="12" t="s">
        <v>96</v>
      </c>
      <c r="B3556" s="12" t="s">
        <v>164</v>
      </c>
      <c r="C3556" s="12" t="s">
        <v>123</v>
      </c>
      <c r="D3556" s="12" t="s">
        <v>110</v>
      </c>
      <c r="E3556" s="12" t="s">
        <v>35</v>
      </c>
      <c r="F3556" s="12">
        <v>0</v>
      </c>
      <c r="G3556" s="12">
        <v>0</v>
      </c>
      <c r="H3556" s="12" t="s">
        <v>111</v>
      </c>
      <c r="I3556" s="12" t="s">
        <v>111</v>
      </c>
      <c r="J3556" s="12">
        <v>1114.5999999999999</v>
      </c>
      <c r="K3556" s="12">
        <v>-189.56</v>
      </c>
      <c r="L3556" s="12">
        <v>-5.2</v>
      </c>
      <c r="M3556" s="12">
        <v>142.5</v>
      </c>
      <c r="N3556" s="12">
        <v>1062.3399999999999</v>
      </c>
    </row>
    <row r="3557" spans="1:14" x14ac:dyDescent="0.3">
      <c r="A3557" s="12" t="s">
        <v>96</v>
      </c>
      <c r="B3557" s="12" t="s">
        <v>164</v>
      </c>
      <c r="C3557" s="12" t="s">
        <v>123</v>
      </c>
      <c r="D3557" s="12" t="s">
        <v>97</v>
      </c>
      <c r="J3557" s="12">
        <v>52348.800000000003</v>
      </c>
      <c r="K3557" s="12">
        <v>-513.71187499999996</v>
      </c>
      <c r="L3557" s="12">
        <v>-194.81700000000001</v>
      </c>
      <c r="M3557" s="12">
        <v>1607.97</v>
      </c>
      <c r="N3557" s="12">
        <v>53248.241125</v>
      </c>
    </row>
    <row r="3558" spans="1:14" x14ac:dyDescent="0.3">
      <c r="A3558" s="12" t="s">
        <v>96</v>
      </c>
      <c r="B3558" s="12" t="s">
        <v>164</v>
      </c>
      <c r="C3558" s="12" t="s">
        <v>123</v>
      </c>
      <c r="D3558" s="12" t="s">
        <v>112</v>
      </c>
      <c r="E3558" s="12" t="s">
        <v>36</v>
      </c>
      <c r="F3558" s="12">
        <v>0</v>
      </c>
      <c r="G3558" s="12">
        <v>0</v>
      </c>
      <c r="H3558" s="12" t="s">
        <v>111</v>
      </c>
      <c r="I3558" s="12" t="s">
        <v>111</v>
      </c>
      <c r="J3558" s="12">
        <v>-13762.5</v>
      </c>
      <c r="K3558" s="12">
        <v>432.5</v>
      </c>
      <c r="L3558" s="12">
        <v>-54</v>
      </c>
      <c r="M3558" s="12">
        <v>0</v>
      </c>
      <c r="N3558" s="12">
        <v>-13384</v>
      </c>
    </row>
    <row r="3559" spans="1:14" x14ac:dyDescent="0.3">
      <c r="A3559" s="12" t="s">
        <v>96</v>
      </c>
      <c r="B3559" s="12" t="s">
        <v>164</v>
      </c>
      <c r="C3559" s="12" t="s">
        <v>123</v>
      </c>
      <c r="D3559" s="12" t="s">
        <v>112</v>
      </c>
      <c r="E3559" s="12" t="s">
        <v>52</v>
      </c>
      <c r="F3559" s="12">
        <v>0</v>
      </c>
      <c r="G3559" s="12">
        <v>0</v>
      </c>
      <c r="H3559" s="12" t="s">
        <v>111</v>
      </c>
      <c r="I3559" s="12" t="s">
        <v>111</v>
      </c>
      <c r="J3559" s="12">
        <v>-17352.5</v>
      </c>
      <c r="K3559" s="12">
        <v>-1473.75</v>
      </c>
      <c r="L3559" s="12">
        <v>-27</v>
      </c>
      <c r="M3559" s="12">
        <v>0</v>
      </c>
      <c r="N3559" s="12">
        <v>-18853.25</v>
      </c>
    </row>
    <row r="3560" spans="1:14" x14ac:dyDescent="0.3">
      <c r="A3560" s="12" t="s">
        <v>96</v>
      </c>
      <c r="B3560" s="12" t="s">
        <v>164</v>
      </c>
      <c r="C3560" s="12" t="s">
        <v>123</v>
      </c>
      <c r="D3560" s="12" t="s">
        <v>112</v>
      </c>
      <c r="E3560" s="12" t="s">
        <v>80</v>
      </c>
      <c r="F3560" s="12">
        <v>0</v>
      </c>
      <c r="G3560" s="12">
        <v>-6</v>
      </c>
      <c r="H3560" s="12" t="s">
        <v>111</v>
      </c>
      <c r="I3560" s="17">
        <v>5661</v>
      </c>
      <c r="J3560" s="12">
        <v>-1752.5</v>
      </c>
      <c r="K3560" s="12">
        <v>315</v>
      </c>
      <c r="L3560" s="12">
        <v>0</v>
      </c>
      <c r="M3560" s="12">
        <v>0</v>
      </c>
      <c r="N3560" s="12">
        <v>-1437.5</v>
      </c>
    </row>
    <row r="3561" spans="1:14" x14ac:dyDescent="0.3">
      <c r="A3561" s="12" t="s">
        <v>96</v>
      </c>
      <c r="B3561" s="12" t="s">
        <v>164</v>
      </c>
      <c r="C3561" s="12" t="s">
        <v>123</v>
      </c>
      <c r="D3561" s="12" t="s">
        <v>112</v>
      </c>
      <c r="E3561" s="12" t="s">
        <v>53</v>
      </c>
      <c r="F3561" s="12">
        <v>0</v>
      </c>
      <c r="G3561" s="12">
        <v>0</v>
      </c>
      <c r="H3561" s="12" t="s">
        <v>111</v>
      </c>
      <c r="I3561" s="12" t="s">
        <v>111</v>
      </c>
      <c r="J3561" s="12">
        <v>-8540</v>
      </c>
      <c r="K3561" s="12">
        <v>-951</v>
      </c>
      <c r="L3561" s="12">
        <v>-3</v>
      </c>
      <c r="M3561" s="12">
        <v>0</v>
      </c>
      <c r="N3561" s="12">
        <v>-9494</v>
      </c>
    </row>
    <row r="3562" spans="1:14" x14ac:dyDescent="0.3">
      <c r="A3562" s="12" t="s">
        <v>96</v>
      </c>
      <c r="B3562" s="12" t="s">
        <v>164</v>
      </c>
      <c r="C3562" s="12" t="s">
        <v>123</v>
      </c>
      <c r="D3562" s="12" t="s">
        <v>112</v>
      </c>
      <c r="E3562" s="12" t="s">
        <v>81</v>
      </c>
      <c r="F3562" s="12">
        <v>0</v>
      </c>
      <c r="G3562" s="12">
        <v>-5</v>
      </c>
      <c r="H3562" s="12" t="s">
        <v>111</v>
      </c>
      <c r="I3562" s="17">
        <v>19623</v>
      </c>
      <c r="J3562" s="12">
        <v>-4179.5</v>
      </c>
      <c r="K3562" s="12">
        <v>2145.5</v>
      </c>
      <c r="L3562" s="12">
        <v>0</v>
      </c>
      <c r="M3562" s="12">
        <v>0</v>
      </c>
      <c r="N3562" s="12">
        <v>-2034</v>
      </c>
    </row>
    <row r="3563" spans="1:14" x14ac:dyDescent="0.3">
      <c r="A3563" s="12" t="s">
        <v>96</v>
      </c>
      <c r="B3563" s="12" t="s">
        <v>164</v>
      </c>
      <c r="C3563" s="12" t="s">
        <v>123</v>
      </c>
      <c r="D3563" s="12" t="s">
        <v>97</v>
      </c>
      <c r="J3563" s="12">
        <v>-45587</v>
      </c>
      <c r="K3563" s="12">
        <v>468.25</v>
      </c>
      <c r="L3563" s="12">
        <v>-84</v>
      </c>
      <c r="M3563" s="12">
        <v>0</v>
      </c>
      <c r="N3563" s="12">
        <v>-45202.75</v>
      </c>
    </row>
    <row r="3564" spans="1:14" x14ac:dyDescent="0.3">
      <c r="A3564" s="12" t="s">
        <v>96</v>
      </c>
      <c r="B3564" s="12" t="s">
        <v>164</v>
      </c>
      <c r="C3564" s="12" t="s">
        <v>123</v>
      </c>
      <c r="D3564" s="12" t="s">
        <v>113</v>
      </c>
      <c r="E3564" s="12" t="s">
        <v>114</v>
      </c>
      <c r="F3564" s="12">
        <v>250000</v>
      </c>
      <c r="G3564" s="12">
        <v>-30466.238874999999</v>
      </c>
      <c r="H3564" s="12">
        <v>1</v>
      </c>
      <c r="I3564" s="12">
        <v>1</v>
      </c>
      <c r="J3564" s="12">
        <v>0</v>
      </c>
      <c r="K3564" s="12">
        <v>0</v>
      </c>
      <c r="L3564" s="12">
        <v>0</v>
      </c>
      <c r="M3564" s="12">
        <v>0</v>
      </c>
      <c r="N3564" s="12">
        <v>0</v>
      </c>
    </row>
    <row r="3565" spans="1:14" x14ac:dyDescent="0.3">
      <c r="A3565" s="12" t="s">
        <v>96</v>
      </c>
      <c r="B3565" s="12" t="s">
        <v>164</v>
      </c>
      <c r="C3565" s="12" t="s">
        <v>123</v>
      </c>
      <c r="D3565" s="12" t="s">
        <v>97</v>
      </c>
      <c r="J3565" s="12">
        <v>0</v>
      </c>
      <c r="K3565" s="12">
        <v>0</v>
      </c>
      <c r="L3565" s="12">
        <v>0</v>
      </c>
      <c r="M3565" s="12">
        <v>0</v>
      </c>
      <c r="N3565" s="12">
        <v>0</v>
      </c>
    </row>
    <row r="3566" spans="1:14" x14ac:dyDescent="0.3">
      <c r="A3566" s="12" t="s">
        <v>96</v>
      </c>
      <c r="B3566" s="12" t="s">
        <v>164</v>
      </c>
      <c r="C3566" s="12" t="s">
        <v>123</v>
      </c>
      <c r="D3566" s="12" t="s">
        <v>115</v>
      </c>
      <c r="J3566" s="12">
        <v>6761.8</v>
      </c>
      <c r="K3566" s="12">
        <v>-45.461874999999999</v>
      </c>
      <c r="L3566" s="12">
        <v>-278.81700000000001</v>
      </c>
      <c r="M3566" s="12">
        <v>1607.97</v>
      </c>
      <c r="N3566" s="12">
        <v>8045.4911249999996</v>
      </c>
    </row>
    <row r="3567" spans="1:14" x14ac:dyDescent="0.3">
      <c r="A3567" s="12" t="s">
        <v>96</v>
      </c>
      <c r="B3567" s="12" t="s">
        <v>164</v>
      </c>
      <c r="C3567" s="12" t="s">
        <v>123</v>
      </c>
      <c r="D3567" s="12" t="s">
        <v>116</v>
      </c>
      <c r="N3567" s="12">
        <v>1054.8499999999999</v>
      </c>
    </row>
    <row r="3568" spans="1:14" x14ac:dyDescent="0.3">
      <c r="A3568" s="12" t="s">
        <v>96</v>
      </c>
      <c r="B3568" s="12" t="s">
        <v>164</v>
      </c>
      <c r="C3568" s="12" t="s">
        <v>123</v>
      </c>
      <c r="D3568" s="12" t="s">
        <v>118</v>
      </c>
      <c r="N3568" s="12">
        <v>-9.66</v>
      </c>
    </row>
    <row r="3569" spans="1:18" x14ac:dyDescent="0.3">
      <c r="A3569" s="12" t="s">
        <v>96</v>
      </c>
      <c r="B3569" s="12" t="s">
        <v>166</v>
      </c>
      <c r="N3569" s="12">
        <v>9090.6811249999992</v>
      </c>
    </row>
    <row r="3570" spans="1:18" x14ac:dyDescent="0.3">
      <c r="A3570" s="12" t="s">
        <v>96</v>
      </c>
      <c r="B3570" s="12" t="s">
        <v>167</v>
      </c>
      <c r="C3570" s="12" t="s">
        <v>120</v>
      </c>
      <c r="D3570" s="12" t="s">
        <v>100</v>
      </c>
      <c r="E3570" s="12" t="s">
        <v>0</v>
      </c>
      <c r="F3570" s="12" t="s">
        <v>168</v>
      </c>
      <c r="G3570" s="12" t="s">
        <v>169</v>
      </c>
      <c r="H3570" s="12" t="s">
        <v>170</v>
      </c>
      <c r="I3570" s="12" t="s">
        <v>171</v>
      </c>
      <c r="J3570" s="12" t="s">
        <v>172</v>
      </c>
      <c r="K3570" s="12" t="s">
        <v>173</v>
      </c>
      <c r="L3570" s="12" t="s">
        <v>174</v>
      </c>
      <c r="M3570" s="12" t="s">
        <v>175</v>
      </c>
      <c r="N3570" s="12" t="s">
        <v>176</v>
      </c>
      <c r="O3570" s="12" t="s">
        <v>177</v>
      </c>
      <c r="P3570" s="12" t="s">
        <v>178</v>
      </c>
      <c r="Q3570" s="12" t="s">
        <v>97</v>
      </c>
      <c r="R3570" s="12" t="s">
        <v>165</v>
      </c>
    </row>
    <row r="3571" spans="1:18" x14ac:dyDescent="0.3">
      <c r="A3571" s="12" t="s">
        <v>96</v>
      </c>
      <c r="B3571" s="12" t="s">
        <v>167</v>
      </c>
      <c r="C3571" s="12" t="s">
        <v>123</v>
      </c>
      <c r="D3571" s="12" t="s">
        <v>110</v>
      </c>
      <c r="E3571" s="12" t="s">
        <v>2</v>
      </c>
      <c r="F3571" s="12">
        <v>0</v>
      </c>
      <c r="G3571" s="12">
        <v>346.24</v>
      </c>
      <c r="H3571" s="12">
        <v>0</v>
      </c>
      <c r="I3571" s="12">
        <v>0</v>
      </c>
      <c r="J3571" s="12">
        <v>0</v>
      </c>
      <c r="K3571" s="12">
        <v>346.24</v>
      </c>
      <c r="L3571" s="12">
        <v>3277.8</v>
      </c>
      <c r="M3571" s="12">
        <v>0</v>
      </c>
      <c r="N3571" s="12">
        <v>0</v>
      </c>
      <c r="O3571" s="12">
        <v>0</v>
      </c>
      <c r="P3571" s="12">
        <v>3277.8</v>
      </c>
      <c r="Q3571" s="12">
        <v>3624.04</v>
      </c>
    </row>
    <row r="3572" spans="1:18" x14ac:dyDescent="0.3">
      <c r="A3572" s="12" t="s">
        <v>96</v>
      </c>
      <c r="B3572" s="12" t="s">
        <v>167</v>
      </c>
      <c r="C3572" s="12" t="s">
        <v>123</v>
      </c>
      <c r="D3572" s="12" t="s">
        <v>110</v>
      </c>
      <c r="E3572" s="12" t="s">
        <v>63</v>
      </c>
      <c r="F3572" s="12">
        <v>0</v>
      </c>
      <c r="G3572" s="12">
        <v>0</v>
      </c>
      <c r="H3572" s="12">
        <v>-37.950000000000003</v>
      </c>
      <c r="I3572" s="12">
        <v>0</v>
      </c>
      <c r="J3572" s="12">
        <v>0</v>
      </c>
      <c r="K3572" s="12">
        <v>-37.950000000000003</v>
      </c>
      <c r="L3572" s="12">
        <v>0</v>
      </c>
      <c r="M3572" s="12">
        <v>0</v>
      </c>
      <c r="N3572" s="12">
        <v>0</v>
      </c>
      <c r="O3572" s="12">
        <v>0</v>
      </c>
      <c r="P3572" s="12">
        <v>0</v>
      </c>
      <c r="Q3572" s="12">
        <v>-37.950000000000003</v>
      </c>
    </row>
    <row r="3573" spans="1:18" x14ac:dyDescent="0.3">
      <c r="A3573" s="12" t="s">
        <v>96</v>
      </c>
      <c r="B3573" s="12" t="s">
        <v>167</v>
      </c>
      <c r="C3573" s="12" t="s">
        <v>123</v>
      </c>
      <c r="D3573" s="12" t="s">
        <v>110</v>
      </c>
      <c r="E3573" s="12" t="s">
        <v>64</v>
      </c>
      <c r="F3573" s="12">
        <v>0</v>
      </c>
      <c r="G3573" s="12">
        <v>102.81</v>
      </c>
      <c r="H3573" s="12">
        <v>0</v>
      </c>
      <c r="I3573" s="12">
        <v>0</v>
      </c>
      <c r="J3573" s="12">
        <v>0</v>
      </c>
      <c r="K3573" s="12">
        <v>102.81</v>
      </c>
      <c r="L3573" s="12">
        <v>0</v>
      </c>
      <c r="M3573" s="12">
        <v>0</v>
      </c>
      <c r="N3573" s="12">
        <v>0</v>
      </c>
      <c r="O3573" s="12">
        <v>0</v>
      </c>
      <c r="P3573" s="12">
        <v>0</v>
      </c>
      <c r="Q3573" s="12">
        <v>102.81</v>
      </c>
    </row>
    <row r="3574" spans="1:18" x14ac:dyDescent="0.3">
      <c r="A3574" s="12" t="s">
        <v>96</v>
      </c>
      <c r="B3574" s="12" t="s">
        <v>167</v>
      </c>
      <c r="C3574" s="12" t="s">
        <v>123</v>
      </c>
      <c r="D3574" s="12" t="s">
        <v>110</v>
      </c>
      <c r="E3574" s="12" t="s">
        <v>45</v>
      </c>
      <c r="F3574" s="12">
        <v>0</v>
      </c>
      <c r="G3574" s="12">
        <v>129.25</v>
      </c>
      <c r="H3574" s="12">
        <v>-508.65</v>
      </c>
      <c r="I3574" s="12">
        <v>0</v>
      </c>
      <c r="J3574" s="12">
        <v>0</v>
      </c>
      <c r="K3574" s="12">
        <v>-379.4</v>
      </c>
      <c r="L3574" s="12">
        <v>496.5</v>
      </c>
      <c r="M3574" s="12">
        <v>0</v>
      </c>
      <c r="N3574" s="12">
        <v>0</v>
      </c>
      <c r="O3574" s="12">
        <v>0</v>
      </c>
      <c r="P3574" s="12">
        <v>496.5</v>
      </c>
      <c r="Q3574" s="12">
        <v>117.1</v>
      </c>
    </row>
    <row r="3575" spans="1:18" x14ac:dyDescent="0.3">
      <c r="A3575" s="12" t="s">
        <v>96</v>
      </c>
      <c r="B3575" s="12" t="s">
        <v>167</v>
      </c>
      <c r="C3575" s="12" t="s">
        <v>123</v>
      </c>
      <c r="D3575" s="12" t="s">
        <v>110</v>
      </c>
      <c r="E3575" s="12" t="s">
        <v>4</v>
      </c>
      <c r="F3575" s="12">
        <v>0</v>
      </c>
      <c r="G3575" s="12">
        <v>0</v>
      </c>
      <c r="H3575" s="12">
        <v>-354.84</v>
      </c>
      <c r="I3575" s="12">
        <v>0</v>
      </c>
      <c r="J3575" s="12">
        <v>0</v>
      </c>
      <c r="K3575" s="12">
        <v>-354.84</v>
      </c>
      <c r="L3575" s="12">
        <v>0</v>
      </c>
      <c r="M3575" s="12">
        <v>0</v>
      </c>
      <c r="N3575" s="12">
        <v>0</v>
      </c>
      <c r="O3575" s="12">
        <v>0</v>
      </c>
      <c r="P3575" s="12">
        <v>0</v>
      </c>
      <c r="Q3575" s="12">
        <v>-354.84</v>
      </c>
    </row>
    <row r="3576" spans="1:18" x14ac:dyDescent="0.3">
      <c r="A3576" s="12" t="s">
        <v>96</v>
      </c>
      <c r="B3576" s="12" t="s">
        <v>167</v>
      </c>
      <c r="C3576" s="12" t="s">
        <v>123</v>
      </c>
      <c r="D3576" s="12" t="s">
        <v>110</v>
      </c>
      <c r="E3576" s="12" t="s">
        <v>5</v>
      </c>
      <c r="F3576" s="12">
        <v>0</v>
      </c>
      <c r="G3576" s="12">
        <v>3221.48</v>
      </c>
      <c r="H3576" s="12">
        <v>-40.04</v>
      </c>
      <c r="I3576" s="12">
        <v>0</v>
      </c>
      <c r="J3576" s="12">
        <v>0</v>
      </c>
      <c r="K3576" s="12">
        <v>3181.44</v>
      </c>
      <c r="L3576" s="12">
        <v>0</v>
      </c>
      <c r="M3576" s="12">
        <v>-539.76</v>
      </c>
      <c r="N3576" s="12">
        <v>0</v>
      </c>
      <c r="O3576" s="12">
        <v>0</v>
      </c>
      <c r="P3576" s="12">
        <v>-539.76</v>
      </c>
      <c r="Q3576" s="12">
        <v>2641.68</v>
      </c>
    </row>
    <row r="3577" spans="1:18" x14ac:dyDescent="0.3">
      <c r="A3577" s="12" t="s">
        <v>96</v>
      </c>
      <c r="B3577" s="12" t="s">
        <v>167</v>
      </c>
      <c r="C3577" s="12" t="s">
        <v>123</v>
      </c>
      <c r="D3577" s="12" t="s">
        <v>110</v>
      </c>
      <c r="E3577" s="12" t="s">
        <v>6</v>
      </c>
      <c r="F3577" s="12">
        <v>0</v>
      </c>
      <c r="G3577" s="12">
        <v>1602.4499997400001</v>
      </c>
      <c r="H3577" s="12">
        <v>0</v>
      </c>
      <c r="I3577" s="12">
        <v>0</v>
      </c>
      <c r="J3577" s="12">
        <v>0</v>
      </c>
      <c r="K3577" s="12">
        <v>1602.4499997400001</v>
      </c>
      <c r="L3577" s="12">
        <v>0</v>
      </c>
      <c r="M3577" s="12">
        <v>0</v>
      </c>
      <c r="N3577" s="12">
        <v>0</v>
      </c>
      <c r="O3577" s="12">
        <v>0</v>
      </c>
      <c r="P3577" s="12">
        <v>0</v>
      </c>
      <c r="Q3577" s="12">
        <v>1602.4499997400001</v>
      </c>
    </row>
    <row r="3578" spans="1:18" x14ac:dyDescent="0.3">
      <c r="A3578" s="12" t="s">
        <v>96</v>
      </c>
      <c r="B3578" s="12" t="s">
        <v>167</v>
      </c>
      <c r="C3578" s="12" t="s">
        <v>123</v>
      </c>
      <c r="D3578" s="12" t="s">
        <v>110</v>
      </c>
      <c r="E3578" s="12" t="s">
        <v>65</v>
      </c>
      <c r="F3578" s="12">
        <v>0</v>
      </c>
      <c r="G3578" s="12">
        <v>0</v>
      </c>
      <c r="H3578" s="12">
        <v>0</v>
      </c>
      <c r="I3578" s="12">
        <v>0</v>
      </c>
      <c r="J3578" s="12">
        <v>0</v>
      </c>
      <c r="K3578" s="12">
        <v>0</v>
      </c>
      <c r="L3578" s="12">
        <v>159.94999999999999</v>
      </c>
      <c r="M3578" s="12">
        <v>0</v>
      </c>
      <c r="N3578" s="12">
        <v>0</v>
      </c>
      <c r="O3578" s="12">
        <v>0</v>
      </c>
      <c r="P3578" s="12">
        <v>159.94999999999999</v>
      </c>
      <c r="Q3578" s="12">
        <v>159.94999999999999</v>
      </c>
    </row>
    <row r="3579" spans="1:18" x14ac:dyDescent="0.3">
      <c r="A3579" s="12" t="s">
        <v>96</v>
      </c>
      <c r="B3579" s="12" t="s">
        <v>167</v>
      </c>
      <c r="C3579" s="12" t="s">
        <v>123</v>
      </c>
      <c r="D3579" s="12" t="s">
        <v>110</v>
      </c>
      <c r="E3579" s="12" t="s">
        <v>58</v>
      </c>
      <c r="F3579" s="12">
        <v>0</v>
      </c>
      <c r="G3579" s="12">
        <v>1521.7</v>
      </c>
      <c r="H3579" s="12">
        <v>0</v>
      </c>
      <c r="I3579" s="12">
        <v>0</v>
      </c>
      <c r="J3579" s="12">
        <v>0</v>
      </c>
      <c r="K3579" s="12">
        <v>1521.7</v>
      </c>
      <c r="L3579" s="12">
        <v>975.65</v>
      </c>
      <c r="M3579" s="12">
        <v>0</v>
      </c>
      <c r="N3579" s="12">
        <v>0</v>
      </c>
      <c r="O3579" s="12">
        <v>0</v>
      </c>
      <c r="P3579" s="12">
        <v>975.65</v>
      </c>
      <c r="Q3579" s="12">
        <v>2497.35</v>
      </c>
    </row>
    <row r="3580" spans="1:18" x14ac:dyDescent="0.3">
      <c r="A3580" s="12" t="s">
        <v>96</v>
      </c>
      <c r="B3580" s="12" t="s">
        <v>167</v>
      </c>
      <c r="C3580" s="12" t="s">
        <v>123</v>
      </c>
      <c r="D3580" s="12" t="s">
        <v>110</v>
      </c>
      <c r="E3580" s="12" t="s">
        <v>7</v>
      </c>
      <c r="F3580" s="12">
        <v>0</v>
      </c>
      <c r="G3580" s="12">
        <v>2132.2950000000001</v>
      </c>
      <c r="H3580" s="12">
        <v>0</v>
      </c>
      <c r="I3580" s="12">
        <v>0</v>
      </c>
      <c r="J3580" s="12">
        <v>0</v>
      </c>
      <c r="K3580" s="12">
        <v>2132.2950000000001</v>
      </c>
      <c r="L3580" s="12">
        <v>933.04499999999996</v>
      </c>
      <c r="M3580" s="12">
        <v>-426.98</v>
      </c>
      <c r="N3580" s="12">
        <v>0</v>
      </c>
      <c r="O3580" s="12">
        <v>0</v>
      </c>
      <c r="P3580" s="12">
        <v>506.065</v>
      </c>
      <c r="Q3580" s="12">
        <v>2638.36</v>
      </c>
    </row>
    <row r="3581" spans="1:18" x14ac:dyDescent="0.3">
      <c r="A3581" s="12" t="s">
        <v>96</v>
      </c>
      <c r="B3581" s="12" t="s">
        <v>167</v>
      </c>
      <c r="C3581" s="12" t="s">
        <v>123</v>
      </c>
      <c r="D3581" s="12" t="s">
        <v>110</v>
      </c>
      <c r="E3581" s="12" t="s">
        <v>8</v>
      </c>
      <c r="F3581" s="12">
        <v>0</v>
      </c>
      <c r="G3581" s="12">
        <v>2278.8129997299998</v>
      </c>
      <c r="H3581" s="12">
        <v>0</v>
      </c>
      <c r="I3581" s="12">
        <v>0</v>
      </c>
      <c r="J3581" s="12">
        <v>0</v>
      </c>
      <c r="K3581" s="12">
        <v>2278.8129997299998</v>
      </c>
      <c r="L3581" s="12">
        <v>204.5</v>
      </c>
      <c r="M3581" s="12">
        <v>0</v>
      </c>
      <c r="N3581" s="12">
        <v>0</v>
      </c>
      <c r="O3581" s="12">
        <v>0</v>
      </c>
      <c r="P3581" s="12">
        <v>204.5</v>
      </c>
      <c r="Q3581" s="12">
        <v>2483.3129997299998</v>
      </c>
    </row>
    <row r="3582" spans="1:18" x14ac:dyDescent="0.3">
      <c r="A3582" s="12" t="s">
        <v>96</v>
      </c>
      <c r="B3582" s="12" t="s">
        <v>167</v>
      </c>
      <c r="C3582" s="12" t="s">
        <v>123</v>
      </c>
      <c r="D3582" s="12" t="s">
        <v>110</v>
      </c>
      <c r="E3582" s="12" t="s">
        <v>9</v>
      </c>
      <c r="F3582" s="12">
        <v>0</v>
      </c>
      <c r="G3582" s="12">
        <v>338.37</v>
      </c>
      <c r="H3582" s="12">
        <v>0</v>
      </c>
      <c r="I3582" s="12">
        <v>0</v>
      </c>
      <c r="J3582" s="12">
        <v>0</v>
      </c>
      <c r="K3582" s="12">
        <v>338.37</v>
      </c>
      <c r="L3582" s="12">
        <v>254.78</v>
      </c>
      <c r="M3582" s="12">
        <v>0</v>
      </c>
      <c r="N3582" s="12">
        <v>0</v>
      </c>
      <c r="O3582" s="12">
        <v>0</v>
      </c>
      <c r="P3582" s="12">
        <v>254.78</v>
      </c>
      <c r="Q3582" s="12">
        <v>593.15</v>
      </c>
    </row>
    <row r="3583" spans="1:18" x14ac:dyDescent="0.3">
      <c r="A3583" s="12" t="s">
        <v>96</v>
      </c>
      <c r="B3583" s="12" t="s">
        <v>167</v>
      </c>
      <c r="C3583" s="12" t="s">
        <v>123</v>
      </c>
      <c r="D3583" s="12" t="s">
        <v>110</v>
      </c>
      <c r="E3583" s="12" t="s">
        <v>3</v>
      </c>
      <c r="F3583" s="12">
        <v>0</v>
      </c>
      <c r="G3583" s="12">
        <v>1852.0963859999999</v>
      </c>
      <c r="H3583" s="12">
        <v>0</v>
      </c>
      <c r="I3583" s="12">
        <v>0</v>
      </c>
      <c r="J3583" s="12">
        <v>0</v>
      </c>
      <c r="K3583" s="12">
        <v>1852.0963859999999</v>
      </c>
      <c r="L3583" s="12">
        <v>120.003614</v>
      </c>
      <c r="M3583" s="12">
        <v>-121.1</v>
      </c>
      <c r="N3583" s="12">
        <v>0</v>
      </c>
      <c r="O3583" s="12">
        <v>0</v>
      </c>
      <c r="P3583" s="12">
        <v>-1.0963860000000001</v>
      </c>
      <c r="Q3583" s="12">
        <v>1851</v>
      </c>
    </row>
    <row r="3584" spans="1:18" x14ac:dyDescent="0.3">
      <c r="A3584" s="12" t="s">
        <v>96</v>
      </c>
      <c r="B3584" s="12" t="s">
        <v>167</v>
      </c>
      <c r="C3584" s="12" t="s">
        <v>123</v>
      </c>
      <c r="D3584" s="12" t="s">
        <v>110</v>
      </c>
      <c r="E3584" s="12" t="s">
        <v>46</v>
      </c>
      <c r="F3584" s="12">
        <v>0</v>
      </c>
      <c r="G3584" s="12">
        <v>3.8</v>
      </c>
      <c r="H3584" s="12">
        <v>-510.62</v>
      </c>
      <c r="I3584" s="12">
        <v>0</v>
      </c>
      <c r="J3584" s="12">
        <v>0</v>
      </c>
      <c r="K3584" s="12">
        <v>-506.82</v>
      </c>
      <c r="L3584" s="12">
        <v>0</v>
      </c>
      <c r="M3584" s="12">
        <v>0</v>
      </c>
      <c r="N3584" s="12">
        <v>0</v>
      </c>
      <c r="O3584" s="12">
        <v>0</v>
      </c>
      <c r="P3584" s="12">
        <v>0</v>
      </c>
      <c r="Q3584" s="12">
        <v>-506.82</v>
      </c>
    </row>
    <row r="3585" spans="1:17" x14ac:dyDescent="0.3">
      <c r="A3585" s="12" t="s">
        <v>96</v>
      </c>
      <c r="B3585" s="12" t="s">
        <v>167</v>
      </c>
      <c r="C3585" s="12" t="s">
        <v>123</v>
      </c>
      <c r="D3585" s="12" t="s">
        <v>110</v>
      </c>
      <c r="E3585" s="12" t="s">
        <v>10</v>
      </c>
      <c r="F3585" s="12">
        <v>0</v>
      </c>
      <c r="G3585" s="12">
        <v>0</v>
      </c>
      <c r="H3585" s="12">
        <v>-484.6</v>
      </c>
      <c r="I3585" s="12">
        <v>0</v>
      </c>
      <c r="J3585" s="12">
        <v>0</v>
      </c>
      <c r="K3585" s="12">
        <v>-484.6</v>
      </c>
      <c r="L3585" s="12">
        <v>0</v>
      </c>
      <c r="M3585" s="12">
        <v>0</v>
      </c>
      <c r="N3585" s="12">
        <v>0</v>
      </c>
      <c r="O3585" s="12">
        <v>0</v>
      </c>
      <c r="P3585" s="12">
        <v>0</v>
      </c>
      <c r="Q3585" s="12">
        <v>-484.6</v>
      </c>
    </row>
    <row r="3586" spans="1:17" x14ac:dyDescent="0.3">
      <c r="A3586" s="12" t="s">
        <v>96</v>
      </c>
      <c r="B3586" s="12" t="s">
        <v>167</v>
      </c>
      <c r="C3586" s="12" t="s">
        <v>123</v>
      </c>
      <c r="D3586" s="12" t="s">
        <v>110</v>
      </c>
      <c r="E3586" s="12" t="s">
        <v>11</v>
      </c>
      <c r="F3586" s="12">
        <v>0</v>
      </c>
      <c r="G3586" s="12">
        <v>1893.49250009</v>
      </c>
      <c r="H3586" s="12">
        <v>0</v>
      </c>
      <c r="I3586" s="12">
        <v>0</v>
      </c>
      <c r="J3586" s="12">
        <v>0</v>
      </c>
      <c r="K3586" s="12">
        <v>1893.49250009</v>
      </c>
      <c r="L3586" s="12">
        <v>798.5</v>
      </c>
      <c r="M3586" s="12">
        <v>0</v>
      </c>
      <c r="N3586" s="12">
        <v>0</v>
      </c>
      <c r="O3586" s="12">
        <v>0</v>
      </c>
      <c r="P3586" s="12">
        <v>798.5</v>
      </c>
      <c r="Q3586" s="12">
        <v>2691.9925000899998</v>
      </c>
    </row>
    <row r="3587" spans="1:17" x14ac:dyDescent="0.3">
      <c r="A3587" s="12" t="s">
        <v>96</v>
      </c>
      <c r="B3587" s="12" t="s">
        <v>167</v>
      </c>
      <c r="C3587" s="12" t="s">
        <v>123</v>
      </c>
      <c r="D3587" s="12" t="s">
        <v>110</v>
      </c>
      <c r="E3587" s="12" t="s">
        <v>47</v>
      </c>
      <c r="F3587" s="12">
        <v>0</v>
      </c>
      <c r="G3587" s="12">
        <v>0</v>
      </c>
      <c r="H3587" s="12">
        <v>-535.05999999999995</v>
      </c>
      <c r="I3587" s="12">
        <v>0</v>
      </c>
      <c r="J3587" s="12">
        <v>0</v>
      </c>
      <c r="K3587" s="12">
        <v>-535.05999999999995</v>
      </c>
      <c r="L3587" s="12">
        <v>0</v>
      </c>
      <c r="M3587" s="12">
        <v>0</v>
      </c>
      <c r="N3587" s="12">
        <v>0</v>
      </c>
      <c r="O3587" s="12">
        <v>0</v>
      </c>
      <c r="P3587" s="12">
        <v>0</v>
      </c>
      <c r="Q3587" s="12">
        <v>-535.05999999999995</v>
      </c>
    </row>
    <row r="3588" spans="1:17" x14ac:dyDescent="0.3">
      <c r="A3588" s="12" t="s">
        <v>96</v>
      </c>
      <c r="B3588" s="12" t="s">
        <v>167</v>
      </c>
      <c r="C3588" s="12" t="s">
        <v>123</v>
      </c>
      <c r="D3588" s="12" t="s">
        <v>110</v>
      </c>
      <c r="E3588" s="12" t="s">
        <v>85</v>
      </c>
      <c r="F3588" s="12">
        <v>0</v>
      </c>
      <c r="G3588" s="12">
        <v>0</v>
      </c>
      <c r="H3588" s="12">
        <v>0</v>
      </c>
      <c r="I3588" s="12">
        <v>0</v>
      </c>
      <c r="J3588" s="12">
        <v>0</v>
      </c>
      <c r="K3588" s="12">
        <v>0</v>
      </c>
      <c r="L3588" s="12">
        <v>0</v>
      </c>
      <c r="M3588" s="12">
        <v>-120</v>
      </c>
      <c r="N3588" s="12">
        <v>0</v>
      </c>
      <c r="O3588" s="12">
        <v>0</v>
      </c>
      <c r="P3588" s="12">
        <v>-120</v>
      </c>
      <c r="Q3588" s="12">
        <v>-120</v>
      </c>
    </row>
    <row r="3589" spans="1:17" x14ac:dyDescent="0.3">
      <c r="A3589" s="12" t="s">
        <v>96</v>
      </c>
      <c r="B3589" s="12" t="s">
        <v>167</v>
      </c>
      <c r="C3589" s="12" t="s">
        <v>123</v>
      </c>
      <c r="D3589" s="12" t="s">
        <v>110</v>
      </c>
      <c r="E3589" s="12" t="s">
        <v>12</v>
      </c>
      <c r="F3589" s="12">
        <v>0</v>
      </c>
      <c r="G3589" s="12">
        <v>0</v>
      </c>
      <c r="H3589" s="12">
        <v>-880.4</v>
      </c>
      <c r="I3589" s="12">
        <v>0</v>
      </c>
      <c r="J3589" s="12">
        <v>0</v>
      </c>
      <c r="K3589" s="12">
        <v>-880.4</v>
      </c>
      <c r="L3589" s="12">
        <v>0</v>
      </c>
      <c r="M3589" s="12">
        <v>0</v>
      </c>
      <c r="N3589" s="12">
        <v>0</v>
      </c>
      <c r="O3589" s="12">
        <v>0</v>
      </c>
      <c r="P3589" s="12">
        <v>0</v>
      </c>
      <c r="Q3589" s="12">
        <v>-880.4</v>
      </c>
    </row>
    <row r="3590" spans="1:17" x14ac:dyDescent="0.3">
      <c r="A3590" s="12" t="s">
        <v>96</v>
      </c>
      <c r="B3590" s="12" t="s">
        <v>167</v>
      </c>
      <c r="C3590" s="12" t="s">
        <v>123</v>
      </c>
      <c r="D3590" s="12" t="s">
        <v>110</v>
      </c>
      <c r="E3590" s="12" t="s">
        <v>66</v>
      </c>
      <c r="F3590" s="12">
        <v>0</v>
      </c>
      <c r="G3590" s="12">
        <v>0</v>
      </c>
      <c r="H3590" s="12">
        <v>-38.35</v>
      </c>
      <c r="I3590" s="12">
        <v>0</v>
      </c>
      <c r="J3590" s="12">
        <v>0</v>
      </c>
      <c r="K3590" s="12">
        <v>-38.35</v>
      </c>
      <c r="L3590" s="12">
        <v>0</v>
      </c>
      <c r="M3590" s="12">
        <v>0</v>
      </c>
      <c r="N3590" s="12">
        <v>0</v>
      </c>
      <c r="O3590" s="12">
        <v>0</v>
      </c>
      <c r="P3590" s="12">
        <v>0</v>
      </c>
      <c r="Q3590" s="12">
        <v>-38.35</v>
      </c>
    </row>
    <row r="3591" spans="1:17" x14ac:dyDescent="0.3">
      <c r="A3591" s="12" t="s">
        <v>96</v>
      </c>
      <c r="B3591" s="12" t="s">
        <v>167</v>
      </c>
      <c r="C3591" s="12" t="s">
        <v>123</v>
      </c>
      <c r="D3591" s="12" t="s">
        <v>110</v>
      </c>
      <c r="E3591" s="12" t="s">
        <v>13</v>
      </c>
      <c r="F3591" s="12">
        <v>0</v>
      </c>
      <c r="G3591" s="12">
        <v>0.75</v>
      </c>
      <c r="H3591" s="12">
        <v>-219.33</v>
      </c>
      <c r="I3591" s="12">
        <v>0</v>
      </c>
      <c r="J3591" s="12">
        <v>0</v>
      </c>
      <c r="K3591" s="12">
        <v>-218.58</v>
      </c>
      <c r="L3591" s="12">
        <v>0</v>
      </c>
      <c r="M3591" s="12">
        <v>0</v>
      </c>
      <c r="N3591" s="12">
        <v>0</v>
      </c>
      <c r="O3591" s="12">
        <v>0</v>
      </c>
      <c r="P3591" s="12">
        <v>0</v>
      </c>
      <c r="Q3591" s="12">
        <v>-218.58</v>
      </c>
    </row>
    <row r="3592" spans="1:17" x14ac:dyDescent="0.3">
      <c r="A3592" s="12" t="s">
        <v>96</v>
      </c>
      <c r="B3592" s="12" t="s">
        <v>167</v>
      </c>
      <c r="C3592" s="12" t="s">
        <v>123</v>
      </c>
      <c r="D3592" s="12" t="s">
        <v>110</v>
      </c>
      <c r="E3592" s="12" t="s">
        <v>14</v>
      </c>
      <c r="F3592" s="12">
        <v>0</v>
      </c>
      <c r="G3592" s="12">
        <v>65.56</v>
      </c>
      <c r="H3592" s="12">
        <v>-355.2</v>
      </c>
      <c r="I3592" s="12">
        <v>0</v>
      </c>
      <c r="J3592" s="12">
        <v>0</v>
      </c>
      <c r="K3592" s="12">
        <v>-289.64</v>
      </c>
      <c r="L3592" s="12">
        <v>0</v>
      </c>
      <c r="M3592" s="12">
        <v>0</v>
      </c>
      <c r="N3592" s="12">
        <v>0</v>
      </c>
      <c r="O3592" s="12">
        <v>0</v>
      </c>
      <c r="P3592" s="12">
        <v>0</v>
      </c>
      <c r="Q3592" s="12">
        <v>-289.64</v>
      </c>
    </row>
    <row r="3593" spans="1:17" x14ac:dyDescent="0.3">
      <c r="A3593" s="12" t="s">
        <v>96</v>
      </c>
      <c r="B3593" s="12" t="s">
        <v>167</v>
      </c>
      <c r="C3593" s="12" t="s">
        <v>123</v>
      </c>
      <c r="D3593" s="12" t="s">
        <v>110</v>
      </c>
      <c r="E3593" s="12" t="s">
        <v>67</v>
      </c>
      <c r="F3593" s="12">
        <v>0</v>
      </c>
      <c r="G3593" s="12">
        <v>125.2</v>
      </c>
      <c r="H3593" s="12">
        <v>0</v>
      </c>
      <c r="I3593" s="12">
        <v>0</v>
      </c>
      <c r="J3593" s="12">
        <v>0</v>
      </c>
      <c r="K3593" s="12">
        <v>125.2</v>
      </c>
      <c r="L3593" s="12">
        <v>0</v>
      </c>
      <c r="M3593" s="12">
        <v>0</v>
      </c>
      <c r="N3593" s="12">
        <v>0</v>
      </c>
      <c r="O3593" s="12">
        <v>0</v>
      </c>
      <c r="P3593" s="12">
        <v>0</v>
      </c>
      <c r="Q3593" s="12">
        <v>125.2</v>
      </c>
    </row>
    <row r="3594" spans="1:17" x14ac:dyDescent="0.3">
      <c r="A3594" s="12" t="s">
        <v>96</v>
      </c>
      <c r="B3594" s="12" t="s">
        <v>167</v>
      </c>
      <c r="C3594" s="12" t="s">
        <v>123</v>
      </c>
      <c r="D3594" s="12" t="s">
        <v>110</v>
      </c>
      <c r="E3594" s="12" t="s">
        <v>15</v>
      </c>
      <c r="F3594" s="12">
        <v>0</v>
      </c>
      <c r="G3594" s="12">
        <v>18.14</v>
      </c>
      <c r="H3594" s="12">
        <v>0</v>
      </c>
      <c r="I3594" s="12">
        <v>0</v>
      </c>
      <c r="J3594" s="12">
        <v>0</v>
      </c>
      <c r="K3594" s="12">
        <v>18.14</v>
      </c>
      <c r="L3594" s="12">
        <v>0</v>
      </c>
      <c r="M3594" s="12">
        <v>0</v>
      </c>
      <c r="N3594" s="12">
        <v>0</v>
      </c>
      <c r="O3594" s="12">
        <v>0</v>
      </c>
      <c r="P3594" s="12">
        <v>0</v>
      </c>
      <c r="Q3594" s="12">
        <v>18.14</v>
      </c>
    </row>
    <row r="3595" spans="1:17" x14ac:dyDescent="0.3">
      <c r="A3595" s="12" t="s">
        <v>96</v>
      </c>
      <c r="B3595" s="12" t="s">
        <v>167</v>
      </c>
      <c r="C3595" s="12" t="s">
        <v>123</v>
      </c>
      <c r="D3595" s="12" t="s">
        <v>110</v>
      </c>
      <c r="E3595" s="12" t="s">
        <v>16</v>
      </c>
      <c r="F3595" s="12">
        <v>0</v>
      </c>
      <c r="G3595" s="12">
        <v>0</v>
      </c>
      <c r="H3595" s="12">
        <v>-300.8</v>
      </c>
      <c r="I3595" s="12">
        <v>0</v>
      </c>
      <c r="J3595" s="12">
        <v>0</v>
      </c>
      <c r="K3595" s="12">
        <v>-300.8</v>
      </c>
      <c r="L3595" s="12">
        <v>0</v>
      </c>
      <c r="M3595" s="12">
        <v>0</v>
      </c>
      <c r="N3595" s="12">
        <v>0</v>
      </c>
      <c r="O3595" s="12">
        <v>0</v>
      </c>
      <c r="P3595" s="12">
        <v>0</v>
      </c>
      <c r="Q3595" s="12">
        <v>-300.8</v>
      </c>
    </row>
    <row r="3596" spans="1:17" x14ac:dyDescent="0.3">
      <c r="A3596" s="12" t="s">
        <v>96</v>
      </c>
      <c r="B3596" s="12" t="s">
        <v>167</v>
      </c>
      <c r="C3596" s="12" t="s">
        <v>123</v>
      </c>
      <c r="D3596" s="12" t="s">
        <v>110</v>
      </c>
      <c r="E3596" s="12" t="s">
        <v>17</v>
      </c>
      <c r="F3596" s="12">
        <v>0</v>
      </c>
      <c r="G3596" s="12">
        <v>12.77358491</v>
      </c>
      <c r="H3596" s="12">
        <v>-0.53358490999999997</v>
      </c>
      <c r="I3596" s="12">
        <v>0</v>
      </c>
      <c r="J3596" s="12">
        <v>0</v>
      </c>
      <c r="K3596" s="12">
        <v>12.24</v>
      </c>
      <c r="L3596" s="12">
        <v>0</v>
      </c>
      <c r="M3596" s="12">
        <v>0</v>
      </c>
      <c r="N3596" s="12">
        <v>0</v>
      </c>
      <c r="O3596" s="12">
        <v>0</v>
      </c>
      <c r="P3596" s="12">
        <v>0</v>
      </c>
      <c r="Q3596" s="12">
        <v>12.24</v>
      </c>
    </row>
    <row r="3597" spans="1:17" x14ac:dyDescent="0.3">
      <c r="A3597" s="12" t="s">
        <v>96</v>
      </c>
      <c r="B3597" s="12" t="s">
        <v>167</v>
      </c>
      <c r="C3597" s="12" t="s">
        <v>123</v>
      </c>
      <c r="D3597" s="12" t="s">
        <v>110</v>
      </c>
      <c r="E3597" s="12" t="s">
        <v>68</v>
      </c>
      <c r="F3597" s="12">
        <v>0</v>
      </c>
      <c r="G3597" s="12">
        <v>0</v>
      </c>
      <c r="H3597" s="12">
        <v>-68.400000000000006</v>
      </c>
      <c r="I3597" s="12">
        <v>0</v>
      </c>
      <c r="J3597" s="12">
        <v>0</v>
      </c>
      <c r="K3597" s="12">
        <v>-68.400000000000006</v>
      </c>
      <c r="L3597" s="12">
        <v>0</v>
      </c>
      <c r="M3597" s="12">
        <v>0</v>
      </c>
      <c r="N3597" s="12">
        <v>0</v>
      </c>
      <c r="O3597" s="12">
        <v>0</v>
      </c>
      <c r="P3597" s="12">
        <v>0</v>
      </c>
      <c r="Q3597" s="12">
        <v>-68.400000000000006</v>
      </c>
    </row>
    <row r="3598" spans="1:17" x14ac:dyDescent="0.3">
      <c r="A3598" s="12" t="s">
        <v>96</v>
      </c>
      <c r="B3598" s="12" t="s">
        <v>167</v>
      </c>
      <c r="C3598" s="12" t="s">
        <v>123</v>
      </c>
      <c r="D3598" s="12" t="s">
        <v>110</v>
      </c>
      <c r="E3598" s="12" t="s">
        <v>18</v>
      </c>
      <c r="F3598" s="12">
        <v>0</v>
      </c>
      <c r="G3598" s="12">
        <v>0</v>
      </c>
      <c r="H3598" s="12">
        <v>0</v>
      </c>
      <c r="I3598" s="12">
        <v>0</v>
      </c>
      <c r="J3598" s="12">
        <v>0</v>
      </c>
      <c r="K3598" s="12">
        <v>0</v>
      </c>
      <c r="L3598" s="12">
        <v>711.75</v>
      </c>
      <c r="M3598" s="12">
        <v>0</v>
      </c>
      <c r="N3598" s="12">
        <v>0</v>
      </c>
      <c r="O3598" s="12">
        <v>0</v>
      </c>
      <c r="P3598" s="12">
        <v>711.75</v>
      </c>
      <c r="Q3598" s="12">
        <v>711.75</v>
      </c>
    </row>
    <row r="3599" spans="1:17" x14ac:dyDescent="0.3">
      <c r="A3599" s="12" t="s">
        <v>96</v>
      </c>
      <c r="B3599" s="12" t="s">
        <v>167</v>
      </c>
      <c r="C3599" s="12" t="s">
        <v>123</v>
      </c>
      <c r="D3599" s="12" t="s">
        <v>110</v>
      </c>
      <c r="E3599" s="12" t="s">
        <v>48</v>
      </c>
      <c r="F3599" s="12">
        <v>0</v>
      </c>
      <c r="G3599" s="12">
        <v>1367.4530299999999</v>
      </c>
      <c r="H3599" s="12">
        <v>0</v>
      </c>
      <c r="I3599" s="12">
        <v>0</v>
      </c>
      <c r="J3599" s="12">
        <v>0</v>
      </c>
      <c r="K3599" s="12">
        <v>1367.4530299999999</v>
      </c>
      <c r="L3599" s="12">
        <v>797.3</v>
      </c>
      <c r="M3599" s="12">
        <v>0</v>
      </c>
      <c r="N3599" s="12">
        <v>0</v>
      </c>
      <c r="O3599" s="12">
        <v>0</v>
      </c>
      <c r="P3599" s="12">
        <v>797.3</v>
      </c>
      <c r="Q3599" s="12">
        <v>2164.7530299999999</v>
      </c>
    </row>
    <row r="3600" spans="1:17" x14ac:dyDescent="0.3">
      <c r="A3600" s="12" t="s">
        <v>96</v>
      </c>
      <c r="B3600" s="12" t="s">
        <v>167</v>
      </c>
      <c r="C3600" s="12" t="s">
        <v>123</v>
      </c>
      <c r="D3600" s="12" t="s">
        <v>110</v>
      </c>
      <c r="E3600" s="12" t="s">
        <v>54</v>
      </c>
      <c r="F3600" s="12">
        <v>0</v>
      </c>
      <c r="G3600" s="12">
        <v>862.67759479999995</v>
      </c>
      <c r="H3600" s="12">
        <v>-19.440000000000001</v>
      </c>
      <c r="I3600" s="12">
        <v>0</v>
      </c>
      <c r="J3600" s="12">
        <v>0</v>
      </c>
      <c r="K3600" s="12">
        <v>843.23759480000001</v>
      </c>
      <c r="L3600" s="12">
        <v>1077</v>
      </c>
      <c r="M3600" s="12">
        <v>0</v>
      </c>
      <c r="N3600" s="12">
        <v>0</v>
      </c>
      <c r="O3600" s="12">
        <v>0</v>
      </c>
      <c r="P3600" s="12">
        <v>1077</v>
      </c>
      <c r="Q3600" s="12">
        <v>1920.2375947999999</v>
      </c>
    </row>
    <row r="3601" spans="1:17" x14ac:dyDescent="0.3">
      <c r="A3601" s="12" t="s">
        <v>96</v>
      </c>
      <c r="B3601" s="12" t="s">
        <v>167</v>
      </c>
      <c r="C3601" s="12" t="s">
        <v>123</v>
      </c>
      <c r="D3601" s="12" t="s">
        <v>110</v>
      </c>
      <c r="E3601" s="12" t="s">
        <v>19</v>
      </c>
      <c r="F3601" s="12">
        <v>0</v>
      </c>
      <c r="G3601" s="12">
        <v>2733.63285636</v>
      </c>
      <c r="H3601" s="12">
        <v>0</v>
      </c>
      <c r="I3601" s="12">
        <v>0</v>
      </c>
      <c r="J3601" s="12">
        <v>0</v>
      </c>
      <c r="K3601" s="12">
        <v>2733.63285636</v>
      </c>
      <c r="L3601" s="12">
        <v>0</v>
      </c>
      <c r="M3601" s="12">
        <v>-1059.462857</v>
      </c>
      <c r="N3601" s="12">
        <v>0</v>
      </c>
      <c r="O3601" s="12">
        <v>0</v>
      </c>
      <c r="P3601" s="12">
        <v>-1059.462857</v>
      </c>
      <c r="Q3601" s="12">
        <v>1674.16999936</v>
      </c>
    </row>
    <row r="3602" spans="1:17" x14ac:dyDescent="0.3">
      <c r="A3602" s="12" t="s">
        <v>96</v>
      </c>
      <c r="B3602" s="12" t="s">
        <v>167</v>
      </c>
      <c r="C3602" s="12" t="s">
        <v>123</v>
      </c>
      <c r="D3602" s="12" t="s">
        <v>110</v>
      </c>
      <c r="E3602" s="12" t="s">
        <v>69</v>
      </c>
      <c r="F3602" s="12">
        <v>0</v>
      </c>
      <c r="G3602" s="12">
        <v>0</v>
      </c>
      <c r="H3602" s="12">
        <v>-133.35</v>
      </c>
      <c r="I3602" s="12">
        <v>0</v>
      </c>
      <c r="J3602" s="12">
        <v>0</v>
      </c>
      <c r="K3602" s="12">
        <v>-133.35</v>
      </c>
      <c r="L3602" s="12">
        <v>0</v>
      </c>
      <c r="M3602" s="12">
        <v>0</v>
      </c>
      <c r="N3602" s="12">
        <v>0</v>
      </c>
      <c r="O3602" s="12">
        <v>0</v>
      </c>
      <c r="P3602" s="12">
        <v>0</v>
      </c>
      <c r="Q3602" s="12">
        <v>-133.35</v>
      </c>
    </row>
    <row r="3603" spans="1:17" x14ac:dyDescent="0.3">
      <c r="A3603" s="12" t="s">
        <v>96</v>
      </c>
      <c r="B3603" s="12" t="s">
        <v>167</v>
      </c>
      <c r="C3603" s="12" t="s">
        <v>123</v>
      </c>
      <c r="D3603" s="12" t="s">
        <v>110</v>
      </c>
      <c r="E3603" s="12" t="s">
        <v>20</v>
      </c>
      <c r="F3603" s="12">
        <v>0</v>
      </c>
      <c r="G3603" s="12">
        <v>0</v>
      </c>
      <c r="H3603" s="12">
        <v>-261.89999999999998</v>
      </c>
      <c r="I3603" s="12">
        <v>0</v>
      </c>
      <c r="J3603" s="12">
        <v>0</v>
      </c>
      <c r="K3603" s="12">
        <v>-261.89999999999998</v>
      </c>
      <c r="L3603" s="12">
        <v>0</v>
      </c>
      <c r="M3603" s="12">
        <v>0</v>
      </c>
      <c r="N3603" s="12">
        <v>0</v>
      </c>
      <c r="O3603" s="12">
        <v>0</v>
      </c>
      <c r="P3603" s="12">
        <v>0</v>
      </c>
      <c r="Q3603" s="12">
        <v>-261.89999999999998</v>
      </c>
    </row>
    <row r="3604" spans="1:17" x14ac:dyDescent="0.3">
      <c r="A3604" s="12" t="s">
        <v>96</v>
      </c>
      <c r="B3604" s="12" t="s">
        <v>167</v>
      </c>
      <c r="C3604" s="12" t="s">
        <v>123</v>
      </c>
      <c r="D3604" s="12" t="s">
        <v>110</v>
      </c>
      <c r="E3604" s="12" t="s">
        <v>21</v>
      </c>
      <c r="F3604" s="12">
        <v>0</v>
      </c>
      <c r="G3604" s="12">
        <v>350.74</v>
      </c>
      <c r="H3604" s="12">
        <v>0</v>
      </c>
      <c r="I3604" s="12">
        <v>0</v>
      </c>
      <c r="J3604" s="12">
        <v>0</v>
      </c>
      <c r="K3604" s="12">
        <v>350.74</v>
      </c>
      <c r="L3604" s="12">
        <v>0</v>
      </c>
      <c r="M3604" s="12">
        <v>0</v>
      </c>
      <c r="N3604" s="12">
        <v>0</v>
      </c>
      <c r="O3604" s="12">
        <v>0</v>
      </c>
      <c r="P3604" s="12">
        <v>0</v>
      </c>
      <c r="Q3604" s="12">
        <v>350.74</v>
      </c>
    </row>
    <row r="3605" spans="1:17" x14ac:dyDescent="0.3">
      <c r="A3605" s="12" t="s">
        <v>96</v>
      </c>
      <c r="B3605" s="12" t="s">
        <v>167</v>
      </c>
      <c r="C3605" s="12" t="s">
        <v>123</v>
      </c>
      <c r="D3605" s="12" t="s">
        <v>110</v>
      </c>
      <c r="E3605" s="12" t="s">
        <v>22</v>
      </c>
      <c r="F3605" s="12">
        <v>0</v>
      </c>
      <c r="G3605" s="12">
        <v>1269.9190000000001</v>
      </c>
      <c r="H3605" s="12">
        <v>0</v>
      </c>
      <c r="I3605" s="12">
        <v>0</v>
      </c>
      <c r="J3605" s="12">
        <v>0</v>
      </c>
      <c r="K3605" s="12">
        <v>1269.9190000000001</v>
      </c>
      <c r="L3605" s="12">
        <v>1547.8710000000001</v>
      </c>
      <c r="M3605" s="12">
        <v>0</v>
      </c>
      <c r="N3605" s="12">
        <v>0</v>
      </c>
      <c r="O3605" s="12">
        <v>0</v>
      </c>
      <c r="P3605" s="12">
        <v>1547.8710000000001</v>
      </c>
      <c r="Q3605" s="12">
        <v>2817.79</v>
      </c>
    </row>
    <row r="3606" spans="1:17" x14ac:dyDescent="0.3">
      <c r="A3606" s="12" t="s">
        <v>96</v>
      </c>
      <c r="B3606" s="12" t="s">
        <v>167</v>
      </c>
      <c r="C3606" s="12" t="s">
        <v>123</v>
      </c>
      <c r="D3606" s="12" t="s">
        <v>110</v>
      </c>
      <c r="E3606" s="12" t="s">
        <v>37</v>
      </c>
      <c r="F3606" s="12">
        <v>0</v>
      </c>
      <c r="G3606" s="12">
        <v>158.9</v>
      </c>
      <c r="H3606" s="12">
        <v>-216.9</v>
      </c>
      <c r="I3606" s="12">
        <v>0</v>
      </c>
      <c r="J3606" s="12">
        <v>0</v>
      </c>
      <c r="K3606" s="12">
        <v>-58</v>
      </c>
      <c r="L3606" s="12">
        <v>0</v>
      </c>
      <c r="M3606" s="12">
        <v>0</v>
      </c>
      <c r="N3606" s="12">
        <v>0</v>
      </c>
      <c r="O3606" s="12">
        <v>0</v>
      </c>
      <c r="P3606" s="12">
        <v>0</v>
      </c>
      <c r="Q3606" s="12">
        <v>-58</v>
      </c>
    </row>
    <row r="3607" spans="1:17" x14ac:dyDescent="0.3">
      <c r="A3607" s="12" t="s">
        <v>96</v>
      </c>
      <c r="B3607" s="12" t="s">
        <v>167</v>
      </c>
      <c r="C3607" s="12" t="s">
        <v>123</v>
      </c>
      <c r="D3607" s="12" t="s">
        <v>110</v>
      </c>
      <c r="E3607" s="12" t="s">
        <v>23</v>
      </c>
      <c r="F3607" s="12">
        <v>0</v>
      </c>
      <c r="G3607" s="12">
        <v>541.32000000000005</v>
      </c>
      <c r="H3607" s="12">
        <v>0</v>
      </c>
      <c r="I3607" s="12">
        <v>0</v>
      </c>
      <c r="J3607" s="12">
        <v>0</v>
      </c>
      <c r="K3607" s="12">
        <v>541.32000000000005</v>
      </c>
      <c r="L3607" s="12">
        <v>0</v>
      </c>
      <c r="M3607" s="12">
        <v>0</v>
      </c>
      <c r="N3607" s="12">
        <v>0</v>
      </c>
      <c r="O3607" s="12">
        <v>0</v>
      </c>
      <c r="P3607" s="12">
        <v>0</v>
      </c>
      <c r="Q3607" s="12">
        <v>541.32000000000005</v>
      </c>
    </row>
    <row r="3608" spans="1:17" x14ac:dyDescent="0.3">
      <c r="A3608" s="12" t="s">
        <v>96</v>
      </c>
      <c r="B3608" s="12" t="s">
        <v>167</v>
      </c>
      <c r="C3608" s="12" t="s">
        <v>123</v>
      </c>
      <c r="D3608" s="12" t="s">
        <v>110</v>
      </c>
      <c r="E3608" s="12" t="s">
        <v>24</v>
      </c>
      <c r="F3608" s="12">
        <v>0</v>
      </c>
      <c r="G3608" s="12">
        <v>242.28749999999999</v>
      </c>
      <c r="H3608" s="12">
        <v>0</v>
      </c>
      <c r="I3608" s="12">
        <v>0</v>
      </c>
      <c r="J3608" s="12">
        <v>0</v>
      </c>
      <c r="K3608" s="12">
        <v>242.28749999999999</v>
      </c>
      <c r="L3608" s="12">
        <v>539.21249999999998</v>
      </c>
      <c r="M3608" s="12">
        <v>0</v>
      </c>
      <c r="N3608" s="12">
        <v>0</v>
      </c>
      <c r="O3608" s="12">
        <v>0</v>
      </c>
      <c r="P3608" s="12">
        <v>539.21249999999998</v>
      </c>
      <c r="Q3608" s="12">
        <v>781.5</v>
      </c>
    </row>
    <row r="3609" spans="1:17" x14ac:dyDescent="0.3">
      <c r="A3609" s="12" t="s">
        <v>96</v>
      </c>
      <c r="B3609" s="12" t="s">
        <v>167</v>
      </c>
      <c r="C3609" s="12" t="s">
        <v>123</v>
      </c>
      <c r="D3609" s="12" t="s">
        <v>110</v>
      </c>
      <c r="E3609" s="12" t="s">
        <v>70</v>
      </c>
      <c r="F3609" s="12">
        <v>0</v>
      </c>
      <c r="G3609" s="12">
        <v>252.25</v>
      </c>
      <c r="H3609" s="12">
        <v>-14.175000000000001</v>
      </c>
      <c r="I3609" s="12">
        <v>0</v>
      </c>
      <c r="J3609" s="12">
        <v>0</v>
      </c>
      <c r="K3609" s="12">
        <v>238.07499999999999</v>
      </c>
      <c r="L3609" s="12">
        <v>1029.325</v>
      </c>
      <c r="M3609" s="12">
        <v>0</v>
      </c>
      <c r="N3609" s="12">
        <v>0</v>
      </c>
      <c r="O3609" s="12">
        <v>0</v>
      </c>
      <c r="P3609" s="12">
        <v>1029.325</v>
      </c>
      <c r="Q3609" s="12">
        <v>1267.4000000000001</v>
      </c>
    </row>
    <row r="3610" spans="1:17" x14ac:dyDescent="0.3">
      <c r="A3610" s="12" t="s">
        <v>96</v>
      </c>
      <c r="B3610" s="12" t="s">
        <v>167</v>
      </c>
      <c r="C3610" s="12" t="s">
        <v>123</v>
      </c>
      <c r="D3610" s="12" t="s">
        <v>110</v>
      </c>
      <c r="E3610" s="12" t="s">
        <v>59</v>
      </c>
      <c r="F3610" s="12">
        <v>0</v>
      </c>
      <c r="G3610" s="12">
        <v>22.2</v>
      </c>
      <c r="H3610" s="12">
        <v>-54.6</v>
      </c>
      <c r="I3610" s="12">
        <v>0</v>
      </c>
      <c r="J3610" s="12">
        <v>0</v>
      </c>
      <c r="K3610" s="12">
        <v>-32.4</v>
      </c>
      <c r="L3610" s="12">
        <v>0</v>
      </c>
      <c r="M3610" s="12">
        <v>0</v>
      </c>
      <c r="N3610" s="12">
        <v>0</v>
      </c>
      <c r="O3610" s="12">
        <v>0</v>
      </c>
      <c r="P3610" s="12">
        <v>0</v>
      </c>
      <c r="Q3610" s="12">
        <v>-32.4</v>
      </c>
    </row>
    <row r="3611" spans="1:17" x14ac:dyDescent="0.3">
      <c r="A3611" s="12" t="s">
        <v>96</v>
      </c>
      <c r="B3611" s="12" t="s">
        <v>167</v>
      </c>
      <c r="C3611" s="12" t="s">
        <v>123</v>
      </c>
      <c r="D3611" s="12" t="s">
        <v>110</v>
      </c>
      <c r="E3611" s="12" t="s">
        <v>49</v>
      </c>
      <c r="F3611" s="12">
        <v>0</v>
      </c>
      <c r="G3611" s="12">
        <v>0</v>
      </c>
      <c r="H3611" s="12">
        <v>-152.155</v>
      </c>
      <c r="I3611" s="12">
        <v>0</v>
      </c>
      <c r="J3611" s="12">
        <v>0</v>
      </c>
      <c r="K3611" s="12">
        <v>-152.155</v>
      </c>
      <c r="L3611" s="12">
        <v>1992.82</v>
      </c>
      <c r="M3611" s="12">
        <v>0</v>
      </c>
      <c r="N3611" s="12">
        <v>0</v>
      </c>
      <c r="O3611" s="12">
        <v>0</v>
      </c>
      <c r="P3611" s="12">
        <v>1992.82</v>
      </c>
      <c r="Q3611" s="12">
        <v>1840.665</v>
      </c>
    </row>
    <row r="3612" spans="1:17" x14ac:dyDescent="0.3">
      <c r="A3612" s="12" t="s">
        <v>96</v>
      </c>
      <c r="B3612" s="12" t="s">
        <v>167</v>
      </c>
      <c r="C3612" s="12" t="s">
        <v>123</v>
      </c>
      <c r="D3612" s="12" t="s">
        <v>110</v>
      </c>
      <c r="E3612" s="12" t="s">
        <v>25</v>
      </c>
      <c r="F3612" s="12">
        <v>0</v>
      </c>
      <c r="G3612" s="12">
        <v>28.14</v>
      </c>
      <c r="H3612" s="12">
        <v>-277.89999999999998</v>
      </c>
      <c r="I3612" s="12">
        <v>0</v>
      </c>
      <c r="J3612" s="12">
        <v>0</v>
      </c>
      <c r="K3612" s="12">
        <v>-249.76</v>
      </c>
      <c r="L3612" s="12">
        <v>0</v>
      </c>
      <c r="M3612" s="12">
        <v>0</v>
      </c>
      <c r="N3612" s="12">
        <v>0</v>
      </c>
      <c r="O3612" s="12">
        <v>0</v>
      </c>
      <c r="P3612" s="12">
        <v>0</v>
      </c>
      <c r="Q3612" s="12">
        <v>-249.76</v>
      </c>
    </row>
    <row r="3613" spans="1:17" x14ac:dyDescent="0.3">
      <c r="A3613" s="12" t="s">
        <v>96</v>
      </c>
      <c r="B3613" s="12" t="s">
        <v>167</v>
      </c>
      <c r="C3613" s="12" t="s">
        <v>123</v>
      </c>
      <c r="D3613" s="12" t="s">
        <v>110</v>
      </c>
      <c r="E3613" s="12" t="s">
        <v>26</v>
      </c>
      <c r="F3613" s="12">
        <v>0</v>
      </c>
      <c r="G3613" s="12">
        <v>723.67000022000002</v>
      </c>
      <c r="H3613" s="12">
        <v>0</v>
      </c>
      <c r="I3613" s="12">
        <v>0</v>
      </c>
      <c r="J3613" s="12">
        <v>0</v>
      </c>
      <c r="K3613" s="12">
        <v>723.67000022000002</v>
      </c>
      <c r="L3613" s="12">
        <v>230.95</v>
      </c>
      <c r="M3613" s="12">
        <v>0</v>
      </c>
      <c r="N3613" s="12">
        <v>0</v>
      </c>
      <c r="O3613" s="12">
        <v>0</v>
      </c>
      <c r="P3613" s="12">
        <v>230.95</v>
      </c>
      <c r="Q3613" s="12">
        <v>954.62000021999995</v>
      </c>
    </row>
    <row r="3614" spans="1:17" x14ac:dyDescent="0.3">
      <c r="A3614" s="12" t="s">
        <v>96</v>
      </c>
      <c r="B3614" s="12" t="s">
        <v>167</v>
      </c>
      <c r="C3614" s="12" t="s">
        <v>123</v>
      </c>
      <c r="D3614" s="12" t="s">
        <v>110</v>
      </c>
      <c r="E3614" s="12" t="s">
        <v>38</v>
      </c>
      <c r="F3614" s="12">
        <v>0</v>
      </c>
      <c r="G3614" s="12">
        <v>0</v>
      </c>
      <c r="H3614" s="12">
        <v>-30.84</v>
      </c>
      <c r="I3614" s="12">
        <v>0</v>
      </c>
      <c r="J3614" s="12">
        <v>0</v>
      </c>
      <c r="K3614" s="12">
        <v>-30.84</v>
      </c>
      <c r="L3614" s="12">
        <v>0</v>
      </c>
      <c r="M3614" s="12">
        <v>0</v>
      </c>
      <c r="N3614" s="12">
        <v>0</v>
      </c>
      <c r="O3614" s="12">
        <v>0</v>
      </c>
      <c r="P3614" s="12">
        <v>0</v>
      </c>
      <c r="Q3614" s="12">
        <v>-30.84</v>
      </c>
    </row>
    <row r="3615" spans="1:17" x14ac:dyDescent="0.3">
      <c r="A3615" s="12" t="s">
        <v>96</v>
      </c>
      <c r="B3615" s="12" t="s">
        <v>167</v>
      </c>
      <c r="C3615" s="12" t="s">
        <v>123</v>
      </c>
      <c r="D3615" s="12" t="s">
        <v>110</v>
      </c>
      <c r="E3615" s="12" t="s">
        <v>27</v>
      </c>
      <c r="F3615" s="12">
        <v>0</v>
      </c>
      <c r="G3615" s="12">
        <v>3300.2100003800001</v>
      </c>
      <c r="H3615" s="12">
        <v>-52.63</v>
      </c>
      <c r="I3615" s="12">
        <v>0</v>
      </c>
      <c r="J3615" s="12">
        <v>0</v>
      </c>
      <c r="K3615" s="12">
        <v>3247.58000038</v>
      </c>
      <c r="L3615" s="12">
        <v>476.5</v>
      </c>
      <c r="M3615" s="12">
        <v>0</v>
      </c>
      <c r="N3615" s="12">
        <v>0</v>
      </c>
      <c r="O3615" s="12">
        <v>0</v>
      </c>
      <c r="P3615" s="12">
        <v>476.5</v>
      </c>
      <c r="Q3615" s="12">
        <v>3724.08000038</v>
      </c>
    </row>
    <row r="3616" spans="1:17" x14ac:dyDescent="0.3">
      <c r="A3616" s="12" t="s">
        <v>96</v>
      </c>
      <c r="B3616" s="12" t="s">
        <v>167</v>
      </c>
      <c r="C3616" s="12" t="s">
        <v>123</v>
      </c>
      <c r="D3616" s="12" t="s">
        <v>110</v>
      </c>
      <c r="E3616" s="12" t="s">
        <v>28</v>
      </c>
      <c r="F3616" s="12">
        <v>0</v>
      </c>
      <c r="G3616" s="12">
        <v>768.25204082000005</v>
      </c>
      <c r="H3616" s="12">
        <v>0</v>
      </c>
      <c r="I3616" s="12">
        <v>0</v>
      </c>
      <c r="J3616" s="12">
        <v>0</v>
      </c>
      <c r="K3616" s="12">
        <v>768.25204082000005</v>
      </c>
      <c r="L3616" s="12">
        <v>1745.5979589999999</v>
      </c>
      <c r="M3616" s="12">
        <v>-284.16000000000003</v>
      </c>
      <c r="N3616" s="12">
        <v>0</v>
      </c>
      <c r="O3616" s="12">
        <v>0</v>
      </c>
      <c r="P3616" s="12">
        <v>1461.4379590000001</v>
      </c>
      <c r="Q3616" s="12">
        <v>2229.6899998200001</v>
      </c>
    </row>
    <row r="3617" spans="1:17" x14ac:dyDescent="0.3">
      <c r="A3617" s="12" t="s">
        <v>96</v>
      </c>
      <c r="B3617" s="12" t="s">
        <v>167</v>
      </c>
      <c r="C3617" s="12" t="s">
        <v>123</v>
      </c>
      <c r="D3617" s="12" t="s">
        <v>110</v>
      </c>
      <c r="E3617" s="12" t="s">
        <v>55</v>
      </c>
      <c r="F3617" s="12">
        <v>0</v>
      </c>
      <c r="G3617" s="12">
        <v>0</v>
      </c>
      <c r="H3617" s="12">
        <v>-991.3</v>
      </c>
      <c r="I3617" s="12">
        <v>0</v>
      </c>
      <c r="J3617" s="12">
        <v>0</v>
      </c>
      <c r="K3617" s="12">
        <v>-991.3</v>
      </c>
      <c r="L3617" s="12">
        <v>0</v>
      </c>
      <c r="M3617" s="12">
        <v>-968.52</v>
      </c>
      <c r="N3617" s="12">
        <v>0</v>
      </c>
      <c r="O3617" s="12">
        <v>0</v>
      </c>
      <c r="P3617" s="12">
        <v>-968.52</v>
      </c>
      <c r="Q3617" s="12">
        <v>-1959.82</v>
      </c>
    </row>
    <row r="3618" spans="1:17" x14ac:dyDescent="0.3">
      <c r="A3618" s="12" t="s">
        <v>96</v>
      </c>
      <c r="B3618" s="12" t="s">
        <v>167</v>
      </c>
      <c r="C3618" s="12" t="s">
        <v>123</v>
      </c>
      <c r="D3618" s="12" t="s">
        <v>110</v>
      </c>
      <c r="E3618" s="12" t="s">
        <v>50</v>
      </c>
      <c r="F3618" s="12">
        <v>0</v>
      </c>
      <c r="G3618" s="12">
        <v>103.9</v>
      </c>
      <c r="H3618" s="12">
        <v>-103.44</v>
      </c>
      <c r="I3618" s="12">
        <v>0</v>
      </c>
      <c r="J3618" s="12">
        <v>0</v>
      </c>
      <c r="K3618" s="12">
        <v>0.46</v>
      </c>
      <c r="L3618" s="12">
        <v>0</v>
      </c>
      <c r="M3618" s="12">
        <v>0</v>
      </c>
      <c r="N3618" s="12">
        <v>0</v>
      </c>
      <c r="O3618" s="12">
        <v>0</v>
      </c>
      <c r="P3618" s="12">
        <v>0</v>
      </c>
      <c r="Q3618" s="12">
        <v>0.46</v>
      </c>
    </row>
    <row r="3619" spans="1:17" x14ac:dyDescent="0.3">
      <c r="A3619" s="12" t="s">
        <v>96</v>
      </c>
      <c r="B3619" s="12" t="s">
        <v>167</v>
      </c>
      <c r="C3619" s="12" t="s">
        <v>123</v>
      </c>
      <c r="D3619" s="12" t="s">
        <v>110</v>
      </c>
      <c r="E3619" s="12" t="s">
        <v>71</v>
      </c>
      <c r="F3619" s="12">
        <v>0</v>
      </c>
      <c r="G3619" s="12">
        <v>92</v>
      </c>
      <c r="H3619" s="12">
        <v>-61</v>
      </c>
      <c r="I3619" s="12">
        <v>0</v>
      </c>
      <c r="J3619" s="12">
        <v>0</v>
      </c>
      <c r="K3619" s="12">
        <v>31</v>
      </c>
      <c r="L3619" s="12">
        <v>0</v>
      </c>
      <c r="M3619" s="12">
        <v>0</v>
      </c>
      <c r="N3619" s="12">
        <v>0</v>
      </c>
      <c r="O3619" s="12">
        <v>0</v>
      </c>
      <c r="P3619" s="12">
        <v>0</v>
      </c>
      <c r="Q3619" s="12">
        <v>31</v>
      </c>
    </row>
    <row r="3620" spans="1:17" x14ac:dyDescent="0.3">
      <c r="A3620" s="12" t="s">
        <v>96</v>
      </c>
      <c r="B3620" s="12" t="s">
        <v>167</v>
      </c>
      <c r="C3620" s="12" t="s">
        <v>123</v>
      </c>
      <c r="D3620" s="12" t="s">
        <v>110</v>
      </c>
      <c r="E3620" s="12" t="s">
        <v>56</v>
      </c>
      <c r="F3620" s="12">
        <v>0</v>
      </c>
      <c r="G3620" s="12">
        <v>0</v>
      </c>
      <c r="H3620" s="12">
        <v>-280.39999999999998</v>
      </c>
      <c r="I3620" s="12">
        <v>0</v>
      </c>
      <c r="J3620" s="12">
        <v>0</v>
      </c>
      <c r="K3620" s="12">
        <v>-280.39999999999998</v>
      </c>
      <c r="L3620" s="12">
        <v>0</v>
      </c>
      <c r="M3620" s="12">
        <v>0</v>
      </c>
      <c r="N3620" s="12">
        <v>0</v>
      </c>
      <c r="O3620" s="12">
        <v>0</v>
      </c>
      <c r="P3620" s="12">
        <v>0</v>
      </c>
      <c r="Q3620" s="12">
        <v>-280.39999999999998</v>
      </c>
    </row>
    <row r="3621" spans="1:17" x14ac:dyDescent="0.3">
      <c r="A3621" s="12" t="s">
        <v>96</v>
      </c>
      <c r="B3621" s="12" t="s">
        <v>167</v>
      </c>
      <c r="C3621" s="12" t="s">
        <v>123</v>
      </c>
      <c r="D3621" s="12" t="s">
        <v>110</v>
      </c>
      <c r="E3621" s="12" t="s">
        <v>72</v>
      </c>
      <c r="F3621" s="12">
        <v>0</v>
      </c>
      <c r="G3621" s="12">
        <v>101.7</v>
      </c>
      <c r="H3621" s="12">
        <v>0</v>
      </c>
      <c r="I3621" s="12">
        <v>0</v>
      </c>
      <c r="J3621" s="12">
        <v>0</v>
      </c>
      <c r="K3621" s="12">
        <v>101.7</v>
      </c>
      <c r="L3621" s="12">
        <v>0</v>
      </c>
      <c r="M3621" s="12">
        <v>0</v>
      </c>
      <c r="N3621" s="12">
        <v>0</v>
      </c>
      <c r="O3621" s="12">
        <v>0</v>
      </c>
      <c r="P3621" s="12">
        <v>0</v>
      </c>
      <c r="Q3621" s="12">
        <v>101.7</v>
      </c>
    </row>
    <row r="3622" spans="1:17" x14ac:dyDescent="0.3">
      <c r="A3622" s="12" t="s">
        <v>96</v>
      </c>
      <c r="B3622" s="12" t="s">
        <v>167</v>
      </c>
      <c r="C3622" s="12" t="s">
        <v>123</v>
      </c>
      <c r="D3622" s="12" t="s">
        <v>110</v>
      </c>
      <c r="E3622" s="12" t="s">
        <v>57</v>
      </c>
      <c r="F3622" s="12">
        <v>0</v>
      </c>
      <c r="G3622" s="12">
        <v>81.8</v>
      </c>
      <c r="H3622" s="12">
        <v>-85.36</v>
      </c>
      <c r="I3622" s="12">
        <v>0</v>
      </c>
      <c r="J3622" s="12">
        <v>0</v>
      </c>
      <c r="K3622" s="12">
        <v>-3.56</v>
      </c>
      <c r="L3622" s="12">
        <v>0</v>
      </c>
      <c r="M3622" s="12">
        <v>0</v>
      </c>
      <c r="N3622" s="12">
        <v>0</v>
      </c>
      <c r="O3622" s="12">
        <v>0</v>
      </c>
      <c r="P3622" s="12">
        <v>0</v>
      </c>
      <c r="Q3622" s="12">
        <v>-3.56</v>
      </c>
    </row>
    <row r="3623" spans="1:17" x14ac:dyDescent="0.3">
      <c r="A3623" s="12" t="s">
        <v>96</v>
      </c>
      <c r="B3623" s="12" t="s">
        <v>167</v>
      </c>
      <c r="C3623" s="12" t="s">
        <v>123</v>
      </c>
      <c r="D3623" s="12" t="s">
        <v>110</v>
      </c>
      <c r="E3623" s="12" t="s">
        <v>29</v>
      </c>
      <c r="F3623" s="12">
        <v>0</v>
      </c>
      <c r="G3623" s="12">
        <v>928.4</v>
      </c>
      <c r="H3623" s="12">
        <v>0</v>
      </c>
      <c r="I3623" s="12">
        <v>0</v>
      </c>
      <c r="J3623" s="12">
        <v>0</v>
      </c>
      <c r="K3623" s="12">
        <v>928.4</v>
      </c>
      <c r="L3623" s="12">
        <v>977.1</v>
      </c>
      <c r="M3623" s="12">
        <v>0</v>
      </c>
      <c r="N3623" s="12">
        <v>0</v>
      </c>
      <c r="O3623" s="12">
        <v>0</v>
      </c>
      <c r="P3623" s="12">
        <v>977.1</v>
      </c>
      <c r="Q3623" s="12">
        <v>1905.5</v>
      </c>
    </row>
    <row r="3624" spans="1:17" x14ac:dyDescent="0.3">
      <c r="A3624" s="12" t="s">
        <v>96</v>
      </c>
      <c r="B3624" s="12" t="s">
        <v>167</v>
      </c>
      <c r="C3624" s="12" t="s">
        <v>123</v>
      </c>
      <c r="D3624" s="12" t="s">
        <v>110</v>
      </c>
      <c r="E3624" s="12" t="s">
        <v>73</v>
      </c>
      <c r="F3624" s="12">
        <v>0</v>
      </c>
      <c r="G3624" s="12">
        <v>0</v>
      </c>
      <c r="H3624" s="12">
        <v>-30.8</v>
      </c>
      <c r="I3624" s="12">
        <v>0</v>
      </c>
      <c r="J3624" s="12">
        <v>0</v>
      </c>
      <c r="K3624" s="12">
        <v>-30.8</v>
      </c>
      <c r="L3624" s="12">
        <v>0</v>
      </c>
      <c r="M3624" s="12">
        <v>0</v>
      </c>
      <c r="N3624" s="12">
        <v>0</v>
      </c>
      <c r="O3624" s="12">
        <v>0</v>
      </c>
      <c r="P3624" s="12">
        <v>0</v>
      </c>
      <c r="Q3624" s="12">
        <v>-30.8</v>
      </c>
    </row>
    <row r="3625" spans="1:17" x14ac:dyDescent="0.3">
      <c r="A3625" s="12" t="s">
        <v>96</v>
      </c>
      <c r="B3625" s="12" t="s">
        <v>167</v>
      </c>
      <c r="C3625" s="12" t="s">
        <v>123</v>
      </c>
      <c r="D3625" s="12" t="s">
        <v>110</v>
      </c>
      <c r="E3625" s="12" t="s">
        <v>74</v>
      </c>
      <c r="F3625" s="12">
        <v>0</v>
      </c>
      <c r="G3625" s="12">
        <v>91.9</v>
      </c>
      <c r="H3625" s="12">
        <v>-170.6</v>
      </c>
      <c r="I3625" s="12">
        <v>0</v>
      </c>
      <c r="J3625" s="12">
        <v>0</v>
      </c>
      <c r="K3625" s="12">
        <v>-78.7</v>
      </c>
      <c r="L3625" s="12">
        <v>0</v>
      </c>
      <c r="M3625" s="12">
        <v>0</v>
      </c>
      <c r="N3625" s="12">
        <v>0</v>
      </c>
      <c r="O3625" s="12">
        <v>0</v>
      </c>
      <c r="P3625" s="12">
        <v>0</v>
      </c>
      <c r="Q3625" s="12">
        <v>-78.7</v>
      </c>
    </row>
    <row r="3626" spans="1:17" x14ac:dyDescent="0.3">
      <c r="A3626" s="12" t="s">
        <v>96</v>
      </c>
      <c r="B3626" s="12" t="s">
        <v>167</v>
      </c>
      <c r="C3626" s="12" t="s">
        <v>123</v>
      </c>
      <c r="D3626" s="12" t="s">
        <v>110</v>
      </c>
      <c r="E3626" s="12" t="s">
        <v>39</v>
      </c>
      <c r="F3626" s="12">
        <v>0</v>
      </c>
      <c r="G3626" s="12">
        <v>665.8</v>
      </c>
      <c r="H3626" s="12">
        <v>-87.9</v>
      </c>
      <c r="I3626" s="12">
        <v>0</v>
      </c>
      <c r="J3626" s="12">
        <v>0</v>
      </c>
      <c r="K3626" s="12">
        <v>577.9</v>
      </c>
      <c r="L3626" s="12">
        <v>0</v>
      </c>
      <c r="M3626" s="12">
        <v>-945.9</v>
      </c>
      <c r="N3626" s="12">
        <v>0</v>
      </c>
      <c r="O3626" s="12">
        <v>0</v>
      </c>
      <c r="P3626" s="12">
        <v>-945.9</v>
      </c>
      <c r="Q3626" s="12">
        <v>-368</v>
      </c>
    </row>
    <row r="3627" spans="1:17" x14ac:dyDescent="0.3">
      <c r="A3627" s="12" t="s">
        <v>96</v>
      </c>
      <c r="B3627" s="12" t="s">
        <v>167</v>
      </c>
      <c r="C3627" s="12" t="s">
        <v>123</v>
      </c>
      <c r="D3627" s="12" t="s">
        <v>110</v>
      </c>
      <c r="E3627" s="12" t="s">
        <v>82</v>
      </c>
      <c r="F3627" s="12">
        <v>0</v>
      </c>
      <c r="G3627" s="12">
        <v>0</v>
      </c>
      <c r="H3627" s="12">
        <v>0</v>
      </c>
      <c r="I3627" s="12">
        <v>0</v>
      </c>
      <c r="J3627" s="12">
        <v>0</v>
      </c>
      <c r="K3627" s="12">
        <v>0</v>
      </c>
      <c r="L3627" s="12">
        <v>560</v>
      </c>
      <c r="M3627" s="12">
        <v>-318.89999999999998</v>
      </c>
      <c r="N3627" s="12">
        <v>0</v>
      </c>
      <c r="O3627" s="12">
        <v>0</v>
      </c>
      <c r="P3627" s="12">
        <v>241.1</v>
      </c>
      <c r="Q3627" s="12">
        <v>241.1</v>
      </c>
    </row>
    <row r="3628" spans="1:17" x14ac:dyDescent="0.3">
      <c r="A3628" s="12" t="s">
        <v>96</v>
      </c>
      <c r="B3628" s="12" t="s">
        <v>167</v>
      </c>
      <c r="C3628" s="12" t="s">
        <v>123</v>
      </c>
      <c r="D3628" s="12" t="s">
        <v>110</v>
      </c>
      <c r="E3628" s="12" t="s">
        <v>75</v>
      </c>
      <c r="F3628" s="12">
        <v>0</v>
      </c>
      <c r="G3628" s="12">
        <v>434.75</v>
      </c>
      <c r="H3628" s="12">
        <v>0</v>
      </c>
      <c r="I3628" s="12">
        <v>0</v>
      </c>
      <c r="J3628" s="12">
        <v>0</v>
      </c>
      <c r="K3628" s="12">
        <v>434.75</v>
      </c>
      <c r="L3628" s="12">
        <v>0</v>
      </c>
      <c r="M3628" s="12">
        <v>0</v>
      </c>
      <c r="N3628" s="12">
        <v>0</v>
      </c>
      <c r="O3628" s="12">
        <v>0</v>
      </c>
      <c r="P3628" s="12">
        <v>0</v>
      </c>
      <c r="Q3628" s="12">
        <v>434.75</v>
      </c>
    </row>
    <row r="3629" spans="1:17" x14ac:dyDescent="0.3">
      <c r="A3629" s="12" t="s">
        <v>96</v>
      </c>
      <c r="B3629" s="12" t="s">
        <v>167</v>
      </c>
      <c r="C3629" s="12" t="s">
        <v>123</v>
      </c>
      <c r="D3629" s="12" t="s">
        <v>110</v>
      </c>
      <c r="E3629" s="12" t="s">
        <v>30</v>
      </c>
      <c r="F3629" s="12">
        <v>0</v>
      </c>
      <c r="G3629" s="12">
        <v>182.01</v>
      </c>
      <c r="H3629" s="12">
        <v>-251.29</v>
      </c>
      <c r="I3629" s="12">
        <v>0</v>
      </c>
      <c r="J3629" s="12">
        <v>0</v>
      </c>
      <c r="K3629" s="12">
        <v>-69.28</v>
      </c>
      <c r="L3629" s="12">
        <v>0</v>
      </c>
      <c r="M3629" s="12">
        <v>0</v>
      </c>
      <c r="N3629" s="12">
        <v>0</v>
      </c>
      <c r="O3629" s="12">
        <v>0</v>
      </c>
      <c r="P3629" s="12">
        <v>0</v>
      </c>
      <c r="Q3629" s="12">
        <v>-69.28</v>
      </c>
    </row>
    <row r="3630" spans="1:17" x14ac:dyDescent="0.3">
      <c r="A3630" s="12" t="s">
        <v>96</v>
      </c>
      <c r="B3630" s="12" t="s">
        <v>167</v>
      </c>
      <c r="C3630" s="12" t="s">
        <v>123</v>
      </c>
      <c r="D3630" s="12" t="s">
        <v>110</v>
      </c>
      <c r="E3630" s="12" t="s">
        <v>76</v>
      </c>
      <c r="F3630" s="12">
        <v>0</v>
      </c>
      <c r="G3630" s="12">
        <v>0</v>
      </c>
      <c r="H3630" s="12">
        <v>-324.67500000000001</v>
      </c>
      <c r="I3630" s="12">
        <v>0</v>
      </c>
      <c r="J3630" s="12">
        <v>0</v>
      </c>
      <c r="K3630" s="12">
        <v>-324.67500000000001</v>
      </c>
      <c r="L3630" s="12">
        <v>0</v>
      </c>
      <c r="M3630" s="12">
        <v>0</v>
      </c>
      <c r="N3630" s="12">
        <v>0</v>
      </c>
      <c r="O3630" s="12">
        <v>0</v>
      </c>
      <c r="P3630" s="12">
        <v>0</v>
      </c>
      <c r="Q3630" s="12">
        <v>-324.67500000000001</v>
      </c>
    </row>
    <row r="3631" spans="1:17" x14ac:dyDescent="0.3">
      <c r="A3631" s="12" t="s">
        <v>96</v>
      </c>
      <c r="B3631" s="12" t="s">
        <v>167</v>
      </c>
      <c r="C3631" s="12" t="s">
        <v>123</v>
      </c>
      <c r="D3631" s="12" t="s">
        <v>110</v>
      </c>
      <c r="E3631" s="12" t="s">
        <v>51</v>
      </c>
      <c r="F3631" s="12">
        <v>0</v>
      </c>
      <c r="G3631" s="12">
        <v>328.85</v>
      </c>
      <c r="H3631" s="12">
        <v>-4537.22</v>
      </c>
      <c r="I3631" s="12">
        <v>0</v>
      </c>
      <c r="J3631" s="12">
        <v>0</v>
      </c>
      <c r="K3631" s="12">
        <v>-4208.37</v>
      </c>
      <c r="L3631" s="12">
        <v>0</v>
      </c>
      <c r="M3631" s="12">
        <v>0</v>
      </c>
      <c r="N3631" s="12">
        <v>0</v>
      </c>
      <c r="O3631" s="12">
        <v>0</v>
      </c>
      <c r="P3631" s="12">
        <v>0</v>
      </c>
      <c r="Q3631" s="12">
        <v>-4208.37</v>
      </c>
    </row>
    <row r="3632" spans="1:17" x14ac:dyDescent="0.3">
      <c r="A3632" s="12" t="s">
        <v>96</v>
      </c>
      <c r="B3632" s="12" t="s">
        <v>167</v>
      </c>
      <c r="C3632" s="12" t="s">
        <v>123</v>
      </c>
      <c r="D3632" s="12" t="s">
        <v>110</v>
      </c>
      <c r="E3632" s="12" t="s">
        <v>31</v>
      </c>
      <c r="F3632" s="12">
        <v>0</v>
      </c>
      <c r="G3632" s="12">
        <v>468.5</v>
      </c>
      <c r="H3632" s="12">
        <v>-105.87</v>
      </c>
      <c r="I3632" s="12">
        <v>0</v>
      </c>
      <c r="J3632" s="12">
        <v>0</v>
      </c>
      <c r="K3632" s="12">
        <v>362.63</v>
      </c>
      <c r="L3632" s="12">
        <v>0</v>
      </c>
      <c r="M3632" s="12">
        <v>0</v>
      </c>
      <c r="N3632" s="12">
        <v>0</v>
      </c>
      <c r="O3632" s="12">
        <v>0</v>
      </c>
      <c r="P3632" s="12">
        <v>0</v>
      </c>
      <c r="Q3632" s="12">
        <v>362.63</v>
      </c>
    </row>
    <row r="3633" spans="1:17" x14ac:dyDescent="0.3">
      <c r="A3633" s="12" t="s">
        <v>96</v>
      </c>
      <c r="B3633" s="12" t="s">
        <v>167</v>
      </c>
      <c r="C3633" s="12" t="s">
        <v>123</v>
      </c>
      <c r="D3633" s="12" t="s">
        <v>110</v>
      </c>
      <c r="E3633" s="12" t="s">
        <v>83</v>
      </c>
      <c r="F3633" s="12">
        <v>0</v>
      </c>
      <c r="G3633" s="12">
        <v>0</v>
      </c>
      <c r="H3633" s="12">
        <v>0</v>
      </c>
      <c r="I3633" s="12">
        <v>0</v>
      </c>
      <c r="J3633" s="12">
        <v>0</v>
      </c>
      <c r="K3633" s="12">
        <v>0</v>
      </c>
      <c r="L3633" s="12">
        <v>0</v>
      </c>
      <c r="M3633" s="12">
        <v>-2683.8</v>
      </c>
      <c r="N3633" s="12">
        <v>0</v>
      </c>
      <c r="O3633" s="12">
        <v>0</v>
      </c>
      <c r="P3633" s="12">
        <v>-2683.8</v>
      </c>
      <c r="Q3633" s="12">
        <v>-2683.8</v>
      </c>
    </row>
    <row r="3634" spans="1:17" x14ac:dyDescent="0.3">
      <c r="A3634" s="12" t="s">
        <v>96</v>
      </c>
      <c r="B3634" s="12" t="s">
        <v>167</v>
      </c>
      <c r="C3634" s="12" t="s">
        <v>123</v>
      </c>
      <c r="D3634" s="12" t="s">
        <v>110</v>
      </c>
      <c r="E3634" s="12" t="s">
        <v>86</v>
      </c>
      <c r="F3634" s="12">
        <v>0</v>
      </c>
      <c r="G3634" s="12">
        <v>0</v>
      </c>
      <c r="H3634" s="12">
        <v>0</v>
      </c>
      <c r="I3634" s="12">
        <v>0</v>
      </c>
      <c r="J3634" s="12">
        <v>0</v>
      </c>
      <c r="K3634" s="12">
        <v>0</v>
      </c>
      <c r="L3634" s="12">
        <v>2646.6</v>
      </c>
      <c r="M3634" s="12">
        <v>0</v>
      </c>
      <c r="N3634" s="12">
        <v>0</v>
      </c>
      <c r="O3634" s="12">
        <v>0</v>
      </c>
      <c r="P3634" s="12">
        <v>2646.6</v>
      </c>
      <c r="Q3634" s="12">
        <v>2646.6</v>
      </c>
    </row>
    <row r="3635" spans="1:17" x14ac:dyDescent="0.3">
      <c r="A3635" s="12" t="s">
        <v>96</v>
      </c>
      <c r="B3635" s="12" t="s">
        <v>167</v>
      </c>
      <c r="C3635" s="12" t="s">
        <v>123</v>
      </c>
      <c r="D3635" s="12" t="s">
        <v>110</v>
      </c>
      <c r="E3635" s="12" t="s">
        <v>77</v>
      </c>
      <c r="F3635" s="12">
        <v>0</v>
      </c>
      <c r="G3635" s="12">
        <v>47.9</v>
      </c>
      <c r="H3635" s="12">
        <v>0</v>
      </c>
      <c r="I3635" s="12">
        <v>0</v>
      </c>
      <c r="J3635" s="12">
        <v>0</v>
      </c>
      <c r="K3635" s="12">
        <v>47.9</v>
      </c>
      <c r="L3635" s="12">
        <v>675.6</v>
      </c>
      <c r="M3635" s="12">
        <v>-383.8</v>
      </c>
      <c r="N3635" s="12">
        <v>0</v>
      </c>
      <c r="O3635" s="12">
        <v>0</v>
      </c>
      <c r="P3635" s="12">
        <v>291.8</v>
      </c>
      <c r="Q3635" s="12">
        <v>339.7</v>
      </c>
    </row>
    <row r="3636" spans="1:17" x14ac:dyDescent="0.3">
      <c r="A3636" s="12" t="s">
        <v>96</v>
      </c>
      <c r="B3636" s="12" t="s">
        <v>167</v>
      </c>
      <c r="C3636" s="12" t="s">
        <v>123</v>
      </c>
      <c r="D3636" s="12" t="s">
        <v>110</v>
      </c>
      <c r="E3636" s="12" t="s">
        <v>87</v>
      </c>
      <c r="F3636" s="12">
        <v>0</v>
      </c>
      <c r="G3636" s="12">
        <v>0</v>
      </c>
      <c r="H3636" s="12">
        <v>0</v>
      </c>
      <c r="I3636" s="12">
        <v>0</v>
      </c>
      <c r="J3636" s="12">
        <v>0</v>
      </c>
      <c r="K3636" s="12">
        <v>0</v>
      </c>
      <c r="L3636" s="12">
        <v>708.45</v>
      </c>
      <c r="M3636" s="12">
        <v>0</v>
      </c>
      <c r="N3636" s="12">
        <v>0</v>
      </c>
      <c r="O3636" s="12">
        <v>0</v>
      </c>
      <c r="P3636" s="12">
        <v>708.45</v>
      </c>
      <c r="Q3636" s="12">
        <v>708.45</v>
      </c>
    </row>
    <row r="3637" spans="1:17" x14ac:dyDescent="0.3">
      <c r="A3637" s="12" t="s">
        <v>96</v>
      </c>
      <c r="B3637" s="12" t="s">
        <v>167</v>
      </c>
      <c r="C3637" s="12" t="s">
        <v>123</v>
      </c>
      <c r="D3637" s="12" t="s">
        <v>110</v>
      </c>
      <c r="E3637" s="12" t="s">
        <v>78</v>
      </c>
      <c r="F3637" s="12">
        <v>0</v>
      </c>
      <c r="G3637" s="12">
        <v>141.6</v>
      </c>
      <c r="H3637" s="12">
        <v>0</v>
      </c>
      <c r="I3637" s="12">
        <v>0</v>
      </c>
      <c r="J3637" s="12">
        <v>0</v>
      </c>
      <c r="K3637" s="12">
        <v>141.6</v>
      </c>
      <c r="L3637" s="12">
        <v>504.3</v>
      </c>
      <c r="M3637" s="12">
        <v>0</v>
      </c>
      <c r="N3637" s="12">
        <v>0</v>
      </c>
      <c r="O3637" s="12">
        <v>0</v>
      </c>
      <c r="P3637" s="12">
        <v>504.3</v>
      </c>
      <c r="Q3637" s="12">
        <v>645.9</v>
      </c>
    </row>
    <row r="3638" spans="1:17" x14ac:dyDescent="0.3">
      <c r="A3638" s="12" t="s">
        <v>96</v>
      </c>
      <c r="B3638" s="12" t="s">
        <v>167</v>
      </c>
      <c r="C3638" s="12" t="s">
        <v>123</v>
      </c>
      <c r="D3638" s="12" t="s">
        <v>110</v>
      </c>
      <c r="E3638" s="12" t="s">
        <v>32</v>
      </c>
      <c r="F3638" s="12">
        <v>0</v>
      </c>
      <c r="G3638" s="12">
        <v>1457.7384995699999</v>
      </c>
      <c r="H3638" s="12">
        <v>-131.65350000000001</v>
      </c>
      <c r="I3638" s="12">
        <v>0</v>
      </c>
      <c r="J3638" s="12">
        <v>0</v>
      </c>
      <c r="K3638" s="12">
        <v>1326.08499957</v>
      </c>
      <c r="L3638" s="12">
        <v>485.1</v>
      </c>
      <c r="M3638" s="12">
        <v>0</v>
      </c>
      <c r="N3638" s="12">
        <v>0</v>
      </c>
      <c r="O3638" s="12">
        <v>0</v>
      </c>
      <c r="P3638" s="12">
        <v>485.1</v>
      </c>
      <c r="Q3638" s="12">
        <v>1811.1849995699999</v>
      </c>
    </row>
    <row r="3639" spans="1:17" x14ac:dyDescent="0.3">
      <c r="A3639" s="12" t="s">
        <v>96</v>
      </c>
      <c r="B3639" s="12" t="s">
        <v>167</v>
      </c>
      <c r="C3639" s="12" t="s">
        <v>123</v>
      </c>
      <c r="D3639" s="12" t="s">
        <v>110</v>
      </c>
      <c r="E3639" s="12" t="s">
        <v>33</v>
      </c>
      <c r="F3639" s="12">
        <v>0</v>
      </c>
      <c r="G3639" s="12">
        <v>344.95</v>
      </c>
      <c r="H3639" s="12">
        <v>0</v>
      </c>
      <c r="I3639" s="12">
        <v>0</v>
      </c>
      <c r="J3639" s="12">
        <v>0</v>
      </c>
      <c r="K3639" s="12">
        <v>344.95</v>
      </c>
      <c r="L3639" s="12">
        <v>0</v>
      </c>
      <c r="M3639" s="12">
        <v>0</v>
      </c>
      <c r="N3639" s="12">
        <v>0</v>
      </c>
      <c r="O3639" s="12">
        <v>0</v>
      </c>
      <c r="P3639" s="12">
        <v>0</v>
      </c>
      <c r="Q3639" s="12">
        <v>344.95</v>
      </c>
    </row>
    <row r="3640" spans="1:17" x14ac:dyDescent="0.3">
      <c r="A3640" s="12" t="s">
        <v>96</v>
      </c>
      <c r="B3640" s="12" t="s">
        <v>167</v>
      </c>
      <c r="C3640" s="12" t="s">
        <v>123</v>
      </c>
      <c r="D3640" s="12" t="s">
        <v>110</v>
      </c>
      <c r="E3640" s="12" t="s">
        <v>60</v>
      </c>
      <c r="F3640" s="12">
        <v>0</v>
      </c>
      <c r="G3640" s="12">
        <v>0</v>
      </c>
      <c r="H3640" s="12">
        <v>-351.3</v>
      </c>
      <c r="I3640" s="12">
        <v>0</v>
      </c>
      <c r="J3640" s="12">
        <v>0</v>
      </c>
      <c r="K3640" s="12">
        <v>-351.3</v>
      </c>
      <c r="L3640" s="12">
        <v>0</v>
      </c>
      <c r="M3640" s="12">
        <v>0</v>
      </c>
      <c r="N3640" s="12">
        <v>0</v>
      </c>
      <c r="O3640" s="12">
        <v>0</v>
      </c>
      <c r="P3640" s="12">
        <v>0</v>
      </c>
      <c r="Q3640" s="12">
        <v>-351.3</v>
      </c>
    </row>
    <row r="3641" spans="1:17" x14ac:dyDescent="0.3">
      <c r="A3641" s="12" t="s">
        <v>96</v>
      </c>
      <c r="B3641" s="12" t="s">
        <v>167</v>
      </c>
      <c r="C3641" s="12" t="s">
        <v>123</v>
      </c>
      <c r="D3641" s="12" t="s">
        <v>110</v>
      </c>
      <c r="E3641" s="12" t="s">
        <v>40</v>
      </c>
      <c r="F3641" s="12">
        <v>0</v>
      </c>
      <c r="G3641" s="12">
        <v>0</v>
      </c>
      <c r="H3641" s="12">
        <v>-170.6</v>
      </c>
      <c r="I3641" s="12">
        <v>0</v>
      </c>
      <c r="J3641" s="12">
        <v>0</v>
      </c>
      <c r="K3641" s="12">
        <v>-170.6</v>
      </c>
      <c r="L3641" s="12">
        <v>0</v>
      </c>
      <c r="M3641" s="12">
        <v>0</v>
      </c>
      <c r="N3641" s="12">
        <v>0</v>
      </c>
      <c r="O3641" s="12">
        <v>0</v>
      </c>
      <c r="P3641" s="12">
        <v>0</v>
      </c>
      <c r="Q3641" s="12">
        <v>-170.6</v>
      </c>
    </row>
    <row r="3642" spans="1:17" x14ac:dyDescent="0.3">
      <c r="A3642" s="12" t="s">
        <v>96</v>
      </c>
      <c r="B3642" s="12" t="s">
        <v>167</v>
      </c>
      <c r="C3642" s="12" t="s">
        <v>123</v>
      </c>
      <c r="D3642" s="12" t="s">
        <v>110</v>
      </c>
      <c r="E3642" s="12" t="s">
        <v>34</v>
      </c>
      <c r="F3642" s="12">
        <v>0</v>
      </c>
      <c r="G3642" s="12">
        <v>30.335882349999999</v>
      </c>
      <c r="H3642" s="12">
        <v>-23.085882349999999</v>
      </c>
      <c r="I3642" s="12">
        <v>0</v>
      </c>
      <c r="J3642" s="12">
        <v>0</v>
      </c>
      <c r="K3642" s="12">
        <v>7.25</v>
      </c>
      <c r="L3642" s="12">
        <v>0</v>
      </c>
      <c r="M3642" s="12">
        <v>0</v>
      </c>
      <c r="N3642" s="12">
        <v>0</v>
      </c>
      <c r="O3642" s="12">
        <v>0</v>
      </c>
      <c r="P3642" s="12">
        <v>0</v>
      </c>
      <c r="Q3642" s="12">
        <v>7.25</v>
      </c>
    </row>
    <row r="3643" spans="1:17" x14ac:dyDescent="0.3">
      <c r="A3643" s="12" t="s">
        <v>96</v>
      </c>
      <c r="B3643" s="12" t="s">
        <v>167</v>
      </c>
      <c r="C3643" s="12" t="s">
        <v>123</v>
      </c>
      <c r="D3643" s="12" t="s">
        <v>110</v>
      </c>
      <c r="E3643" s="12" t="s">
        <v>61</v>
      </c>
      <c r="F3643" s="12">
        <v>0</v>
      </c>
      <c r="G3643" s="12">
        <v>0</v>
      </c>
      <c r="H3643" s="12">
        <v>0</v>
      </c>
      <c r="I3643" s="12">
        <v>0</v>
      </c>
      <c r="J3643" s="12">
        <v>0</v>
      </c>
      <c r="K3643" s="12">
        <v>0</v>
      </c>
      <c r="L3643" s="12">
        <v>0</v>
      </c>
      <c r="M3643" s="12">
        <v>-310</v>
      </c>
      <c r="N3643" s="12">
        <v>0</v>
      </c>
      <c r="O3643" s="12">
        <v>0</v>
      </c>
      <c r="P3643" s="12">
        <v>-310</v>
      </c>
      <c r="Q3643" s="12">
        <v>-310</v>
      </c>
    </row>
    <row r="3644" spans="1:17" x14ac:dyDescent="0.3">
      <c r="A3644" s="12" t="s">
        <v>96</v>
      </c>
      <c r="B3644" s="12" t="s">
        <v>167</v>
      </c>
      <c r="C3644" s="12" t="s">
        <v>123</v>
      </c>
      <c r="D3644" s="12" t="s">
        <v>110</v>
      </c>
      <c r="E3644" s="12" t="s">
        <v>62</v>
      </c>
      <c r="F3644" s="12">
        <v>0</v>
      </c>
      <c r="G3644" s="12">
        <v>0</v>
      </c>
      <c r="H3644" s="12">
        <v>0</v>
      </c>
      <c r="I3644" s="12">
        <v>0</v>
      </c>
      <c r="J3644" s="12">
        <v>0</v>
      </c>
      <c r="K3644" s="12">
        <v>0</v>
      </c>
      <c r="L3644" s="12">
        <v>853.13</v>
      </c>
      <c r="M3644" s="12">
        <v>0</v>
      </c>
      <c r="N3644" s="12">
        <v>0</v>
      </c>
      <c r="O3644" s="12">
        <v>0</v>
      </c>
      <c r="P3644" s="12">
        <v>853.13</v>
      </c>
      <c r="Q3644" s="12">
        <v>853.13</v>
      </c>
    </row>
    <row r="3645" spans="1:17" x14ac:dyDescent="0.3">
      <c r="A3645" s="12" t="s">
        <v>96</v>
      </c>
      <c r="B3645" s="12" t="s">
        <v>167</v>
      </c>
      <c r="C3645" s="12" t="s">
        <v>123</v>
      </c>
      <c r="D3645" s="12" t="s">
        <v>110</v>
      </c>
      <c r="E3645" s="12" t="s">
        <v>41</v>
      </c>
      <c r="F3645" s="12">
        <v>0</v>
      </c>
      <c r="G3645" s="12">
        <v>1463.2850000000001</v>
      </c>
      <c r="H3645" s="12">
        <v>0</v>
      </c>
      <c r="I3645" s="12">
        <v>0</v>
      </c>
      <c r="J3645" s="12">
        <v>0</v>
      </c>
      <c r="K3645" s="12">
        <v>1463.2850000000001</v>
      </c>
      <c r="L3645" s="12">
        <v>4786.5950000000003</v>
      </c>
      <c r="M3645" s="12">
        <v>0</v>
      </c>
      <c r="N3645" s="12">
        <v>0</v>
      </c>
      <c r="O3645" s="12">
        <v>0</v>
      </c>
      <c r="P3645" s="12">
        <v>4786.5950000000003</v>
      </c>
      <c r="Q3645" s="12">
        <v>6249.88</v>
      </c>
    </row>
    <row r="3646" spans="1:17" x14ac:dyDescent="0.3">
      <c r="A3646" s="12" t="s">
        <v>96</v>
      </c>
      <c r="B3646" s="12" t="s">
        <v>167</v>
      </c>
      <c r="C3646" s="12" t="s">
        <v>123</v>
      </c>
      <c r="D3646" s="12" t="s">
        <v>110</v>
      </c>
      <c r="E3646" s="12" t="s">
        <v>79</v>
      </c>
      <c r="F3646" s="12">
        <v>0</v>
      </c>
      <c r="G3646" s="12">
        <v>0</v>
      </c>
      <c r="H3646" s="12">
        <v>0</v>
      </c>
      <c r="I3646" s="12">
        <v>0</v>
      </c>
      <c r="J3646" s="12">
        <v>0</v>
      </c>
      <c r="K3646" s="12">
        <v>0</v>
      </c>
      <c r="L3646" s="12">
        <v>832</v>
      </c>
      <c r="M3646" s="12">
        <v>0</v>
      </c>
      <c r="N3646" s="12">
        <v>0</v>
      </c>
      <c r="O3646" s="12">
        <v>0</v>
      </c>
      <c r="P3646" s="12">
        <v>832</v>
      </c>
      <c r="Q3646" s="12">
        <v>832</v>
      </c>
    </row>
    <row r="3647" spans="1:17" x14ac:dyDescent="0.3">
      <c r="A3647" s="12" t="s">
        <v>96</v>
      </c>
      <c r="B3647" s="12" t="s">
        <v>167</v>
      </c>
      <c r="C3647" s="12" t="s">
        <v>123</v>
      </c>
      <c r="D3647" s="12" t="s">
        <v>110</v>
      </c>
      <c r="E3647" s="12" t="s">
        <v>42</v>
      </c>
      <c r="F3647" s="12">
        <v>0</v>
      </c>
      <c r="G3647" s="12">
        <v>0</v>
      </c>
      <c r="H3647" s="12">
        <v>0</v>
      </c>
      <c r="I3647" s="12">
        <v>0</v>
      </c>
      <c r="J3647" s="12">
        <v>0</v>
      </c>
      <c r="K3647" s="12">
        <v>0</v>
      </c>
      <c r="L3647" s="12">
        <v>3062.6</v>
      </c>
      <c r="M3647" s="12">
        <v>0</v>
      </c>
      <c r="N3647" s="12">
        <v>0</v>
      </c>
      <c r="O3647" s="12">
        <v>0</v>
      </c>
      <c r="P3647" s="12">
        <v>3062.6</v>
      </c>
      <c r="Q3647" s="12">
        <v>3062.6</v>
      </c>
    </row>
    <row r="3648" spans="1:17" x14ac:dyDescent="0.3">
      <c r="A3648" s="12" t="s">
        <v>96</v>
      </c>
      <c r="B3648" s="12" t="s">
        <v>167</v>
      </c>
      <c r="C3648" s="12" t="s">
        <v>123</v>
      </c>
      <c r="D3648" s="12" t="s">
        <v>110</v>
      </c>
      <c r="E3648" s="12" t="s">
        <v>43</v>
      </c>
      <c r="F3648" s="12">
        <v>0</v>
      </c>
      <c r="G3648" s="12">
        <v>0</v>
      </c>
      <c r="H3648" s="12">
        <v>0</v>
      </c>
      <c r="I3648" s="12">
        <v>0</v>
      </c>
      <c r="J3648" s="12">
        <v>0</v>
      </c>
      <c r="K3648" s="12">
        <v>0</v>
      </c>
      <c r="L3648" s="12">
        <v>2457.9</v>
      </c>
      <c r="M3648" s="12">
        <v>0</v>
      </c>
      <c r="N3648" s="12">
        <v>0</v>
      </c>
      <c r="O3648" s="12">
        <v>0</v>
      </c>
      <c r="P3648" s="12">
        <v>2457.9</v>
      </c>
      <c r="Q3648" s="12">
        <v>2457.9</v>
      </c>
    </row>
    <row r="3649" spans="1:17" x14ac:dyDescent="0.3">
      <c r="A3649" s="12" t="s">
        <v>96</v>
      </c>
      <c r="B3649" s="12" t="s">
        <v>167</v>
      </c>
      <c r="C3649" s="12" t="s">
        <v>123</v>
      </c>
      <c r="D3649" s="12" t="s">
        <v>110</v>
      </c>
      <c r="E3649" s="12" t="s">
        <v>44</v>
      </c>
      <c r="F3649" s="12">
        <v>0</v>
      </c>
      <c r="G3649" s="12">
        <v>0</v>
      </c>
      <c r="H3649" s="12">
        <v>0</v>
      </c>
      <c r="I3649" s="12">
        <v>0</v>
      </c>
      <c r="J3649" s="12">
        <v>0</v>
      </c>
      <c r="K3649" s="12">
        <v>0</v>
      </c>
      <c r="L3649" s="12">
        <v>842.35</v>
      </c>
      <c r="M3649" s="12">
        <v>0</v>
      </c>
      <c r="N3649" s="12">
        <v>0</v>
      </c>
      <c r="O3649" s="12">
        <v>0</v>
      </c>
      <c r="P3649" s="12">
        <v>842.35</v>
      </c>
      <c r="Q3649" s="12">
        <v>842.35</v>
      </c>
    </row>
    <row r="3650" spans="1:17" x14ac:dyDescent="0.3">
      <c r="A3650" s="12" t="s">
        <v>96</v>
      </c>
      <c r="B3650" s="12" t="s">
        <v>167</v>
      </c>
      <c r="C3650" s="12" t="s">
        <v>123</v>
      </c>
      <c r="D3650" s="12" t="s">
        <v>110</v>
      </c>
      <c r="E3650" s="12" t="s">
        <v>84</v>
      </c>
      <c r="F3650" s="12">
        <v>0</v>
      </c>
      <c r="G3650" s="12">
        <v>0</v>
      </c>
      <c r="H3650" s="12">
        <v>0</v>
      </c>
      <c r="I3650" s="12">
        <v>0</v>
      </c>
      <c r="J3650" s="12">
        <v>0</v>
      </c>
      <c r="K3650" s="12">
        <v>0</v>
      </c>
      <c r="L3650" s="12">
        <v>144.9</v>
      </c>
      <c r="M3650" s="12">
        <v>0</v>
      </c>
      <c r="N3650" s="12">
        <v>0</v>
      </c>
      <c r="O3650" s="12">
        <v>0</v>
      </c>
      <c r="P3650" s="12">
        <v>144.9</v>
      </c>
      <c r="Q3650" s="12">
        <v>144.9</v>
      </c>
    </row>
    <row r="3651" spans="1:17" x14ac:dyDescent="0.3">
      <c r="A3651" s="12" t="s">
        <v>96</v>
      </c>
      <c r="B3651" s="12" t="s">
        <v>167</v>
      </c>
      <c r="C3651" s="12" t="s">
        <v>123</v>
      </c>
      <c r="D3651" s="12" t="s">
        <v>110</v>
      </c>
      <c r="E3651" s="12" t="s">
        <v>35</v>
      </c>
      <c r="F3651" s="12">
        <v>0</v>
      </c>
      <c r="G3651" s="12">
        <v>1476.4</v>
      </c>
      <c r="H3651" s="12">
        <v>-556.55999999999995</v>
      </c>
      <c r="I3651" s="12">
        <v>0</v>
      </c>
      <c r="J3651" s="12">
        <v>0</v>
      </c>
      <c r="K3651" s="12">
        <v>919.84</v>
      </c>
      <c r="L3651" s="12">
        <v>0</v>
      </c>
      <c r="M3651" s="12">
        <v>0</v>
      </c>
      <c r="N3651" s="12">
        <v>0</v>
      </c>
      <c r="O3651" s="12">
        <v>0</v>
      </c>
      <c r="P3651" s="12">
        <v>0</v>
      </c>
      <c r="Q3651" s="12">
        <v>919.84</v>
      </c>
    </row>
    <row r="3652" spans="1:17" x14ac:dyDescent="0.3">
      <c r="A3652" s="12" t="s">
        <v>96</v>
      </c>
      <c r="B3652" s="12" t="s">
        <v>167</v>
      </c>
      <c r="C3652" s="12" t="s">
        <v>123</v>
      </c>
      <c r="D3652" s="12" t="s">
        <v>97</v>
      </c>
      <c r="F3652" s="12">
        <v>0</v>
      </c>
      <c r="G3652" s="12">
        <v>36708.691874969998</v>
      </c>
      <c r="H3652" s="12">
        <v>-13811.71796726</v>
      </c>
      <c r="I3652" s="12">
        <v>0</v>
      </c>
      <c r="J3652" s="12">
        <v>0</v>
      </c>
      <c r="K3652" s="12">
        <v>22896.973907709998</v>
      </c>
      <c r="L3652" s="12">
        <v>36905.680073000003</v>
      </c>
      <c r="M3652" s="12">
        <v>-8162.3828569999996</v>
      </c>
      <c r="N3652" s="12">
        <v>0</v>
      </c>
      <c r="O3652" s="12">
        <v>0</v>
      </c>
      <c r="P3652" s="12">
        <v>28743.297215999999</v>
      </c>
      <c r="Q3652" s="12">
        <v>51640.271123710001</v>
      </c>
    </row>
    <row r="3653" spans="1:17" x14ac:dyDescent="0.3">
      <c r="A3653" s="12" t="s">
        <v>96</v>
      </c>
      <c r="B3653" s="12" t="s">
        <v>167</v>
      </c>
      <c r="C3653" s="12" t="s">
        <v>123</v>
      </c>
      <c r="D3653" s="12" t="s">
        <v>112</v>
      </c>
      <c r="E3653" s="12" t="s">
        <v>36</v>
      </c>
      <c r="F3653" s="12">
        <v>0</v>
      </c>
      <c r="G3653" s="12">
        <v>89</v>
      </c>
      <c r="H3653" s="12">
        <v>-13473</v>
      </c>
      <c r="I3653" s="12">
        <v>0</v>
      </c>
      <c r="J3653" s="12">
        <v>0</v>
      </c>
      <c r="K3653" s="12">
        <v>-13384</v>
      </c>
      <c r="L3653" s="12">
        <v>0</v>
      </c>
      <c r="M3653" s="12">
        <v>0</v>
      </c>
      <c r="N3653" s="12">
        <v>0</v>
      </c>
      <c r="O3653" s="12">
        <v>0</v>
      </c>
      <c r="P3653" s="12">
        <v>0</v>
      </c>
      <c r="Q3653" s="12">
        <v>-13384</v>
      </c>
    </row>
    <row r="3654" spans="1:17" x14ac:dyDescent="0.3">
      <c r="A3654" s="12" t="s">
        <v>96</v>
      </c>
      <c r="B3654" s="12" t="s">
        <v>167</v>
      </c>
      <c r="C3654" s="12" t="s">
        <v>123</v>
      </c>
      <c r="D3654" s="12" t="s">
        <v>112</v>
      </c>
      <c r="E3654" s="12" t="s">
        <v>52</v>
      </c>
      <c r="F3654" s="12">
        <v>0</v>
      </c>
      <c r="G3654" s="12">
        <v>414</v>
      </c>
      <c r="H3654" s="12">
        <v>-19267.25</v>
      </c>
      <c r="I3654" s="12">
        <v>0</v>
      </c>
      <c r="J3654" s="12">
        <v>0</v>
      </c>
      <c r="K3654" s="12">
        <v>-18853.25</v>
      </c>
      <c r="L3654" s="12">
        <v>0</v>
      </c>
      <c r="M3654" s="12">
        <v>0</v>
      </c>
      <c r="N3654" s="12">
        <v>0</v>
      </c>
      <c r="O3654" s="12">
        <v>0</v>
      </c>
      <c r="P3654" s="12">
        <v>0</v>
      </c>
      <c r="Q3654" s="12">
        <v>-18853.25</v>
      </c>
    </row>
    <row r="3655" spans="1:17" x14ac:dyDescent="0.3">
      <c r="A3655" s="12" t="s">
        <v>96</v>
      </c>
      <c r="B3655" s="12" t="s">
        <v>167</v>
      </c>
      <c r="C3655" s="12" t="s">
        <v>123</v>
      </c>
      <c r="D3655" s="12" t="s">
        <v>112</v>
      </c>
      <c r="E3655" s="12" t="s">
        <v>80</v>
      </c>
      <c r="F3655" s="12">
        <v>0</v>
      </c>
      <c r="G3655" s="12">
        <v>3648.75</v>
      </c>
      <c r="H3655" s="12">
        <v>-1081.25</v>
      </c>
      <c r="I3655" s="12">
        <v>0</v>
      </c>
      <c r="J3655" s="12">
        <v>0</v>
      </c>
      <c r="K3655" s="12">
        <v>2567.5</v>
      </c>
      <c r="L3655" s="12">
        <v>0</v>
      </c>
      <c r="M3655" s="12">
        <v>-4005</v>
      </c>
      <c r="N3655" s="12">
        <v>0</v>
      </c>
      <c r="O3655" s="12">
        <v>0</v>
      </c>
      <c r="P3655" s="12">
        <v>-4005</v>
      </c>
      <c r="Q3655" s="12">
        <v>-1437.5</v>
      </c>
    </row>
    <row r="3656" spans="1:17" x14ac:dyDescent="0.3">
      <c r="A3656" s="12" t="s">
        <v>96</v>
      </c>
      <c r="B3656" s="12" t="s">
        <v>167</v>
      </c>
      <c r="C3656" s="12" t="s">
        <v>123</v>
      </c>
      <c r="D3656" s="12" t="s">
        <v>112</v>
      </c>
      <c r="E3656" s="12" t="s">
        <v>53</v>
      </c>
      <c r="F3656" s="12">
        <v>0</v>
      </c>
      <c r="G3656" s="12">
        <v>0</v>
      </c>
      <c r="H3656" s="12">
        <v>-9494</v>
      </c>
      <c r="I3656" s="12">
        <v>0</v>
      </c>
      <c r="J3656" s="12">
        <v>0</v>
      </c>
      <c r="K3656" s="12">
        <v>-9494</v>
      </c>
      <c r="L3656" s="12">
        <v>0</v>
      </c>
      <c r="M3656" s="12">
        <v>0</v>
      </c>
      <c r="N3656" s="12">
        <v>0</v>
      </c>
      <c r="O3656" s="12">
        <v>0</v>
      </c>
      <c r="P3656" s="12">
        <v>0</v>
      </c>
      <c r="Q3656" s="12">
        <v>-9494</v>
      </c>
    </row>
    <row r="3657" spans="1:17" x14ac:dyDescent="0.3">
      <c r="A3657" s="12" t="s">
        <v>96</v>
      </c>
      <c r="B3657" s="12" t="s">
        <v>167</v>
      </c>
      <c r="C3657" s="12" t="s">
        <v>123</v>
      </c>
      <c r="D3657" s="12" t="s">
        <v>112</v>
      </c>
      <c r="E3657" s="12" t="s">
        <v>81</v>
      </c>
      <c r="F3657" s="12">
        <v>0</v>
      </c>
      <c r="G3657" s="12">
        <v>12417.5</v>
      </c>
      <c r="H3657" s="12">
        <v>-12288</v>
      </c>
      <c r="I3657" s="12">
        <v>0</v>
      </c>
      <c r="J3657" s="12">
        <v>0</v>
      </c>
      <c r="K3657" s="12">
        <v>129.5</v>
      </c>
      <c r="L3657" s="12">
        <v>0</v>
      </c>
      <c r="M3657" s="12">
        <v>-2163.5</v>
      </c>
      <c r="N3657" s="12">
        <v>0</v>
      </c>
      <c r="O3657" s="12">
        <v>0</v>
      </c>
      <c r="P3657" s="12">
        <v>-2163.5</v>
      </c>
      <c r="Q3657" s="12">
        <v>-2034</v>
      </c>
    </row>
    <row r="3658" spans="1:17" x14ac:dyDescent="0.3">
      <c r="A3658" s="12" t="s">
        <v>96</v>
      </c>
      <c r="B3658" s="12" t="s">
        <v>167</v>
      </c>
      <c r="C3658" s="12" t="s">
        <v>123</v>
      </c>
      <c r="D3658" s="12" t="s">
        <v>97</v>
      </c>
      <c r="F3658" s="12">
        <v>0</v>
      </c>
      <c r="G3658" s="12">
        <v>16569.25</v>
      </c>
      <c r="H3658" s="12">
        <v>-55603.5</v>
      </c>
      <c r="I3658" s="12">
        <v>0</v>
      </c>
      <c r="J3658" s="12">
        <v>0</v>
      </c>
      <c r="K3658" s="12">
        <v>-39034.25</v>
      </c>
      <c r="L3658" s="12">
        <v>0</v>
      </c>
      <c r="M3658" s="12">
        <v>-6168.5</v>
      </c>
      <c r="N3658" s="12">
        <v>0</v>
      </c>
      <c r="O3658" s="12">
        <v>0</v>
      </c>
      <c r="P3658" s="12">
        <v>-6168.5</v>
      </c>
      <c r="Q3658" s="12">
        <v>-45202.75</v>
      </c>
    </row>
    <row r="3659" spans="1:17" x14ac:dyDescent="0.3">
      <c r="A3659" s="12" t="s">
        <v>96</v>
      </c>
      <c r="B3659" s="12" t="s">
        <v>167</v>
      </c>
      <c r="C3659" s="12" t="s">
        <v>123</v>
      </c>
      <c r="D3659" s="12" t="s">
        <v>115</v>
      </c>
      <c r="F3659" s="12">
        <v>0</v>
      </c>
      <c r="G3659" s="12">
        <v>53277.941874969998</v>
      </c>
      <c r="H3659" s="12">
        <v>-69415.217967260003</v>
      </c>
      <c r="I3659" s="12">
        <v>0</v>
      </c>
      <c r="J3659" s="12">
        <v>0</v>
      </c>
      <c r="K3659" s="12">
        <v>-16137.27609229</v>
      </c>
      <c r="L3659" s="12">
        <v>36905.680073000003</v>
      </c>
      <c r="M3659" s="12">
        <v>-14330.882857000001</v>
      </c>
      <c r="N3659" s="12">
        <v>0</v>
      </c>
      <c r="O3659" s="12">
        <v>0</v>
      </c>
      <c r="P3659" s="12">
        <v>22574.797215999999</v>
      </c>
      <c r="Q3659" s="12">
        <v>6437.5211237100002</v>
      </c>
    </row>
    <row r="3660" spans="1:17" x14ac:dyDescent="0.3">
      <c r="A3660" s="12" t="s">
        <v>96</v>
      </c>
      <c r="B3660" s="12" t="s">
        <v>179</v>
      </c>
      <c r="C3660" s="12" t="s">
        <v>120</v>
      </c>
      <c r="D3660" s="12" t="s">
        <v>180</v>
      </c>
      <c r="E3660" s="12" t="s">
        <v>181</v>
      </c>
      <c r="F3660" s="12" t="s">
        <v>97</v>
      </c>
      <c r="G3660" s="12" t="s">
        <v>182</v>
      </c>
      <c r="H3660" s="12" t="s">
        <v>112</v>
      </c>
    </row>
    <row r="3661" spans="1:17" x14ac:dyDescent="0.3">
      <c r="A3661" s="12" t="s">
        <v>96</v>
      </c>
      <c r="B3661" s="12" t="s">
        <v>179</v>
      </c>
      <c r="C3661" s="12" t="s">
        <v>123</v>
      </c>
      <c r="D3661" s="12" t="s">
        <v>183</v>
      </c>
      <c r="E3661" s="12" t="s">
        <v>184</v>
      </c>
      <c r="F3661" s="12">
        <v>250000</v>
      </c>
      <c r="G3661" s="12">
        <v>250000</v>
      </c>
      <c r="H3661" s="12">
        <v>0</v>
      </c>
    </row>
    <row r="3662" spans="1:17" x14ac:dyDescent="0.3">
      <c r="A3662" s="12" t="s">
        <v>96</v>
      </c>
      <c r="B3662" s="12" t="s">
        <v>179</v>
      </c>
      <c r="C3662" s="12" t="s">
        <v>123</v>
      </c>
      <c r="D3662" s="12" t="s">
        <v>162</v>
      </c>
      <c r="E3662" s="12" t="s">
        <v>184</v>
      </c>
      <c r="F3662" s="12">
        <v>-278.81700000000001</v>
      </c>
      <c r="G3662" s="12">
        <v>-194.81700000000001</v>
      </c>
      <c r="H3662" s="12">
        <v>-84</v>
      </c>
    </row>
    <row r="3663" spans="1:17" x14ac:dyDescent="0.3">
      <c r="A3663" s="12" t="s">
        <v>96</v>
      </c>
      <c r="B3663" s="12" t="s">
        <v>179</v>
      </c>
      <c r="C3663" s="12" t="s">
        <v>123</v>
      </c>
      <c r="D3663" s="12" t="s">
        <v>774</v>
      </c>
      <c r="E3663" s="12" t="s">
        <v>184</v>
      </c>
      <c r="F3663" s="12">
        <v>250000</v>
      </c>
      <c r="G3663" s="12">
        <v>250000</v>
      </c>
      <c r="H3663" s="12">
        <v>0</v>
      </c>
    </row>
    <row r="3664" spans="1:17" x14ac:dyDescent="0.3">
      <c r="A3664" s="12" t="s">
        <v>96</v>
      </c>
      <c r="B3664" s="12" t="s">
        <v>179</v>
      </c>
      <c r="C3664" s="12" t="s">
        <v>123</v>
      </c>
      <c r="D3664" s="12" t="s">
        <v>185</v>
      </c>
      <c r="E3664" s="12" t="s">
        <v>184</v>
      </c>
      <c r="F3664" s="12">
        <v>0</v>
      </c>
      <c r="G3664" s="12">
        <v>-75762.81</v>
      </c>
      <c r="H3664" s="12">
        <v>75762.81</v>
      </c>
    </row>
    <row r="3665" spans="1:15" x14ac:dyDescent="0.3">
      <c r="A3665" s="12" t="s">
        <v>96</v>
      </c>
      <c r="B3665" s="12" t="s">
        <v>179</v>
      </c>
      <c r="C3665" s="12" t="s">
        <v>123</v>
      </c>
      <c r="D3665" s="12" t="s">
        <v>157</v>
      </c>
      <c r="E3665" s="12" t="s">
        <v>184</v>
      </c>
      <c r="F3665" s="12">
        <v>2144.12</v>
      </c>
      <c r="G3665" s="12">
        <v>2144.12</v>
      </c>
      <c r="H3665" s="12">
        <v>0</v>
      </c>
    </row>
    <row r="3666" spans="1:15" x14ac:dyDescent="0.3">
      <c r="A3666" s="12" t="s">
        <v>96</v>
      </c>
      <c r="B3666" s="12" t="s">
        <v>179</v>
      </c>
      <c r="C3666" s="12" t="s">
        <v>123</v>
      </c>
      <c r="D3666" s="12" t="s">
        <v>116</v>
      </c>
      <c r="E3666" s="12" t="s">
        <v>184</v>
      </c>
      <c r="F3666" s="12">
        <v>1054.8499999999999</v>
      </c>
      <c r="G3666" s="12">
        <v>1054.8499999999999</v>
      </c>
      <c r="H3666" s="12">
        <v>0</v>
      </c>
    </row>
    <row r="3667" spans="1:15" x14ac:dyDescent="0.3">
      <c r="A3667" s="12" t="s">
        <v>96</v>
      </c>
      <c r="B3667" s="12" t="s">
        <v>179</v>
      </c>
      <c r="C3667" s="12" t="s">
        <v>123</v>
      </c>
      <c r="D3667" s="12" t="s">
        <v>186</v>
      </c>
      <c r="E3667" s="12" t="s">
        <v>184</v>
      </c>
      <c r="F3667" s="12">
        <v>-45118.75</v>
      </c>
      <c r="G3667" s="12">
        <v>0</v>
      </c>
      <c r="H3667" s="12">
        <v>-45118.75</v>
      </c>
    </row>
    <row r="3668" spans="1:15" x14ac:dyDescent="0.3">
      <c r="A3668" s="12" t="s">
        <v>96</v>
      </c>
      <c r="B3668" s="12" t="s">
        <v>179</v>
      </c>
      <c r="C3668" s="12" t="s">
        <v>123</v>
      </c>
      <c r="D3668" s="12" t="s">
        <v>187</v>
      </c>
      <c r="E3668" s="12" t="s">
        <v>184</v>
      </c>
      <c r="F3668" s="12">
        <v>708836.18312499998</v>
      </c>
      <c r="G3668" s="12">
        <v>708836.18312499998</v>
      </c>
      <c r="H3668" s="12">
        <v>0</v>
      </c>
    </row>
    <row r="3669" spans="1:15" x14ac:dyDescent="0.3">
      <c r="A3669" s="12" t="s">
        <v>96</v>
      </c>
      <c r="B3669" s="12" t="s">
        <v>179</v>
      </c>
      <c r="C3669" s="12" t="s">
        <v>123</v>
      </c>
      <c r="D3669" s="12" t="s">
        <v>188</v>
      </c>
      <c r="E3669" s="12" t="s">
        <v>184</v>
      </c>
      <c r="F3669" s="12">
        <v>-1196558.0149999999</v>
      </c>
      <c r="G3669" s="12">
        <v>-1196558.0149999999</v>
      </c>
      <c r="H3669" s="12">
        <v>0</v>
      </c>
    </row>
    <row r="3670" spans="1:15" x14ac:dyDescent="0.3">
      <c r="A3670" s="12" t="s">
        <v>96</v>
      </c>
      <c r="B3670" s="12" t="s">
        <v>179</v>
      </c>
      <c r="C3670" s="12" t="s">
        <v>123</v>
      </c>
      <c r="D3670" s="12" t="s">
        <v>118</v>
      </c>
      <c r="E3670" s="12" t="s">
        <v>184</v>
      </c>
      <c r="F3670" s="12">
        <v>-9.66</v>
      </c>
      <c r="G3670" s="12">
        <v>-9.66</v>
      </c>
      <c r="H3670" s="12">
        <v>0</v>
      </c>
    </row>
    <row r="3671" spans="1:15" x14ac:dyDescent="0.3">
      <c r="A3671" s="12" t="s">
        <v>96</v>
      </c>
      <c r="B3671" s="12" t="s">
        <v>179</v>
      </c>
      <c r="C3671" s="12" t="s">
        <v>123</v>
      </c>
      <c r="D3671" s="12" t="s">
        <v>158</v>
      </c>
      <c r="E3671" s="12" t="s">
        <v>184</v>
      </c>
      <c r="F3671" s="12">
        <v>-536.15</v>
      </c>
      <c r="G3671" s="12">
        <v>-536.15</v>
      </c>
      <c r="H3671" s="12">
        <v>0</v>
      </c>
    </row>
    <row r="3672" spans="1:15" x14ac:dyDescent="0.3">
      <c r="A3672" s="12" t="s">
        <v>96</v>
      </c>
      <c r="B3672" s="12" t="s">
        <v>179</v>
      </c>
      <c r="C3672" s="12" t="s">
        <v>123</v>
      </c>
      <c r="D3672" s="12" t="s">
        <v>189</v>
      </c>
      <c r="E3672" s="12" t="s">
        <v>184</v>
      </c>
      <c r="F3672" s="12">
        <v>-30466.238874999999</v>
      </c>
      <c r="G3672" s="12">
        <v>-61026.298875</v>
      </c>
      <c r="H3672" s="12">
        <v>30560.06</v>
      </c>
    </row>
    <row r="3673" spans="1:15" x14ac:dyDescent="0.3">
      <c r="A3673" s="12" t="s">
        <v>96</v>
      </c>
      <c r="B3673" s="12" t="s">
        <v>179</v>
      </c>
      <c r="C3673" s="12" t="s">
        <v>123</v>
      </c>
      <c r="D3673" s="12" t="s">
        <v>190</v>
      </c>
      <c r="E3673" s="12" t="s">
        <v>184</v>
      </c>
      <c r="F3673" s="12">
        <v>20629.761125000001</v>
      </c>
      <c r="G3673" s="12">
        <v>-13959.298875</v>
      </c>
      <c r="H3673" s="12">
        <v>34589.06</v>
      </c>
    </row>
    <row r="3674" spans="1:15" x14ac:dyDescent="0.3">
      <c r="A3674" s="12" t="s">
        <v>96</v>
      </c>
      <c r="B3674" s="12" t="s">
        <v>191</v>
      </c>
      <c r="C3674" s="12" t="s">
        <v>120</v>
      </c>
      <c r="D3674" s="12" t="s">
        <v>192</v>
      </c>
      <c r="E3674" s="12" t="s">
        <v>100</v>
      </c>
      <c r="F3674" s="12" t="s">
        <v>181</v>
      </c>
      <c r="G3674" s="12" t="s">
        <v>0</v>
      </c>
      <c r="H3674" s="12" t="s">
        <v>193</v>
      </c>
      <c r="I3674" s="12" t="s">
        <v>194</v>
      </c>
      <c r="J3674" s="12" t="s">
        <v>195</v>
      </c>
      <c r="K3674" s="12" t="s">
        <v>196</v>
      </c>
      <c r="L3674" s="12" t="s">
        <v>197</v>
      </c>
      <c r="M3674" s="12" t="s">
        <v>198</v>
      </c>
      <c r="N3674" s="12" t="s">
        <v>199</v>
      </c>
      <c r="O3674" s="12" t="s">
        <v>165</v>
      </c>
    </row>
    <row r="3675" spans="1:15" x14ac:dyDescent="0.3">
      <c r="A3675" s="12" t="s">
        <v>96</v>
      </c>
      <c r="B3675" s="12" t="s">
        <v>191</v>
      </c>
      <c r="C3675" s="12" t="s">
        <v>123</v>
      </c>
      <c r="D3675" s="12" t="s">
        <v>200</v>
      </c>
      <c r="E3675" s="12" t="s">
        <v>110</v>
      </c>
      <c r="F3675" s="12" t="s">
        <v>114</v>
      </c>
      <c r="G3675" s="12" t="s">
        <v>2</v>
      </c>
      <c r="H3675" s="12">
        <v>72</v>
      </c>
      <c r="I3675" s="12">
        <v>1</v>
      </c>
      <c r="J3675" s="12">
        <v>183.47499999999999</v>
      </c>
      <c r="K3675" s="12">
        <v>13210.2</v>
      </c>
      <c r="L3675" s="12">
        <v>229</v>
      </c>
      <c r="M3675" s="12">
        <v>16488</v>
      </c>
      <c r="N3675" s="12">
        <v>3277.8</v>
      </c>
    </row>
    <row r="3676" spans="1:15" x14ac:dyDescent="0.3">
      <c r="A3676" s="12" t="s">
        <v>96</v>
      </c>
      <c r="B3676" s="12" t="s">
        <v>191</v>
      </c>
      <c r="C3676" s="12" t="s">
        <v>123</v>
      </c>
      <c r="D3676" s="12" t="s">
        <v>200</v>
      </c>
      <c r="E3676" s="12" t="s">
        <v>110</v>
      </c>
      <c r="F3676" s="12" t="s">
        <v>114</v>
      </c>
      <c r="G3676" s="12" t="s">
        <v>45</v>
      </c>
      <c r="H3676" s="12">
        <v>75</v>
      </c>
      <c r="I3676" s="12">
        <v>1</v>
      </c>
      <c r="J3676" s="12">
        <v>141.94</v>
      </c>
      <c r="K3676" s="12">
        <v>10645.5</v>
      </c>
      <c r="L3676" s="12">
        <v>148.56</v>
      </c>
      <c r="M3676" s="12">
        <v>11142</v>
      </c>
      <c r="N3676" s="12">
        <v>496.5</v>
      </c>
    </row>
    <row r="3677" spans="1:15" x14ac:dyDescent="0.3">
      <c r="A3677" s="12" t="s">
        <v>96</v>
      </c>
      <c r="B3677" s="12" t="s">
        <v>191</v>
      </c>
      <c r="C3677" s="12" t="s">
        <v>123</v>
      </c>
      <c r="D3677" s="12" t="s">
        <v>200</v>
      </c>
      <c r="E3677" s="12" t="s">
        <v>110</v>
      </c>
      <c r="F3677" s="12" t="s">
        <v>114</v>
      </c>
      <c r="G3677" s="12" t="s">
        <v>5</v>
      </c>
      <c r="H3677" s="12">
        <v>78</v>
      </c>
      <c r="I3677" s="12">
        <v>1</v>
      </c>
      <c r="J3677" s="12">
        <v>185.42</v>
      </c>
      <c r="K3677" s="12">
        <v>14462.76</v>
      </c>
      <c r="L3677" s="12">
        <v>178.5</v>
      </c>
      <c r="M3677" s="12">
        <v>13923</v>
      </c>
      <c r="N3677" s="12">
        <v>-539.76</v>
      </c>
    </row>
    <row r="3678" spans="1:15" x14ac:dyDescent="0.3">
      <c r="A3678" s="12" t="s">
        <v>96</v>
      </c>
      <c r="B3678" s="12" t="s">
        <v>191</v>
      </c>
      <c r="C3678" s="12" t="s">
        <v>123</v>
      </c>
      <c r="D3678" s="12" t="s">
        <v>200</v>
      </c>
      <c r="E3678" s="12" t="s">
        <v>110</v>
      </c>
      <c r="F3678" s="12" t="s">
        <v>114</v>
      </c>
      <c r="G3678" s="12" t="s">
        <v>65</v>
      </c>
      <c r="H3678" s="12">
        <v>70</v>
      </c>
      <c r="I3678" s="12">
        <v>1</v>
      </c>
      <c r="J3678" s="12">
        <v>65.165000000000006</v>
      </c>
      <c r="K3678" s="12">
        <v>4561.55</v>
      </c>
      <c r="L3678" s="12">
        <v>67.45</v>
      </c>
      <c r="M3678" s="12">
        <v>4721.5</v>
      </c>
      <c r="N3678" s="12">
        <v>159.94999999999999</v>
      </c>
    </row>
    <row r="3679" spans="1:15" x14ac:dyDescent="0.3">
      <c r="A3679" s="12" t="s">
        <v>96</v>
      </c>
      <c r="B3679" s="12" t="s">
        <v>191</v>
      </c>
      <c r="C3679" s="12" t="s">
        <v>123</v>
      </c>
      <c r="D3679" s="12" t="s">
        <v>200</v>
      </c>
      <c r="E3679" s="12" t="s">
        <v>110</v>
      </c>
      <c r="F3679" s="12" t="s">
        <v>114</v>
      </c>
      <c r="G3679" s="12" t="s">
        <v>58</v>
      </c>
      <c r="H3679" s="12">
        <v>70</v>
      </c>
      <c r="I3679" s="12">
        <v>1</v>
      </c>
      <c r="J3679" s="12">
        <v>118.94214285699999</v>
      </c>
      <c r="K3679" s="12">
        <v>8325.9500000000007</v>
      </c>
      <c r="L3679" s="12">
        <v>132.88</v>
      </c>
      <c r="M3679" s="12">
        <v>9301.6</v>
      </c>
      <c r="N3679" s="12">
        <v>975.65</v>
      </c>
    </row>
    <row r="3680" spans="1:15" x14ac:dyDescent="0.3">
      <c r="A3680" s="12" t="s">
        <v>96</v>
      </c>
      <c r="B3680" s="12" t="s">
        <v>191</v>
      </c>
      <c r="C3680" s="12" t="s">
        <v>123</v>
      </c>
      <c r="D3680" s="12" t="s">
        <v>200</v>
      </c>
      <c r="E3680" s="12" t="s">
        <v>110</v>
      </c>
      <c r="F3680" s="12" t="s">
        <v>114</v>
      </c>
      <c r="G3680" s="12" t="s">
        <v>7</v>
      </c>
      <c r="H3680" s="12">
        <v>70</v>
      </c>
      <c r="I3680" s="12">
        <v>1</v>
      </c>
      <c r="J3680" s="12">
        <v>155.59049999999999</v>
      </c>
      <c r="K3680" s="12">
        <v>10891.334999999999</v>
      </c>
      <c r="L3680" s="12">
        <v>162.82</v>
      </c>
      <c r="M3680" s="12">
        <v>11397.4</v>
      </c>
      <c r="N3680" s="12">
        <v>506.065</v>
      </c>
    </row>
    <row r="3681" spans="1:14" x14ac:dyDescent="0.3">
      <c r="A3681" s="12" t="s">
        <v>96</v>
      </c>
      <c r="B3681" s="12" t="s">
        <v>191</v>
      </c>
      <c r="C3681" s="12" t="s">
        <v>123</v>
      </c>
      <c r="D3681" s="12" t="s">
        <v>200</v>
      </c>
      <c r="E3681" s="12" t="s">
        <v>110</v>
      </c>
      <c r="F3681" s="12" t="s">
        <v>114</v>
      </c>
      <c r="G3681" s="12" t="s">
        <v>8</v>
      </c>
      <c r="H3681" s="12">
        <v>100</v>
      </c>
      <c r="I3681" s="12">
        <v>1</v>
      </c>
      <c r="J3681" s="12">
        <v>38.704999999999998</v>
      </c>
      <c r="K3681" s="12">
        <v>3870.5</v>
      </c>
      <c r="L3681" s="12">
        <v>40.75</v>
      </c>
      <c r="M3681" s="12">
        <v>4075</v>
      </c>
      <c r="N3681" s="12">
        <v>204.5</v>
      </c>
    </row>
    <row r="3682" spans="1:14" x14ac:dyDescent="0.3">
      <c r="A3682" s="12" t="s">
        <v>96</v>
      </c>
      <c r="B3682" s="12" t="s">
        <v>191</v>
      </c>
      <c r="C3682" s="12" t="s">
        <v>123</v>
      </c>
      <c r="D3682" s="12" t="s">
        <v>200</v>
      </c>
      <c r="E3682" s="12" t="s">
        <v>110</v>
      </c>
      <c r="F3682" s="12" t="s">
        <v>114</v>
      </c>
      <c r="G3682" s="12" t="s">
        <v>9</v>
      </c>
      <c r="H3682" s="12">
        <v>2</v>
      </c>
      <c r="I3682" s="12">
        <v>1</v>
      </c>
      <c r="J3682" s="12">
        <v>3781.84</v>
      </c>
      <c r="K3682" s="12">
        <v>7563.68</v>
      </c>
      <c r="L3682" s="12">
        <v>3909.23</v>
      </c>
      <c r="M3682" s="12">
        <v>7818.46</v>
      </c>
      <c r="N3682" s="12">
        <v>254.78</v>
      </c>
    </row>
    <row r="3683" spans="1:14" x14ac:dyDescent="0.3">
      <c r="A3683" s="12" t="s">
        <v>96</v>
      </c>
      <c r="B3683" s="12" t="s">
        <v>191</v>
      </c>
      <c r="C3683" s="12" t="s">
        <v>123</v>
      </c>
      <c r="D3683" s="12" t="s">
        <v>200</v>
      </c>
      <c r="E3683" s="12" t="s">
        <v>110</v>
      </c>
      <c r="F3683" s="12" t="s">
        <v>114</v>
      </c>
      <c r="G3683" s="12" t="s">
        <v>3</v>
      </c>
      <c r="H3683" s="12">
        <v>140</v>
      </c>
      <c r="I3683" s="12">
        <v>1</v>
      </c>
      <c r="J3683" s="12">
        <v>62.647831328999999</v>
      </c>
      <c r="K3683" s="12">
        <v>8770.6963859999996</v>
      </c>
      <c r="L3683" s="12">
        <v>62.64</v>
      </c>
      <c r="M3683" s="12">
        <v>8769.6</v>
      </c>
      <c r="N3683" s="12">
        <v>-1.0963860000000001</v>
      </c>
    </row>
    <row r="3684" spans="1:14" x14ac:dyDescent="0.3">
      <c r="A3684" s="12" t="s">
        <v>96</v>
      </c>
      <c r="B3684" s="12" t="s">
        <v>191</v>
      </c>
      <c r="C3684" s="12" t="s">
        <v>123</v>
      </c>
      <c r="D3684" s="12" t="s">
        <v>200</v>
      </c>
      <c r="E3684" s="12" t="s">
        <v>110</v>
      </c>
      <c r="F3684" s="12" t="s">
        <v>114</v>
      </c>
      <c r="G3684" s="12" t="s">
        <v>11</v>
      </c>
      <c r="H3684" s="12">
        <v>10</v>
      </c>
      <c r="I3684" s="12">
        <v>1</v>
      </c>
      <c r="J3684" s="12">
        <v>812.53</v>
      </c>
      <c r="K3684" s="12">
        <v>8125.3</v>
      </c>
      <c r="L3684" s="12">
        <v>892.38</v>
      </c>
      <c r="M3684" s="12">
        <v>8923.7999999999993</v>
      </c>
      <c r="N3684" s="12">
        <v>798.5</v>
      </c>
    </row>
    <row r="3685" spans="1:14" x14ac:dyDescent="0.3">
      <c r="A3685" s="12" t="s">
        <v>96</v>
      </c>
      <c r="B3685" s="12" t="s">
        <v>191</v>
      </c>
      <c r="C3685" s="12" t="s">
        <v>123</v>
      </c>
      <c r="D3685" s="12" t="s">
        <v>200</v>
      </c>
      <c r="E3685" s="12" t="s">
        <v>110</v>
      </c>
      <c r="F3685" s="12" t="s">
        <v>114</v>
      </c>
      <c r="G3685" s="12" t="s">
        <v>85</v>
      </c>
      <c r="H3685" s="12">
        <v>20</v>
      </c>
      <c r="I3685" s="12">
        <v>1</v>
      </c>
      <c r="J3685" s="12">
        <v>258.89999999999998</v>
      </c>
      <c r="K3685" s="12">
        <v>5178</v>
      </c>
      <c r="L3685" s="12">
        <v>252.9</v>
      </c>
      <c r="M3685" s="12">
        <v>5058</v>
      </c>
      <c r="N3685" s="12">
        <v>-120</v>
      </c>
    </row>
    <row r="3686" spans="1:14" x14ac:dyDescent="0.3">
      <c r="A3686" s="12" t="s">
        <v>96</v>
      </c>
      <c r="B3686" s="12" t="s">
        <v>191</v>
      </c>
      <c r="C3686" s="12" t="s">
        <v>123</v>
      </c>
      <c r="D3686" s="12" t="s">
        <v>200</v>
      </c>
      <c r="E3686" s="12" t="s">
        <v>110</v>
      </c>
      <c r="F3686" s="12" t="s">
        <v>114</v>
      </c>
      <c r="G3686" s="12" t="s">
        <v>18</v>
      </c>
      <c r="H3686" s="12">
        <v>30</v>
      </c>
      <c r="I3686" s="12">
        <v>1</v>
      </c>
      <c r="J3686" s="12">
        <v>275.63499999999999</v>
      </c>
      <c r="K3686" s="12">
        <v>8269.0499999999993</v>
      </c>
      <c r="L3686" s="12">
        <v>299.36</v>
      </c>
      <c r="M3686" s="12">
        <v>8980.7999999999993</v>
      </c>
      <c r="N3686" s="12">
        <v>711.75</v>
      </c>
    </row>
    <row r="3687" spans="1:14" x14ac:dyDescent="0.3">
      <c r="A3687" s="12" t="s">
        <v>96</v>
      </c>
      <c r="B3687" s="12" t="s">
        <v>191</v>
      </c>
      <c r="C3687" s="12" t="s">
        <v>123</v>
      </c>
      <c r="D3687" s="12" t="s">
        <v>200</v>
      </c>
      <c r="E3687" s="12" t="s">
        <v>110</v>
      </c>
      <c r="F3687" s="12" t="s">
        <v>114</v>
      </c>
      <c r="G3687" s="12" t="s">
        <v>48</v>
      </c>
      <c r="H3687" s="12">
        <v>65</v>
      </c>
      <c r="I3687" s="12">
        <v>1</v>
      </c>
      <c r="J3687" s="12">
        <v>162.353846154</v>
      </c>
      <c r="K3687" s="12">
        <v>10553</v>
      </c>
      <c r="L3687" s="12">
        <v>174.62</v>
      </c>
      <c r="M3687" s="12">
        <v>11350.3</v>
      </c>
      <c r="N3687" s="12">
        <v>797.3</v>
      </c>
    </row>
    <row r="3688" spans="1:14" x14ac:dyDescent="0.3">
      <c r="A3688" s="12" t="s">
        <v>96</v>
      </c>
      <c r="B3688" s="12" t="s">
        <v>191</v>
      </c>
      <c r="C3688" s="12" t="s">
        <v>123</v>
      </c>
      <c r="D3688" s="12" t="s">
        <v>200</v>
      </c>
      <c r="E3688" s="12" t="s">
        <v>110</v>
      </c>
      <c r="F3688" s="12" t="s">
        <v>114</v>
      </c>
      <c r="G3688" s="12" t="s">
        <v>54</v>
      </c>
      <c r="H3688" s="12">
        <v>30</v>
      </c>
      <c r="I3688" s="12">
        <v>1</v>
      </c>
      <c r="J3688" s="12">
        <v>165.1</v>
      </c>
      <c r="K3688" s="12">
        <v>4953</v>
      </c>
      <c r="L3688" s="12">
        <v>201</v>
      </c>
      <c r="M3688" s="12">
        <v>6030</v>
      </c>
      <c r="N3688" s="12">
        <v>1077</v>
      </c>
    </row>
    <row r="3689" spans="1:14" x14ac:dyDescent="0.3">
      <c r="A3689" s="12" t="s">
        <v>96</v>
      </c>
      <c r="B3689" s="12" t="s">
        <v>191</v>
      </c>
      <c r="C3689" s="12" t="s">
        <v>123</v>
      </c>
      <c r="D3689" s="12" t="s">
        <v>200</v>
      </c>
      <c r="E3689" s="12" t="s">
        <v>110</v>
      </c>
      <c r="F3689" s="12" t="s">
        <v>114</v>
      </c>
      <c r="G3689" s="12" t="s">
        <v>19</v>
      </c>
      <c r="H3689" s="12">
        <v>100</v>
      </c>
      <c r="I3689" s="12">
        <v>1</v>
      </c>
      <c r="J3689" s="12">
        <v>173.97462856999999</v>
      </c>
      <c r="K3689" s="12">
        <v>17397.462856999999</v>
      </c>
      <c r="L3689" s="12">
        <v>163.38</v>
      </c>
      <c r="M3689" s="12">
        <v>16338</v>
      </c>
      <c r="N3689" s="12">
        <v>-1059.462857</v>
      </c>
    </row>
    <row r="3690" spans="1:14" x14ac:dyDescent="0.3">
      <c r="A3690" s="12" t="s">
        <v>96</v>
      </c>
      <c r="B3690" s="12" t="s">
        <v>191</v>
      </c>
      <c r="C3690" s="12" t="s">
        <v>123</v>
      </c>
      <c r="D3690" s="12" t="s">
        <v>200</v>
      </c>
      <c r="E3690" s="12" t="s">
        <v>110</v>
      </c>
      <c r="F3690" s="12" t="s">
        <v>114</v>
      </c>
      <c r="G3690" s="12" t="s">
        <v>22</v>
      </c>
      <c r="H3690" s="12">
        <v>43</v>
      </c>
      <c r="I3690" s="12">
        <v>1</v>
      </c>
      <c r="J3690" s="12">
        <v>60.662999999999997</v>
      </c>
      <c r="K3690" s="12">
        <v>2608.509</v>
      </c>
      <c r="L3690" s="12">
        <v>96.66</v>
      </c>
      <c r="M3690" s="12">
        <v>4156.38</v>
      </c>
      <c r="N3690" s="12">
        <v>1547.8710000000001</v>
      </c>
    </row>
    <row r="3691" spans="1:14" x14ac:dyDescent="0.3">
      <c r="A3691" s="12" t="s">
        <v>96</v>
      </c>
      <c r="B3691" s="12" t="s">
        <v>191</v>
      </c>
      <c r="C3691" s="12" t="s">
        <v>123</v>
      </c>
      <c r="D3691" s="12" t="s">
        <v>200</v>
      </c>
      <c r="E3691" s="12" t="s">
        <v>110</v>
      </c>
      <c r="F3691" s="12" t="s">
        <v>114</v>
      </c>
      <c r="G3691" s="12" t="s">
        <v>24</v>
      </c>
      <c r="H3691" s="12">
        <v>50</v>
      </c>
      <c r="I3691" s="12">
        <v>1</v>
      </c>
      <c r="J3691" s="12">
        <v>80.665750000000003</v>
      </c>
      <c r="K3691" s="12">
        <v>4033.2874999999999</v>
      </c>
      <c r="L3691" s="12">
        <v>91.45</v>
      </c>
      <c r="M3691" s="12">
        <v>4572.5</v>
      </c>
      <c r="N3691" s="12">
        <v>539.21249999999998</v>
      </c>
    </row>
    <row r="3692" spans="1:14" x14ac:dyDescent="0.3">
      <c r="A3692" s="12" t="s">
        <v>96</v>
      </c>
      <c r="B3692" s="12" t="s">
        <v>191</v>
      </c>
      <c r="C3692" s="12" t="s">
        <v>123</v>
      </c>
      <c r="D3692" s="12" t="s">
        <v>200</v>
      </c>
      <c r="E3692" s="12" t="s">
        <v>110</v>
      </c>
      <c r="F3692" s="12" t="s">
        <v>114</v>
      </c>
      <c r="G3692" s="12" t="s">
        <v>70</v>
      </c>
      <c r="H3692" s="12">
        <v>55</v>
      </c>
      <c r="I3692" s="12">
        <v>1</v>
      </c>
      <c r="J3692" s="12">
        <v>206.08500000000001</v>
      </c>
      <c r="K3692" s="12">
        <v>11334.674999999999</v>
      </c>
      <c r="L3692" s="12">
        <v>224.8</v>
      </c>
      <c r="M3692" s="12">
        <v>12364</v>
      </c>
      <c r="N3692" s="12">
        <v>1029.325</v>
      </c>
    </row>
    <row r="3693" spans="1:14" x14ac:dyDescent="0.3">
      <c r="A3693" s="12" t="s">
        <v>96</v>
      </c>
      <c r="B3693" s="12" t="s">
        <v>191</v>
      </c>
      <c r="C3693" s="12" t="s">
        <v>123</v>
      </c>
      <c r="D3693" s="12" t="s">
        <v>200</v>
      </c>
      <c r="E3693" s="12" t="s">
        <v>110</v>
      </c>
      <c r="F3693" s="12" t="s">
        <v>114</v>
      </c>
      <c r="G3693" s="12" t="s">
        <v>49</v>
      </c>
      <c r="H3693" s="12">
        <v>10</v>
      </c>
      <c r="I3693" s="12">
        <v>1</v>
      </c>
      <c r="J3693" s="12">
        <v>760.73800000000006</v>
      </c>
      <c r="K3693" s="12">
        <v>7607.38</v>
      </c>
      <c r="L3693" s="12">
        <v>960.02</v>
      </c>
      <c r="M3693" s="12">
        <v>9600.2000000000007</v>
      </c>
      <c r="N3693" s="12">
        <v>1992.82</v>
      </c>
    </row>
    <row r="3694" spans="1:14" x14ac:dyDescent="0.3">
      <c r="A3694" s="12" t="s">
        <v>96</v>
      </c>
      <c r="B3694" s="12" t="s">
        <v>191</v>
      </c>
      <c r="C3694" s="12" t="s">
        <v>123</v>
      </c>
      <c r="D3694" s="12" t="s">
        <v>200</v>
      </c>
      <c r="E3694" s="12" t="s">
        <v>110</v>
      </c>
      <c r="F3694" s="12" t="s">
        <v>114</v>
      </c>
      <c r="G3694" s="12" t="s">
        <v>26</v>
      </c>
      <c r="H3694" s="12">
        <v>5</v>
      </c>
      <c r="I3694" s="12">
        <v>1</v>
      </c>
      <c r="J3694" s="12">
        <v>441.55</v>
      </c>
      <c r="K3694" s="12">
        <v>2207.75</v>
      </c>
      <c r="L3694" s="12">
        <v>487.74</v>
      </c>
      <c r="M3694" s="12">
        <v>2438.6999999999998</v>
      </c>
      <c r="N3694" s="12">
        <v>230.95</v>
      </c>
    </row>
    <row r="3695" spans="1:14" x14ac:dyDescent="0.3">
      <c r="A3695" s="12" t="s">
        <v>96</v>
      </c>
      <c r="B3695" s="12" t="s">
        <v>191</v>
      </c>
      <c r="C3695" s="12" t="s">
        <v>123</v>
      </c>
      <c r="D3695" s="12" t="s">
        <v>200</v>
      </c>
      <c r="E3695" s="12" t="s">
        <v>110</v>
      </c>
      <c r="F3695" s="12" t="s">
        <v>114</v>
      </c>
      <c r="G3695" s="12" t="s">
        <v>27</v>
      </c>
      <c r="H3695" s="12">
        <v>15</v>
      </c>
      <c r="I3695" s="12">
        <v>1</v>
      </c>
      <c r="J3695" s="12">
        <v>489.54333333300002</v>
      </c>
      <c r="K3695" s="12">
        <v>7343.15</v>
      </c>
      <c r="L3695" s="12">
        <v>521.30999999999995</v>
      </c>
      <c r="M3695" s="12">
        <v>7819.65</v>
      </c>
      <c r="N3695" s="12">
        <v>476.5</v>
      </c>
    </row>
    <row r="3696" spans="1:14" x14ac:dyDescent="0.3">
      <c r="A3696" s="12" t="s">
        <v>96</v>
      </c>
      <c r="B3696" s="12" t="s">
        <v>191</v>
      </c>
      <c r="C3696" s="12" t="s">
        <v>123</v>
      </c>
      <c r="D3696" s="12" t="s">
        <v>200</v>
      </c>
      <c r="E3696" s="12" t="s">
        <v>110</v>
      </c>
      <c r="F3696" s="12" t="s">
        <v>114</v>
      </c>
      <c r="G3696" s="12" t="s">
        <v>28</v>
      </c>
      <c r="H3696" s="12">
        <v>61</v>
      </c>
      <c r="I3696" s="12">
        <v>1</v>
      </c>
      <c r="J3696" s="12">
        <v>393.18200067200002</v>
      </c>
      <c r="K3696" s="12">
        <v>23984.102040999998</v>
      </c>
      <c r="L3696" s="12">
        <v>417.14</v>
      </c>
      <c r="M3696" s="12">
        <v>25445.54</v>
      </c>
      <c r="N3696" s="12">
        <v>1461.4379590000001</v>
      </c>
    </row>
    <row r="3697" spans="1:15" x14ac:dyDescent="0.3">
      <c r="A3697" s="12" t="s">
        <v>96</v>
      </c>
      <c r="B3697" s="12" t="s">
        <v>191</v>
      </c>
      <c r="C3697" s="12" t="s">
        <v>123</v>
      </c>
      <c r="D3697" s="12" t="s">
        <v>200</v>
      </c>
      <c r="E3697" s="12" t="s">
        <v>110</v>
      </c>
      <c r="F3697" s="12" t="s">
        <v>114</v>
      </c>
      <c r="G3697" s="12" t="s">
        <v>55</v>
      </c>
      <c r="H3697" s="12">
        <v>40</v>
      </c>
      <c r="I3697" s="12">
        <v>1</v>
      </c>
      <c r="J3697" s="12">
        <v>120.453</v>
      </c>
      <c r="K3697" s="12">
        <v>4818.12</v>
      </c>
      <c r="L3697" s="12">
        <v>96.24</v>
      </c>
      <c r="M3697" s="12">
        <v>3849.6</v>
      </c>
      <c r="N3697" s="12">
        <v>-968.52</v>
      </c>
    </row>
    <row r="3698" spans="1:15" x14ac:dyDescent="0.3">
      <c r="A3698" s="12" t="s">
        <v>96</v>
      </c>
      <c r="B3698" s="12" t="s">
        <v>191</v>
      </c>
      <c r="C3698" s="12" t="s">
        <v>123</v>
      </c>
      <c r="D3698" s="12" t="s">
        <v>200</v>
      </c>
      <c r="E3698" s="12" t="s">
        <v>110</v>
      </c>
      <c r="F3698" s="12" t="s">
        <v>114</v>
      </c>
      <c r="G3698" s="12" t="s">
        <v>29</v>
      </c>
      <c r="H3698" s="12">
        <v>15</v>
      </c>
      <c r="I3698" s="12">
        <v>1</v>
      </c>
      <c r="J3698" s="12">
        <v>297.58</v>
      </c>
      <c r="K3698" s="12">
        <v>4463.7</v>
      </c>
      <c r="L3698" s="12">
        <v>362.72</v>
      </c>
      <c r="M3698" s="12">
        <v>5440.8</v>
      </c>
      <c r="N3698" s="12">
        <v>977.1</v>
      </c>
    </row>
    <row r="3699" spans="1:15" x14ac:dyDescent="0.3">
      <c r="A3699" s="12" t="s">
        <v>96</v>
      </c>
      <c r="B3699" s="12" t="s">
        <v>191</v>
      </c>
      <c r="C3699" s="12" t="s">
        <v>123</v>
      </c>
      <c r="D3699" s="12" t="s">
        <v>200</v>
      </c>
      <c r="E3699" s="12" t="s">
        <v>110</v>
      </c>
      <c r="F3699" s="12" t="s">
        <v>114</v>
      </c>
      <c r="G3699" s="12" t="s">
        <v>39</v>
      </c>
      <c r="H3699" s="12">
        <v>35</v>
      </c>
      <c r="I3699" s="12">
        <v>1</v>
      </c>
      <c r="J3699" s="12">
        <v>202.32571428599999</v>
      </c>
      <c r="K3699" s="12">
        <v>7081.4</v>
      </c>
      <c r="L3699" s="12">
        <v>175.3</v>
      </c>
      <c r="M3699" s="12">
        <v>6135.5</v>
      </c>
      <c r="N3699" s="12">
        <v>-945.9</v>
      </c>
    </row>
    <row r="3700" spans="1:15" x14ac:dyDescent="0.3">
      <c r="A3700" s="12" t="s">
        <v>96</v>
      </c>
      <c r="B3700" s="12" t="s">
        <v>191</v>
      </c>
      <c r="C3700" s="12" t="s">
        <v>123</v>
      </c>
      <c r="D3700" s="12" t="s">
        <v>200</v>
      </c>
      <c r="E3700" s="12" t="s">
        <v>110</v>
      </c>
      <c r="F3700" s="12" t="s">
        <v>114</v>
      </c>
      <c r="G3700" s="12" t="s">
        <v>82</v>
      </c>
      <c r="H3700" s="12">
        <v>130</v>
      </c>
      <c r="I3700" s="12">
        <v>1</v>
      </c>
      <c r="J3700" s="12">
        <v>474.41538461499999</v>
      </c>
      <c r="K3700" s="12">
        <v>61674</v>
      </c>
      <c r="L3700" s="12">
        <v>476.27</v>
      </c>
      <c r="M3700" s="12">
        <v>61915.1</v>
      </c>
      <c r="N3700" s="12">
        <v>241.1</v>
      </c>
    </row>
    <row r="3701" spans="1:15" x14ac:dyDescent="0.3">
      <c r="A3701" s="12" t="s">
        <v>96</v>
      </c>
      <c r="B3701" s="12" t="s">
        <v>191</v>
      </c>
      <c r="C3701" s="12" t="s">
        <v>123</v>
      </c>
      <c r="D3701" s="12" t="s">
        <v>200</v>
      </c>
      <c r="E3701" s="12" t="s">
        <v>110</v>
      </c>
      <c r="F3701" s="12" t="s">
        <v>114</v>
      </c>
      <c r="G3701" s="12" t="s">
        <v>83</v>
      </c>
      <c r="H3701" s="12">
        <v>120</v>
      </c>
      <c r="I3701" s="12">
        <v>1</v>
      </c>
      <c r="J3701" s="12">
        <v>253.505</v>
      </c>
      <c r="K3701" s="12">
        <v>30420.6</v>
      </c>
      <c r="L3701" s="12">
        <v>231.14</v>
      </c>
      <c r="M3701" s="12">
        <v>27736.799999999999</v>
      </c>
      <c r="N3701" s="12">
        <v>-2683.8</v>
      </c>
      <c r="O3701" s="12" t="s">
        <v>555</v>
      </c>
    </row>
    <row r="3702" spans="1:15" x14ac:dyDescent="0.3">
      <c r="A3702" s="12" t="s">
        <v>96</v>
      </c>
      <c r="B3702" s="12" t="s">
        <v>191</v>
      </c>
      <c r="C3702" s="12" t="s">
        <v>123</v>
      </c>
      <c r="D3702" s="12" t="s">
        <v>200</v>
      </c>
      <c r="E3702" s="12" t="s">
        <v>110</v>
      </c>
      <c r="F3702" s="12" t="s">
        <v>114</v>
      </c>
      <c r="G3702" s="12" t="s">
        <v>86</v>
      </c>
      <c r="H3702" s="12">
        <v>60</v>
      </c>
      <c r="I3702" s="12">
        <v>1</v>
      </c>
      <c r="J3702" s="12">
        <v>519.57000000000005</v>
      </c>
      <c r="K3702" s="12">
        <v>31174.2</v>
      </c>
      <c r="L3702" s="12">
        <v>563.67999999999995</v>
      </c>
      <c r="M3702" s="12">
        <v>33820.800000000003</v>
      </c>
      <c r="N3702" s="12">
        <v>2646.6</v>
      </c>
    </row>
    <row r="3703" spans="1:15" x14ac:dyDescent="0.3">
      <c r="A3703" s="12" t="s">
        <v>96</v>
      </c>
      <c r="B3703" s="12" t="s">
        <v>191</v>
      </c>
      <c r="C3703" s="12" t="s">
        <v>123</v>
      </c>
      <c r="D3703" s="12" t="s">
        <v>200</v>
      </c>
      <c r="E3703" s="12" t="s">
        <v>110</v>
      </c>
      <c r="F3703" s="12" t="s">
        <v>114</v>
      </c>
      <c r="G3703" s="12" t="s">
        <v>77</v>
      </c>
      <c r="H3703" s="12">
        <v>40</v>
      </c>
      <c r="I3703" s="12">
        <v>1</v>
      </c>
      <c r="J3703" s="12">
        <v>206.815</v>
      </c>
      <c r="K3703" s="12">
        <v>8272.6</v>
      </c>
      <c r="L3703" s="12">
        <v>214.11</v>
      </c>
      <c r="M3703" s="12">
        <v>8564.4</v>
      </c>
      <c r="N3703" s="12">
        <v>291.8</v>
      </c>
    </row>
    <row r="3704" spans="1:15" x14ac:dyDescent="0.3">
      <c r="A3704" s="12" t="s">
        <v>96</v>
      </c>
      <c r="B3704" s="12" t="s">
        <v>191</v>
      </c>
      <c r="C3704" s="12" t="s">
        <v>123</v>
      </c>
      <c r="D3704" s="12" t="s">
        <v>200</v>
      </c>
      <c r="E3704" s="12" t="s">
        <v>110</v>
      </c>
      <c r="F3704" s="12" t="s">
        <v>114</v>
      </c>
      <c r="G3704" s="12" t="s">
        <v>87</v>
      </c>
      <c r="H3704" s="12">
        <v>15</v>
      </c>
      <c r="I3704" s="12">
        <v>1</v>
      </c>
      <c r="J3704" s="12">
        <v>314.43</v>
      </c>
      <c r="K3704" s="12">
        <v>4716.45</v>
      </c>
      <c r="L3704" s="12">
        <v>361.66</v>
      </c>
      <c r="M3704" s="12">
        <v>5424.9</v>
      </c>
      <c r="N3704" s="12">
        <v>708.45</v>
      </c>
    </row>
    <row r="3705" spans="1:15" x14ac:dyDescent="0.3">
      <c r="A3705" s="12" t="s">
        <v>96</v>
      </c>
      <c r="B3705" s="12" t="s">
        <v>191</v>
      </c>
      <c r="C3705" s="12" t="s">
        <v>123</v>
      </c>
      <c r="D3705" s="12" t="s">
        <v>200</v>
      </c>
      <c r="E3705" s="12" t="s">
        <v>110</v>
      </c>
      <c r="F3705" s="12" t="s">
        <v>114</v>
      </c>
      <c r="G3705" s="12" t="s">
        <v>78</v>
      </c>
      <c r="H3705" s="12">
        <v>30</v>
      </c>
      <c r="I3705" s="12">
        <v>1</v>
      </c>
      <c r="J3705" s="12">
        <v>197.53</v>
      </c>
      <c r="K3705" s="12">
        <v>5925.9</v>
      </c>
      <c r="L3705" s="12">
        <v>214.34</v>
      </c>
      <c r="M3705" s="12">
        <v>6430.2</v>
      </c>
      <c r="N3705" s="12">
        <v>504.3</v>
      </c>
    </row>
    <row r="3706" spans="1:15" x14ac:dyDescent="0.3">
      <c r="A3706" s="12" t="s">
        <v>96</v>
      </c>
      <c r="B3706" s="12" t="s">
        <v>191</v>
      </c>
      <c r="C3706" s="12" t="s">
        <v>123</v>
      </c>
      <c r="D3706" s="12" t="s">
        <v>200</v>
      </c>
      <c r="E3706" s="12" t="s">
        <v>110</v>
      </c>
      <c r="F3706" s="12" t="s">
        <v>114</v>
      </c>
      <c r="G3706" s="12" t="s">
        <v>32</v>
      </c>
      <c r="H3706" s="12">
        <v>70</v>
      </c>
      <c r="I3706" s="12">
        <v>1</v>
      </c>
      <c r="J3706" s="12">
        <v>66.2</v>
      </c>
      <c r="K3706" s="12">
        <v>4634</v>
      </c>
      <c r="L3706" s="12">
        <v>73.13</v>
      </c>
      <c r="M3706" s="12">
        <v>5119.1000000000004</v>
      </c>
      <c r="N3706" s="12">
        <v>485.1</v>
      </c>
    </row>
    <row r="3707" spans="1:15" x14ac:dyDescent="0.3">
      <c r="A3707" s="12" t="s">
        <v>96</v>
      </c>
      <c r="B3707" s="12" t="s">
        <v>191</v>
      </c>
      <c r="C3707" s="12" t="s">
        <v>123</v>
      </c>
      <c r="D3707" s="12" t="s">
        <v>200</v>
      </c>
      <c r="E3707" s="12" t="s">
        <v>110</v>
      </c>
      <c r="F3707" s="12" t="s">
        <v>114</v>
      </c>
      <c r="G3707" s="12" t="s">
        <v>61</v>
      </c>
      <c r="H3707" s="12">
        <v>100</v>
      </c>
      <c r="I3707" s="12">
        <v>1</v>
      </c>
      <c r="J3707" s="12">
        <v>94.38</v>
      </c>
      <c r="K3707" s="12">
        <v>9438</v>
      </c>
      <c r="L3707" s="12">
        <v>91.28</v>
      </c>
      <c r="M3707" s="12">
        <v>9128</v>
      </c>
      <c r="N3707" s="12">
        <v>-310</v>
      </c>
    </row>
    <row r="3708" spans="1:15" x14ac:dyDescent="0.3">
      <c r="A3708" s="12" t="s">
        <v>96</v>
      </c>
      <c r="B3708" s="12" t="s">
        <v>191</v>
      </c>
      <c r="C3708" s="12" t="s">
        <v>123</v>
      </c>
      <c r="D3708" s="12" t="s">
        <v>200</v>
      </c>
      <c r="E3708" s="12" t="s">
        <v>110</v>
      </c>
      <c r="F3708" s="12" t="s">
        <v>114</v>
      </c>
      <c r="G3708" s="12" t="s">
        <v>62</v>
      </c>
      <c r="H3708" s="12">
        <v>200</v>
      </c>
      <c r="I3708" s="12">
        <v>1</v>
      </c>
      <c r="J3708" s="12">
        <v>41.474350000000001</v>
      </c>
      <c r="K3708" s="12">
        <v>8294.8700000000008</v>
      </c>
      <c r="L3708" s="12">
        <v>45.74</v>
      </c>
      <c r="M3708" s="12">
        <v>9148</v>
      </c>
      <c r="N3708" s="12">
        <v>853.13</v>
      </c>
    </row>
    <row r="3709" spans="1:15" x14ac:dyDescent="0.3">
      <c r="A3709" s="12" t="s">
        <v>96</v>
      </c>
      <c r="B3709" s="12" t="s">
        <v>191</v>
      </c>
      <c r="C3709" s="12" t="s">
        <v>123</v>
      </c>
      <c r="D3709" s="12" t="s">
        <v>200</v>
      </c>
      <c r="E3709" s="12" t="s">
        <v>110</v>
      </c>
      <c r="F3709" s="12" t="s">
        <v>114</v>
      </c>
      <c r="G3709" s="12" t="s">
        <v>41</v>
      </c>
      <c r="H3709" s="12">
        <v>1099</v>
      </c>
      <c r="I3709" s="12">
        <v>1</v>
      </c>
      <c r="J3709" s="12">
        <v>42.154590536999997</v>
      </c>
      <c r="K3709" s="12">
        <v>46327.894999999997</v>
      </c>
      <c r="L3709" s="12">
        <v>46.51</v>
      </c>
      <c r="M3709" s="12">
        <v>51114.49</v>
      </c>
      <c r="N3709" s="12">
        <v>4786.5950000000003</v>
      </c>
      <c r="O3709" s="12" t="s">
        <v>555</v>
      </c>
    </row>
    <row r="3710" spans="1:15" x14ac:dyDescent="0.3">
      <c r="A3710" s="12" t="s">
        <v>96</v>
      </c>
      <c r="B3710" s="12" t="s">
        <v>191</v>
      </c>
      <c r="C3710" s="12" t="s">
        <v>123</v>
      </c>
      <c r="D3710" s="12" t="s">
        <v>200</v>
      </c>
      <c r="E3710" s="12" t="s">
        <v>110</v>
      </c>
      <c r="F3710" s="12" t="s">
        <v>114</v>
      </c>
      <c r="G3710" s="12" t="s">
        <v>79</v>
      </c>
      <c r="H3710" s="12">
        <v>80</v>
      </c>
      <c r="I3710" s="12">
        <v>1</v>
      </c>
      <c r="J3710" s="12">
        <v>121.06</v>
      </c>
      <c r="K3710" s="12">
        <v>9684.7999999999993</v>
      </c>
      <c r="L3710" s="12">
        <v>131.46</v>
      </c>
      <c r="M3710" s="12">
        <v>10516.8</v>
      </c>
      <c r="N3710" s="12">
        <v>832</v>
      </c>
    </row>
    <row r="3711" spans="1:15" x14ac:dyDescent="0.3">
      <c r="A3711" s="12" t="s">
        <v>96</v>
      </c>
      <c r="B3711" s="12" t="s">
        <v>191</v>
      </c>
      <c r="C3711" s="12" t="s">
        <v>123</v>
      </c>
      <c r="D3711" s="12" t="s">
        <v>200</v>
      </c>
      <c r="E3711" s="12" t="s">
        <v>110</v>
      </c>
      <c r="F3711" s="12" t="s">
        <v>114</v>
      </c>
      <c r="G3711" s="12" t="s">
        <v>42</v>
      </c>
      <c r="H3711" s="12">
        <v>150</v>
      </c>
      <c r="I3711" s="12">
        <v>1</v>
      </c>
      <c r="J3711" s="12">
        <v>199.912666667</v>
      </c>
      <c r="K3711" s="12">
        <v>29986.9</v>
      </c>
      <c r="L3711" s="12">
        <v>220.33</v>
      </c>
      <c r="M3711" s="12">
        <v>33049.5</v>
      </c>
      <c r="N3711" s="12">
        <v>3062.6</v>
      </c>
    </row>
    <row r="3712" spans="1:15" x14ac:dyDescent="0.3">
      <c r="A3712" s="12" t="s">
        <v>96</v>
      </c>
      <c r="B3712" s="12" t="s">
        <v>191</v>
      </c>
      <c r="C3712" s="12" t="s">
        <v>123</v>
      </c>
      <c r="D3712" s="12" t="s">
        <v>200</v>
      </c>
      <c r="E3712" s="12" t="s">
        <v>110</v>
      </c>
      <c r="F3712" s="12" t="s">
        <v>114</v>
      </c>
      <c r="G3712" s="12" t="s">
        <v>43</v>
      </c>
      <c r="H3712" s="12">
        <v>330</v>
      </c>
      <c r="I3712" s="12">
        <v>1</v>
      </c>
      <c r="J3712" s="12">
        <v>68.841818181999997</v>
      </c>
      <c r="K3712" s="12">
        <v>22717.8</v>
      </c>
      <c r="L3712" s="12">
        <v>76.290000000000006</v>
      </c>
      <c r="M3712" s="12">
        <v>25175.7</v>
      </c>
      <c r="N3712" s="12">
        <v>2457.9</v>
      </c>
    </row>
    <row r="3713" spans="1:17" x14ac:dyDescent="0.3">
      <c r="A3713" s="12" t="s">
        <v>96</v>
      </c>
      <c r="B3713" s="12" t="s">
        <v>191</v>
      </c>
      <c r="C3713" s="12" t="s">
        <v>123</v>
      </c>
      <c r="D3713" s="12" t="s">
        <v>200</v>
      </c>
      <c r="E3713" s="12" t="s">
        <v>110</v>
      </c>
      <c r="F3713" s="12" t="s">
        <v>114</v>
      </c>
      <c r="G3713" s="12" t="s">
        <v>44</v>
      </c>
      <c r="H3713" s="12">
        <v>60</v>
      </c>
      <c r="I3713" s="12">
        <v>1</v>
      </c>
      <c r="J3713" s="12">
        <v>143.160833333</v>
      </c>
      <c r="K3713" s="12">
        <v>8589.65</v>
      </c>
      <c r="L3713" s="12">
        <v>157.19999999999999</v>
      </c>
      <c r="M3713" s="12">
        <v>9432</v>
      </c>
      <c r="N3713" s="12">
        <v>842.35</v>
      </c>
    </row>
    <row r="3714" spans="1:17" x14ac:dyDescent="0.3">
      <c r="A3714" s="12" t="s">
        <v>96</v>
      </c>
      <c r="B3714" s="12" t="s">
        <v>191</v>
      </c>
      <c r="C3714" s="12" t="s">
        <v>123</v>
      </c>
      <c r="D3714" s="12" t="s">
        <v>200</v>
      </c>
      <c r="E3714" s="12" t="s">
        <v>110</v>
      </c>
      <c r="F3714" s="12" t="s">
        <v>114</v>
      </c>
      <c r="G3714" s="12" t="s">
        <v>84</v>
      </c>
      <c r="H3714" s="12">
        <v>90</v>
      </c>
      <c r="I3714" s="12">
        <v>1</v>
      </c>
      <c r="J3714" s="12">
        <v>185.51</v>
      </c>
      <c r="K3714" s="12">
        <v>16695.900000000001</v>
      </c>
      <c r="L3714" s="12">
        <v>187.12</v>
      </c>
      <c r="M3714" s="12">
        <v>16840.8</v>
      </c>
      <c r="N3714" s="12">
        <v>144.9</v>
      </c>
    </row>
    <row r="3715" spans="1:17" x14ac:dyDescent="0.3">
      <c r="A3715" s="12" t="s">
        <v>96</v>
      </c>
      <c r="B3715" s="12" t="s">
        <v>191</v>
      </c>
      <c r="C3715" s="12" t="s">
        <v>97</v>
      </c>
      <c r="E3715" s="12" t="s">
        <v>110</v>
      </c>
      <c r="F3715" s="12" t="s">
        <v>114</v>
      </c>
      <c r="K3715" s="12">
        <v>510813.62278400001</v>
      </c>
      <c r="M3715" s="12">
        <v>539556.92000000004</v>
      </c>
      <c r="N3715" s="12">
        <v>28743.297215999999</v>
      </c>
    </row>
    <row r="3716" spans="1:17" x14ac:dyDescent="0.3">
      <c r="A3716" s="12" t="s">
        <v>96</v>
      </c>
      <c r="B3716" s="12" t="s">
        <v>191</v>
      </c>
      <c r="C3716" s="12" t="s">
        <v>120</v>
      </c>
      <c r="D3716" s="12" t="s">
        <v>192</v>
      </c>
      <c r="E3716" s="12" t="s">
        <v>100</v>
      </c>
      <c r="F3716" s="12" t="s">
        <v>181</v>
      </c>
      <c r="G3716" s="12" t="s">
        <v>0</v>
      </c>
      <c r="H3716" s="12" t="s">
        <v>193</v>
      </c>
      <c r="I3716" s="12" t="s">
        <v>194</v>
      </c>
      <c r="J3716" s="12" t="s">
        <v>195</v>
      </c>
      <c r="K3716" s="12" t="s">
        <v>196</v>
      </c>
      <c r="L3716" s="12" t="s">
        <v>197</v>
      </c>
      <c r="M3716" s="12" t="s">
        <v>198</v>
      </c>
      <c r="N3716" s="12" t="s">
        <v>199</v>
      </c>
      <c r="O3716" s="12" t="s">
        <v>165</v>
      </c>
    </row>
    <row r="3717" spans="1:17" x14ac:dyDescent="0.3">
      <c r="A3717" s="12" t="s">
        <v>96</v>
      </c>
      <c r="B3717" s="12" t="s">
        <v>191</v>
      </c>
      <c r="C3717" s="12" t="s">
        <v>123</v>
      </c>
      <c r="D3717" s="12" t="s">
        <v>200</v>
      </c>
      <c r="E3717" s="12" t="s">
        <v>112</v>
      </c>
      <c r="F3717" s="12" t="s">
        <v>114</v>
      </c>
      <c r="G3717" s="12" t="s">
        <v>80</v>
      </c>
      <c r="H3717" s="12">
        <v>-6</v>
      </c>
      <c r="I3717" s="12">
        <v>5</v>
      </c>
      <c r="J3717" s="12">
        <v>5527.5</v>
      </c>
      <c r="K3717" s="12">
        <v>-165825</v>
      </c>
      <c r="L3717" s="12">
        <v>5661</v>
      </c>
      <c r="M3717" s="12">
        <v>-169830</v>
      </c>
      <c r="N3717" s="12">
        <v>-4005</v>
      </c>
    </row>
    <row r="3718" spans="1:17" x14ac:dyDescent="0.3">
      <c r="A3718" s="12" t="s">
        <v>96</v>
      </c>
      <c r="B3718" s="12" t="s">
        <v>191</v>
      </c>
      <c r="C3718" s="12" t="s">
        <v>123</v>
      </c>
      <c r="D3718" s="12" t="s">
        <v>200</v>
      </c>
      <c r="E3718" s="12" t="s">
        <v>112</v>
      </c>
      <c r="F3718" s="12" t="s">
        <v>114</v>
      </c>
      <c r="G3718" s="12" t="s">
        <v>81</v>
      </c>
      <c r="H3718" s="12">
        <v>-5</v>
      </c>
      <c r="I3718" s="12">
        <v>2</v>
      </c>
      <c r="J3718" s="12">
        <v>19406.650000000001</v>
      </c>
      <c r="K3718" s="12">
        <v>-194066.5</v>
      </c>
      <c r="L3718" s="12">
        <v>19623</v>
      </c>
      <c r="M3718" s="12">
        <v>-196230</v>
      </c>
      <c r="N3718" s="12">
        <v>-2163.5</v>
      </c>
    </row>
    <row r="3719" spans="1:17" x14ac:dyDescent="0.3">
      <c r="A3719" s="12" t="s">
        <v>96</v>
      </c>
      <c r="B3719" s="12" t="s">
        <v>191</v>
      </c>
      <c r="C3719" s="12" t="s">
        <v>97</v>
      </c>
      <c r="E3719" s="12" t="s">
        <v>112</v>
      </c>
      <c r="F3719" s="12" t="s">
        <v>114</v>
      </c>
      <c r="K3719" s="12">
        <v>-359891.5</v>
      </c>
      <c r="M3719" s="12">
        <v>-366060</v>
      </c>
      <c r="N3719" s="12">
        <v>-6168.5</v>
      </c>
    </row>
    <row r="3720" spans="1:17" x14ac:dyDescent="0.3">
      <c r="A3720" s="12" t="s">
        <v>96</v>
      </c>
      <c r="B3720" s="12" t="s">
        <v>191</v>
      </c>
      <c r="C3720" s="12" t="s">
        <v>520</v>
      </c>
      <c r="D3720" s="12" t="s">
        <v>1067</v>
      </c>
    </row>
    <row r="3721" spans="1:17" x14ac:dyDescent="0.3">
      <c r="A3721" s="12" t="s">
        <v>96</v>
      </c>
      <c r="B3721" s="12" t="s">
        <v>201</v>
      </c>
      <c r="C3721" s="12" t="s">
        <v>120</v>
      </c>
      <c r="D3721" s="12" t="s">
        <v>192</v>
      </c>
      <c r="E3721" s="12" t="s">
        <v>100</v>
      </c>
      <c r="F3721" s="12" t="s">
        <v>181</v>
      </c>
      <c r="G3721" s="12" t="s">
        <v>0</v>
      </c>
      <c r="H3721" s="12" t="s">
        <v>202</v>
      </c>
      <c r="I3721" s="12" t="s">
        <v>193</v>
      </c>
      <c r="J3721" s="12" t="s">
        <v>203</v>
      </c>
      <c r="K3721" s="12" t="s">
        <v>204</v>
      </c>
      <c r="L3721" s="12" t="s">
        <v>205</v>
      </c>
      <c r="M3721" s="12" t="s">
        <v>206</v>
      </c>
      <c r="N3721" s="12" t="s">
        <v>1</v>
      </c>
      <c r="O3721" s="12" t="s">
        <v>207</v>
      </c>
      <c r="P3721" s="12" t="s">
        <v>208</v>
      </c>
      <c r="Q3721" s="12" t="s">
        <v>165</v>
      </c>
    </row>
    <row r="3722" spans="1:17" x14ac:dyDescent="0.3">
      <c r="A3722" s="12" t="s">
        <v>96</v>
      </c>
      <c r="B3722" s="12" t="s">
        <v>201</v>
      </c>
      <c r="C3722" s="12" t="s">
        <v>123</v>
      </c>
      <c r="D3722" s="12" t="s">
        <v>209</v>
      </c>
      <c r="E3722" s="12" t="s">
        <v>110</v>
      </c>
      <c r="F3722" s="12" t="s">
        <v>114</v>
      </c>
      <c r="G3722" s="12" t="s">
        <v>2</v>
      </c>
      <c r="H3722" s="12" t="s">
        <v>210</v>
      </c>
      <c r="I3722" s="12">
        <v>81</v>
      </c>
      <c r="J3722" s="12">
        <v>183.715555556</v>
      </c>
      <c r="K3722" s="12">
        <v>181.91</v>
      </c>
      <c r="L3722" s="12">
        <v>-14880.96</v>
      </c>
      <c r="M3722" s="12">
        <v>-1.3</v>
      </c>
      <c r="N3722" s="12">
        <v>14882.26</v>
      </c>
      <c r="O3722" s="12">
        <v>0</v>
      </c>
      <c r="P3722" s="12">
        <v>-146.25</v>
      </c>
      <c r="Q3722" s="12" t="s">
        <v>211</v>
      </c>
    </row>
    <row r="3723" spans="1:17" x14ac:dyDescent="0.3">
      <c r="A3723" s="12" t="s">
        <v>96</v>
      </c>
      <c r="B3723" s="12" t="s">
        <v>201</v>
      </c>
      <c r="C3723" s="12" t="s">
        <v>123</v>
      </c>
      <c r="D3723" s="12" t="s">
        <v>209</v>
      </c>
      <c r="E3723" s="12" t="s">
        <v>110</v>
      </c>
      <c r="F3723" s="12" t="s">
        <v>114</v>
      </c>
      <c r="G3723" s="12" t="s">
        <v>2</v>
      </c>
      <c r="H3723" s="12" t="s">
        <v>212</v>
      </c>
      <c r="I3723" s="12">
        <v>-45</v>
      </c>
      <c r="J3723" s="12">
        <v>191.48</v>
      </c>
      <c r="K3723" s="12">
        <v>188.04</v>
      </c>
      <c r="L3723" s="12">
        <v>8616.6</v>
      </c>
      <c r="M3723" s="12">
        <v>-1.3</v>
      </c>
      <c r="N3723" s="12">
        <v>-8269.06</v>
      </c>
      <c r="O3723" s="12">
        <v>346.24</v>
      </c>
      <c r="P3723" s="12">
        <v>154.80000000000001</v>
      </c>
      <c r="Q3723" s="12" t="s">
        <v>3</v>
      </c>
    </row>
    <row r="3724" spans="1:17" x14ac:dyDescent="0.3">
      <c r="A3724" s="12" t="s">
        <v>96</v>
      </c>
      <c r="B3724" s="12" t="s">
        <v>201</v>
      </c>
      <c r="C3724" s="12" t="s">
        <v>123</v>
      </c>
      <c r="D3724" s="12" t="s">
        <v>209</v>
      </c>
      <c r="E3724" s="12" t="s">
        <v>110</v>
      </c>
      <c r="F3724" s="12" t="s">
        <v>114</v>
      </c>
      <c r="G3724" s="12" t="s">
        <v>2</v>
      </c>
      <c r="H3724" s="12" t="s">
        <v>775</v>
      </c>
      <c r="I3724" s="12">
        <v>36</v>
      </c>
      <c r="J3724" s="12">
        <v>183.25</v>
      </c>
      <c r="K3724" s="12">
        <v>183.05</v>
      </c>
      <c r="L3724" s="12">
        <v>-6597</v>
      </c>
      <c r="M3724" s="12">
        <v>0</v>
      </c>
      <c r="N3724" s="12">
        <v>6597</v>
      </c>
      <c r="O3724" s="12">
        <v>0</v>
      </c>
      <c r="P3724" s="12">
        <v>-7.2</v>
      </c>
      <c r="Q3724" s="12" t="s">
        <v>215</v>
      </c>
    </row>
    <row r="3725" spans="1:17" x14ac:dyDescent="0.3">
      <c r="A3725" s="12" t="s">
        <v>96</v>
      </c>
      <c r="B3725" s="12" t="s">
        <v>201</v>
      </c>
      <c r="C3725" s="12" t="s">
        <v>213</v>
      </c>
      <c r="E3725" s="12" t="s">
        <v>110</v>
      </c>
      <c r="F3725" s="12" t="s">
        <v>114</v>
      </c>
      <c r="G3725" s="12" t="s">
        <v>2</v>
      </c>
      <c r="I3725" s="12">
        <v>72</v>
      </c>
      <c r="L3725" s="12">
        <v>-12861.36</v>
      </c>
      <c r="M3725" s="12">
        <v>-2.6</v>
      </c>
      <c r="N3725" s="12">
        <v>13210.2</v>
      </c>
      <c r="O3725" s="12">
        <v>346.24</v>
      </c>
      <c r="P3725" s="12">
        <v>1.35</v>
      </c>
    </row>
    <row r="3726" spans="1:17" x14ac:dyDescent="0.3">
      <c r="A3726" s="12" t="s">
        <v>96</v>
      </c>
      <c r="B3726" s="12" t="s">
        <v>201</v>
      </c>
      <c r="C3726" s="12" t="s">
        <v>123</v>
      </c>
      <c r="D3726" s="12" t="s">
        <v>209</v>
      </c>
      <c r="E3726" s="12" t="s">
        <v>110</v>
      </c>
      <c r="F3726" s="12" t="s">
        <v>114</v>
      </c>
      <c r="G3726" s="12" t="s">
        <v>63</v>
      </c>
      <c r="H3726" s="12" t="s">
        <v>848</v>
      </c>
      <c r="I3726" s="12">
        <v>55</v>
      </c>
      <c r="J3726" s="12">
        <v>98.94</v>
      </c>
      <c r="K3726" s="12">
        <v>99.16</v>
      </c>
      <c r="L3726" s="12">
        <v>-5441.7</v>
      </c>
      <c r="M3726" s="12">
        <v>0</v>
      </c>
      <c r="N3726" s="12">
        <v>5441.7</v>
      </c>
      <c r="O3726" s="12">
        <v>0</v>
      </c>
      <c r="P3726" s="12">
        <v>12.1</v>
      </c>
      <c r="Q3726" s="12" t="s">
        <v>211</v>
      </c>
    </row>
    <row r="3727" spans="1:17" x14ac:dyDescent="0.3">
      <c r="A3727" s="12" t="s">
        <v>96</v>
      </c>
      <c r="B3727" s="12" t="s">
        <v>201</v>
      </c>
      <c r="C3727" s="12" t="s">
        <v>123</v>
      </c>
      <c r="D3727" s="12" t="s">
        <v>209</v>
      </c>
      <c r="E3727" s="12" t="s">
        <v>110</v>
      </c>
      <c r="F3727" s="12" t="s">
        <v>114</v>
      </c>
      <c r="G3727" s="12" t="s">
        <v>63</v>
      </c>
      <c r="H3727" s="12" t="s">
        <v>980</v>
      </c>
      <c r="I3727" s="12">
        <v>-55</v>
      </c>
      <c r="J3727" s="12">
        <v>98.25</v>
      </c>
      <c r="K3727" s="12">
        <v>97.65</v>
      </c>
      <c r="L3727" s="12">
        <v>5403.75</v>
      </c>
      <c r="M3727" s="12">
        <v>0</v>
      </c>
      <c r="N3727" s="12">
        <v>-5441.7</v>
      </c>
      <c r="O3727" s="12">
        <v>-37.950000000000003</v>
      </c>
      <c r="P3727" s="12">
        <v>33</v>
      </c>
      <c r="Q3727" s="12" t="s">
        <v>3</v>
      </c>
    </row>
    <row r="3728" spans="1:17" x14ac:dyDescent="0.3">
      <c r="A3728" s="12" t="s">
        <v>96</v>
      </c>
      <c r="B3728" s="12" t="s">
        <v>201</v>
      </c>
      <c r="C3728" s="12" t="s">
        <v>213</v>
      </c>
      <c r="E3728" s="12" t="s">
        <v>110</v>
      </c>
      <c r="F3728" s="12" t="s">
        <v>114</v>
      </c>
      <c r="G3728" s="12" t="s">
        <v>63</v>
      </c>
      <c r="I3728" s="12">
        <v>0</v>
      </c>
      <c r="L3728" s="12">
        <v>-37.950000000000003</v>
      </c>
      <c r="M3728" s="12">
        <v>0</v>
      </c>
      <c r="N3728" s="12">
        <v>0</v>
      </c>
      <c r="O3728" s="12">
        <v>-37.950000000000003</v>
      </c>
      <c r="P3728" s="12">
        <v>45.1</v>
      </c>
    </row>
    <row r="3729" spans="1:17" x14ac:dyDescent="0.3">
      <c r="A3729" s="12" t="s">
        <v>96</v>
      </c>
      <c r="B3729" s="12" t="s">
        <v>201</v>
      </c>
      <c r="C3729" s="12" t="s">
        <v>123</v>
      </c>
      <c r="D3729" s="12" t="s">
        <v>209</v>
      </c>
      <c r="E3729" s="12" t="s">
        <v>110</v>
      </c>
      <c r="F3729" s="12" t="s">
        <v>114</v>
      </c>
      <c r="G3729" s="12" t="s">
        <v>64</v>
      </c>
      <c r="H3729" s="12" t="s">
        <v>849</v>
      </c>
      <c r="I3729" s="12">
        <v>23</v>
      </c>
      <c r="J3729" s="12">
        <v>232.53</v>
      </c>
      <c r="K3729" s="12">
        <v>235.68</v>
      </c>
      <c r="L3729" s="12">
        <v>-5348.19</v>
      </c>
      <c r="M3729" s="12">
        <v>0</v>
      </c>
      <c r="N3729" s="12">
        <v>5348.19</v>
      </c>
      <c r="O3729" s="12">
        <v>0</v>
      </c>
      <c r="P3729" s="12">
        <v>72.45</v>
      </c>
      <c r="Q3729" s="12" t="s">
        <v>211</v>
      </c>
    </row>
    <row r="3730" spans="1:17" x14ac:dyDescent="0.3">
      <c r="A3730" s="12" t="s">
        <v>96</v>
      </c>
      <c r="B3730" s="12" t="s">
        <v>201</v>
      </c>
      <c r="C3730" s="12" t="s">
        <v>123</v>
      </c>
      <c r="D3730" s="12" t="s">
        <v>209</v>
      </c>
      <c r="E3730" s="12" t="s">
        <v>110</v>
      </c>
      <c r="F3730" s="12" t="s">
        <v>114</v>
      </c>
      <c r="G3730" s="12" t="s">
        <v>64</v>
      </c>
      <c r="H3730" s="12" t="s">
        <v>981</v>
      </c>
      <c r="I3730" s="12">
        <v>-23</v>
      </c>
      <c r="J3730" s="12">
        <v>237</v>
      </c>
      <c r="K3730" s="12">
        <v>238.33</v>
      </c>
      <c r="L3730" s="12">
        <v>5451</v>
      </c>
      <c r="M3730" s="12">
        <v>0</v>
      </c>
      <c r="N3730" s="12">
        <v>-5348.19</v>
      </c>
      <c r="O3730" s="12">
        <v>102.81</v>
      </c>
      <c r="P3730" s="12">
        <v>-30.59</v>
      </c>
      <c r="Q3730" s="12" t="s">
        <v>3</v>
      </c>
    </row>
    <row r="3731" spans="1:17" x14ac:dyDescent="0.3">
      <c r="A3731" s="12" t="s">
        <v>96</v>
      </c>
      <c r="B3731" s="12" t="s">
        <v>201</v>
      </c>
      <c r="C3731" s="12" t="s">
        <v>213</v>
      </c>
      <c r="E3731" s="12" t="s">
        <v>110</v>
      </c>
      <c r="F3731" s="12" t="s">
        <v>114</v>
      </c>
      <c r="G3731" s="12" t="s">
        <v>64</v>
      </c>
      <c r="I3731" s="12">
        <v>0</v>
      </c>
      <c r="L3731" s="12">
        <v>102.81</v>
      </c>
      <c r="M3731" s="12">
        <v>0</v>
      </c>
      <c r="N3731" s="12">
        <v>0</v>
      </c>
      <c r="O3731" s="12">
        <v>102.81</v>
      </c>
      <c r="P3731" s="12">
        <v>41.86</v>
      </c>
    </row>
    <row r="3732" spans="1:17" x14ac:dyDescent="0.3">
      <c r="A3732" s="12" t="s">
        <v>96</v>
      </c>
      <c r="B3732" s="12" t="s">
        <v>201</v>
      </c>
      <c r="C3732" s="12" t="s">
        <v>123</v>
      </c>
      <c r="D3732" s="12" t="s">
        <v>209</v>
      </c>
      <c r="E3732" s="12" t="s">
        <v>110</v>
      </c>
      <c r="F3732" s="12" t="s">
        <v>114</v>
      </c>
      <c r="G3732" s="12" t="s">
        <v>45</v>
      </c>
      <c r="H3732" s="12" t="s">
        <v>633</v>
      </c>
      <c r="I3732" s="12">
        <v>25</v>
      </c>
      <c r="J3732" s="12">
        <v>174.86</v>
      </c>
      <c r="K3732" s="12">
        <v>179.73</v>
      </c>
      <c r="L3732" s="12">
        <v>-4371.5</v>
      </c>
      <c r="M3732" s="12">
        <v>-1.3</v>
      </c>
      <c r="N3732" s="12">
        <v>4372.8</v>
      </c>
      <c r="O3732" s="12">
        <v>0</v>
      </c>
      <c r="P3732" s="12">
        <v>121.75</v>
      </c>
      <c r="Q3732" s="12" t="s">
        <v>215</v>
      </c>
    </row>
    <row r="3733" spans="1:17" x14ac:dyDescent="0.3">
      <c r="A3733" s="12" t="s">
        <v>96</v>
      </c>
      <c r="B3733" s="12" t="s">
        <v>201</v>
      </c>
      <c r="C3733" s="12" t="s">
        <v>123</v>
      </c>
      <c r="D3733" s="12" t="s">
        <v>209</v>
      </c>
      <c r="E3733" s="12" t="s">
        <v>110</v>
      </c>
      <c r="F3733" s="12" t="s">
        <v>114</v>
      </c>
      <c r="G3733" s="12" t="s">
        <v>45</v>
      </c>
      <c r="H3733" s="12" t="s">
        <v>710</v>
      </c>
      <c r="I3733" s="12">
        <v>5</v>
      </c>
      <c r="J3733" s="12">
        <v>164.92</v>
      </c>
      <c r="K3733" s="12">
        <v>167.14</v>
      </c>
      <c r="L3733" s="12">
        <v>-824.6</v>
      </c>
      <c r="M3733" s="12">
        <v>-1.3</v>
      </c>
      <c r="N3733" s="12">
        <v>825.9</v>
      </c>
      <c r="O3733" s="12">
        <v>0</v>
      </c>
      <c r="P3733" s="12">
        <v>11.1</v>
      </c>
      <c r="Q3733" s="12" t="s">
        <v>215</v>
      </c>
    </row>
    <row r="3734" spans="1:17" x14ac:dyDescent="0.3">
      <c r="A3734" s="12" t="s">
        <v>96</v>
      </c>
      <c r="B3734" s="12" t="s">
        <v>201</v>
      </c>
      <c r="C3734" s="12" t="s">
        <v>123</v>
      </c>
      <c r="D3734" s="12" t="s">
        <v>209</v>
      </c>
      <c r="E3734" s="12" t="s">
        <v>110</v>
      </c>
      <c r="F3734" s="12" t="s">
        <v>114</v>
      </c>
      <c r="G3734" s="12" t="s">
        <v>45</v>
      </c>
      <c r="H3734" s="12" t="s">
        <v>711</v>
      </c>
      <c r="I3734" s="12">
        <v>-15</v>
      </c>
      <c r="J3734" s="12">
        <v>160.08000000000001</v>
      </c>
      <c r="K3734" s="12">
        <v>160.19999999999999</v>
      </c>
      <c r="L3734" s="12">
        <v>2401.1999999999998</v>
      </c>
      <c r="M3734" s="12">
        <v>-1.3</v>
      </c>
      <c r="N3734" s="12">
        <v>-2623.68</v>
      </c>
      <c r="O3734" s="12">
        <v>-223.78</v>
      </c>
      <c r="P3734" s="12">
        <v>-1.8</v>
      </c>
      <c r="Q3734" s="12" t="s">
        <v>3</v>
      </c>
    </row>
    <row r="3735" spans="1:17" x14ac:dyDescent="0.3">
      <c r="A3735" s="12" t="s">
        <v>96</v>
      </c>
      <c r="B3735" s="12" t="s">
        <v>201</v>
      </c>
      <c r="C3735" s="12" t="s">
        <v>123</v>
      </c>
      <c r="D3735" s="12" t="s">
        <v>209</v>
      </c>
      <c r="E3735" s="12" t="s">
        <v>110</v>
      </c>
      <c r="F3735" s="12" t="s">
        <v>114</v>
      </c>
      <c r="G3735" s="12" t="s">
        <v>45</v>
      </c>
      <c r="H3735" s="12" t="s">
        <v>776</v>
      </c>
      <c r="I3735" s="12">
        <v>15</v>
      </c>
      <c r="J3735" s="12">
        <v>150.83000000000001</v>
      </c>
      <c r="K3735" s="12">
        <v>153.16</v>
      </c>
      <c r="L3735" s="12">
        <v>-2262.4499999999998</v>
      </c>
      <c r="M3735" s="12">
        <v>0</v>
      </c>
      <c r="N3735" s="12">
        <v>2262.4499999999998</v>
      </c>
      <c r="O3735" s="12">
        <v>0</v>
      </c>
      <c r="P3735" s="12">
        <v>34.950000000000003</v>
      </c>
      <c r="Q3735" s="12" t="s">
        <v>215</v>
      </c>
    </row>
    <row r="3736" spans="1:17" x14ac:dyDescent="0.3">
      <c r="A3736" s="12" t="s">
        <v>96</v>
      </c>
      <c r="B3736" s="12" t="s">
        <v>201</v>
      </c>
      <c r="C3736" s="12" t="s">
        <v>123</v>
      </c>
      <c r="D3736" s="12" t="s">
        <v>209</v>
      </c>
      <c r="E3736" s="12" t="s">
        <v>110</v>
      </c>
      <c r="F3736" s="12" t="s">
        <v>114</v>
      </c>
      <c r="G3736" s="12" t="s">
        <v>45</v>
      </c>
      <c r="H3736" s="12" t="s">
        <v>777</v>
      </c>
      <c r="I3736" s="12">
        <v>25</v>
      </c>
      <c r="J3736" s="12">
        <v>165.29599999999999</v>
      </c>
      <c r="K3736" s="12">
        <v>164.66</v>
      </c>
      <c r="L3736" s="12">
        <v>-4132.3999999999996</v>
      </c>
      <c r="M3736" s="12">
        <v>0</v>
      </c>
      <c r="N3736" s="12">
        <v>4132.3999999999996</v>
      </c>
      <c r="O3736" s="12">
        <v>0</v>
      </c>
      <c r="P3736" s="12">
        <v>-15.9</v>
      </c>
      <c r="Q3736" s="12" t="s">
        <v>215</v>
      </c>
    </row>
    <row r="3737" spans="1:17" x14ac:dyDescent="0.3">
      <c r="A3737" s="12" t="s">
        <v>96</v>
      </c>
      <c r="B3737" s="12" t="s">
        <v>201</v>
      </c>
      <c r="C3737" s="12" t="s">
        <v>123</v>
      </c>
      <c r="D3737" s="12" t="s">
        <v>209</v>
      </c>
      <c r="E3737" s="12" t="s">
        <v>110</v>
      </c>
      <c r="F3737" s="12" t="s">
        <v>114</v>
      </c>
      <c r="G3737" s="12" t="s">
        <v>45</v>
      </c>
      <c r="H3737" s="12" t="s">
        <v>850</v>
      </c>
      <c r="I3737" s="12">
        <v>-25</v>
      </c>
      <c r="J3737" s="12">
        <v>158.16999999999999</v>
      </c>
      <c r="K3737" s="12">
        <v>158.4</v>
      </c>
      <c r="L3737" s="12">
        <v>3954.25</v>
      </c>
      <c r="M3737" s="12">
        <v>0</v>
      </c>
      <c r="N3737" s="12">
        <v>-4083.32</v>
      </c>
      <c r="O3737" s="12">
        <v>-129.07</v>
      </c>
      <c r="P3737" s="12">
        <v>-5.75</v>
      </c>
      <c r="Q3737" s="12" t="s">
        <v>3</v>
      </c>
    </row>
    <row r="3738" spans="1:17" x14ac:dyDescent="0.3">
      <c r="A3738" s="12" t="s">
        <v>96</v>
      </c>
      <c r="B3738" s="12" t="s">
        <v>201</v>
      </c>
      <c r="C3738" s="12" t="s">
        <v>123</v>
      </c>
      <c r="D3738" s="12" t="s">
        <v>209</v>
      </c>
      <c r="E3738" s="12" t="s">
        <v>110</v>
      </c>
      <c r="F3738" s="12" t="s">
        <v>114</v>
      </c>
      <c r="G3738" s="12" t="s">
        <v>45</v>
      </c>
      <c r="H3738" s="12" t="s">
        <v>982</v>
      </c>
      <c r="I3738" s="12">
        <v>-30</v>
      </c>
      <c r="J3738" s="12">
        <v>162</v>
      </c>
      <c r="K3738" s="12">
        <v>164.31</v>
      </c>
      <c r="L3738" s="12">
        <v>4860</v>
      </c>
      <c r="M3738" s="12">
        <v>0</v>
      </c>
      <c r="N3738" s="12">
        <v>-4886.55</v>
      </c>
      <c r="O3738" s="12">
        <v>-26.55</v>
      </c>
      <c r="P3738" s="12">
        <v>-69.3</v>
      </c>
      <c r="Q3738" s="12" t="s">
        <v>3</v>
      </c>
    </row>
    <row r="3739" spans="1:17" x14ac:dyDescent="0.3">
      <c r="A3739" s="12" t="s">
        <v>96</v>
      </c>
      <c r="B3739" s="12" t="s">
        <v>201</v>
      </c>
      <c r="C3739" s="12" t="s">
        <v>123</v>
      </c>
      <c r="D3739" s="12" t="s">
        <v>209</v>
      </c>
      <c r="E3739" s="12" t="s">
        <v>110</v>
      </c>
      <c r="F3739" s="12" t="s">
        <v>114</v>
      </c>
      <c r="G3739" s="12" t="s">
        <v>45</v>
      </c>
      <c r="H3739" s="12" t="s">
        <v>983</v>
      </c>
      <c r="I3739" s="12">
        <v>75</v>
      </c>
      <c r="J3739" s="12">
        <v>141.94</v>
      </c>
      <c r="K3739" s="12">
        <v>144.47999999999999</v>
      </c>
      <c r="L3739" s="12">
        <v>-10645.5</v>
      </c>
      <c r="M3739" s="12">
        <v>0</v>
      </c>
      <c r="N3739" s="12">
        <v>10645.5</v>
      </c>
      <c r="O3739" s="12">
        <v>0</v>
      </c>
      <c r="P3739" s="12">
        <v>190.5</v>
      </c>
      <c r="Q3739" s="12" t="s">
        <v>215</v>
      </c>
    </row>
    <row r="3740" spans="1:17" x14ac:dyDescent="0.3">
      <c r="A3740" s="12" t="s">
        <v>96</v>
      </c>
      <c r="B3740" s="12" t="s">
        <v>201</v>
      </c>
      <c r="C3740" s="12" t="s">
        <v>213</v>
      </c>
      <c r="E3740" s="12" t="s">
        <v>110</v>
      </c>
      <c r="F3740" s="12" t="s">
        <v>114</v>
      </c>
      <c r="G3740" s="12" t="s">
        <v>45</v>
      </c>
      <c r="I3740" s="12">
        <v>75</v>
      </c>
      <c r="L3740" s="12">
        <v>-11021</v>
      </c>
      <c r="M3740" s="12">
        <v>-3.9</v>
      </c>
      <c r="N3740" s="12">
        <v>10645.5</v>
      </c>
      <c r="O3740" s="12">
        <v>-379.4</v>
      </c>
      <c r="P3740" s="12">
        <v>265.55</v>
      </c>
    </row>
    <row r="3741" spans="1:17" x14ac:dyDescent="0.3">
      <c r="A3741" s="12" t="s">
        <v>96</v>
      </c>
      <c r="B3741" s="12" t="s">
        <v>201</v>
      </c>
      <c r="C3741" s="12" t="s">
        <v>123</v>
      </c>
      <c r="D3741" s="12" t="s">
        <v>209</v>
      </c>
      <c r="E3741" s="12" t="s">
        <v>110</v>
      </c>
      <c r="F3741" s="12" t="s">
        <v>114</v>
      </c>
      <c r="G3741" s="12" t="s">
        <v>4</v>
      </c>
      <c r="H3741" s="12" t="s">
        <v>214</v>
      </c>
      <c r="I3741" s="12">
        <v>12</v>
      </c>
      <c r="J3741" s="12">
        <v>213.79</v>
      </c>
      <c r="K3741" s="12">
        <v>215.46</v>
      </c>
      <c r="L3741" s="12">
        <v>-2565.48</v>
      </c>
      <c r="M3741" s="12">
        <v>-1.3</v>
      </c>
      <c r="N3741" s="12">
        <v>2566.7800000000002</v>
      </c>
      <c r="O3741" s="12">
        <v>0</v>
      </c>
      <c r="P3741" s="12">
        <v>20.04</v>
      </c>
      <c r="Q3741" s="12" t="s">
        <v>215</v>
      </c>
    </row>
    <row r="3742" spans="1:17" x14ac:dyDescent="0.3">
      <c r="A3742" s="12" t="s">
        <v>96</v>
      </c>
      <c r="B3742" s="12" t="s">
        <v>201</v>
      </c>
      <c r="C3742" s="12" t="s">
        <v>123</v>
      </c>
      <c r="D3742" s="12" t="s">
        <v>209</v>
      </c>
      <c r="E3742" s="12" t="s">
        <v>110</v>
      </c>
      <c r="F3742" s="12" t="s">
        <v>114</v>
      </c>
      <c r="G3742" s="12" t="s">
        <v>4</v>
      </c>
      <c r="H3742" s="12" t="s">
        <v>556</v>
      </c>
      <c r="I3742" s="12">
        <v>-12</v>
      </c>
      <c r="J3742" s="12">
        <v>186.38</v>
      </c>
      <c r="K3742" s="12">
        <v>188.42</v>
      </c>
      <c r="L3742" s="12">
        <v>2236.56</v>
      </c>
      <c r="M3742" s="12">
        <v>-1.3</v>
      </c>
      <c r="N3742" s="12">
        <v>-2566.7800000000002</v>
      </c>
      <c r="O3742" s="12">
        <v>-331.52</v>
      </c>
      <c r="P3742" s="12">
        <v>-24.48</v>
      </c>
      <c r="Q3742" s="12" t="s">
        <v>3</v>
      </c>
    </row>
    <row r="3743" spans="1:17" x14ac:dyDescent="0.3">
      <c r="A3743" s="12" t="s">
        <v>96</v>
      </c>
      <c r="B3743" s="12" t="s">
        <v>201</v>
      </c>
      <c r="C3743" s="12" t="s">
        <v>123</v>
      </c>
      <c r="D3743" s="12" t="s">
        <v>209</v>
      </c>
      <c r="E3743" s="12" t="s">
        <v>110</v>
      </c>
      <c r="F3743" s="12" t="s">
        <v>114</v>
      </c>
      <c r="G3743" s="12" t="s">
        <v>4</v>
      </c>
      <c r="H3743" s="12" t="s">
        <v>851</v>
      </c>
      <c r="I3743" s="12">
        <v>22</v>
      </c>
      <c r="J3743" s="12">
        <v>196.56</v>
      </c>
      <c r="K3743" s="12">
        <v>194.26</v>
      </c>
      <c r="L3743" s="12">
        <v>-4324.32</v>
      </c>
      <c r="M3743" s="12">
        <v>0</v>
      </c>
      <c r="N3743" s="12">
        <v>4324.32</v>
      </c>
      <c r="O3743" s="12">
        <v>0</v>
      </c>
      <c r="P3743" s="12">
        <v>-50.6</v>
      </c>
      <c r="Q3743" s="12" t="s">
        <v>211</v>
      </c>
    </row>
    <row r="3744" spans="1:17" x14ac:dyDescent="0.3">
      <c r="A3744" s="12" t="s">
        <v>96</v>
      </c>
      <c r="B3744" s="12" t="s">
        <v>201</v>
      </c>
      <c r="C3744" s="12" t="s">
        <v>123</v>
      </c>
      <c r="D3744" s="12" t="s">
        <v>209</v>
      </c>
      <c r="E3744" s="12" t="s">
        <v>110</v>
      </c>
      <c r="F3744" s="12" t="s">
        <v>114</v>
      </c>
      <c r="G3744" s="12" t="s">
        <v>4</v>
      </c>
      <c r="H3744" s="12" t="s">
        <v>852</v>
      </c>
      <c r="I3744" s="12">
        <v>-22</v>
      </c>
      <c r="J3744" s="12">
        <v>195.5</v>
      </c>
      <c r="K3744" s="12">
        <v>192.78</v>
      </c>
      <c r="L3744" s="12">
        <v>4301</v>
      </c>
      <c r="M3744" s="12">
        <v>0</v>
      </c>
      <c r="N3744" s="12">
        <v>-4324.32</v>
      </c>
      <c r="O3744" s="12">
        <v>-23.32</v>
      </c>
      <c r="P3744" s="12">
        <v>59.84</v>
      </c>
      <c r="Q3744" s="12" t="s">
        <v>3</v>
      </c>
    </row>
    <row r="3745" spans="1:17" x14ac:dyDescent="0.3">
      <c r="A3745" s="12" t="s">
        <v>96</v>
      </c>
      <c r="B3745" s="12" t="s">
        <v>201</v>
      </c>
      <c r="C3745" s="12" t="s">
        <v>213</v>
      </c>
      <c r="E3745" s="12" t="s">
        <v>110</v>
      </c>
      <c r="F3745" s="12" t="s">
        <v>114</v>
      </c>
      <c r="G3745" s="12" t="s">
        <v>4</v>
      </c>
      <c r="I3745" s="12">
        <v>0</v>
      </c>
      <c r="L3745" s="12">
        <v>-352.24</v>
      </c>
      <c r="M3745" s="12">
        <v>-2.6</v>
      </c>
      <c r="N3745" s="12">
        <v>0</v>
      </c>
      <c r="O3745" s="12">
        <v>-354.84</v>
      </c>
      <c r="P3745" s="12">
        <v>4.8</v>
      </c>
    </row>
    <row r="3746" spans="1:17" x14ac:dyDescent="0.3">
      <c r="A3746" s="12" t="s">
        <v>96</v>
      </c>
      <c r="B3746" s="12" t="s">
        <v>201</v>
      </c>
      <c r="C3746" s="12" t="s">
        <v>123</v>
      </c>
      <c r="D3746" s="12" t="s">
        <v>209</v>
      </c>
      <c r="E3746" s="12" t="s">
        <v>110</v>
      </c>
      <c r="F3746" s="12" t="s">
        <v>114</v>
      </c>
      <c r="G3746" s="12" t="s">
        <v>5</v>
      </c>
      <c r="H3746" s="12" t="s">
        <v>216</v>
      </c>
      <c r="I3746" s="12">
        <v>104</v>
      </c>
      <c r="J3746" s="12">
        <v>145.25</v>
      </c>
      <c r="K3746" s="12">
        <v>144.57</v>
      </c>
      <c r="L3746" s="12">
        <v>-15106</v>
      </c>
      <c r="M3746" s="12">
        <v>-1.3</v>
      </c>
      <c r="N3746" s="12">
        <v>15107.3</v>
      </c>
      <c r="O3746" s="12">
        <v>0</v>
      </c>
      <c r="P3746" s="12">
        <v>-70.72</v>
      </c>
      <c r="Q3746" s="12" t="s">
        <v>215</v>
      </c>
    </row>
    <row r="3747" spans="1:17" x14ac:dyDescent="0.3">
      <c r="A3747" s="12" t="s">
        <v>96</v>
      </c>
      <c r="B3747" s="12" t="s">
        <v>201</v>
      </c>
      <c r="C3747" s="12" t="s">
        <v>123</v>
      </c>
      <c r="D3747" s="12" t="s">
        <v>209</v>
      </c>
      <c r="E3747" s="12" t="s">
        <v>110</v>
      </c>
      <c r="F3747" s="12" t="s">
        <v>114</v>
      </c>
      <c r="G3747" s="12" t="s">
        <v>5</v>
      </c>
      <c r="H3747" s="12" t="s">
        <v>557</v>
      </c>
      <c r="I3747" s="12">
        <v>-50</v>
      </c>
      <c r="J3747" s="12">
        <v>171</v>
      </c>
      <c r="K3747" s="12">
        <v>171.81</v>
      </c>
      <c r="L3747" s="12">
        <v>8550</v>
      </c>
      <c r="M3747" s="12">
        <v>-1.3</v>
      </c>
      <c r="N3747" s="12">
        <v>-7263.125</v>
      </c>
      <c r="O3747" s="12">
        <v>1285.575</v>
      </c>
      <c r="P3747" s="12">
        <v>-40.5</v>
      </c>
      <c r="Q3747" s="12" t="s">
        <v>3</v>
      </c>
    </row>
    <row r="3748" spans="1:17" x14ac:dyDescent="0.3">
      <c r="A3748" s="12" t="s">
        <v>96</v>
      </c>
      <c r="B3748" s="12" t="s">
        <v>201</v>
      </c>
      <c r="C3748" s="12" t="s">
        <v>123</v>
      </c>
      <c r="D3748" s="12" t="s">
        <v>209</v>
      </c>
      <c r="E3748" s="12" t="s">
        <v>110</v>
      </c>
      <c r="F3748" s="12" t="s">
        <v>114</v>
      </c>
      <c r="G3748" s="12" t="s">
        <v>5</v>
      </c>
      <c r="H3748" s="12" t="s">
        <v>712</v>
      </c>
      <c r="I3748" s="12">
        <v>-25</v>
      </c>
      <c r="J3748" s="12">
        <v>176</v>
      </c>
      <c r="K3748" s="12">
        <v>173.67</v>
      </c>
      <c r="L3748" s="12">
        <v>4400</v>
      </c>
      <c r="M3748" s="12">
        <v>-1.3</v>
      </c>
      <c r="N3748" s="12">
        <v>-3631.5625</v>
      </c>
      <c r="O3748" s="12">
        <v>767.13750000000005</v>
      </c>
      <c r="P3748" s="12">
        <v>58.25</v>
      </c>
      <c r="Q3748" s="12" t="s">
        <v>3</v>
      </c>
    </row>
    <row r="3749" spans="1:17" x14ac:dyDescent="0.3">
      <c r="A3749" s="12" t="s">
        <v>96</v>
      </c>
      <c r="B3749" s="12" t="s">
        <v>201</v>
      </c>
      <c r="C3749" s="12" t="s">
        <v>123</v>
      </c>
      <c r="D3749" s="12" t="s">
        <v>209</v>
      </c>
      <c r="E3749" s="12" t="s">
        <v>110</v>
      </c>
      <c r="F3749" s="12" t="s">
        <v>114</v>
      </c>
      <c r="G3749" s="12" t="s">
        <v>5</v>
      </c>
      <c r="H3749" s="12" t="s">
        <v>713</v>
      </c>
      <c r="I3749" s="12">
        <v>-15</v>
      </c>
      <c r="J3749" s="12">
        <v>180.88</v>
      </c>
      <c r="K3749" s="12">
        <v>180.96</v>
      </c>
      <c r="L3749" s="12">
        <v>2713.2</v>
      </c>
      <c r="M3749" s="12">
        <v>-1.3</v>
      </c>
      <c r="N3749" s="12">
        <v>-2178.9375</v>
      </c>
      <c r="O3749" s="12">
        <v>532.96249999999998</v>
      </c>
      <c r="P3749" s="12">
        <v>-1.2</v>
      </c>
      <c r="Q3749" s="12" t="s">
        <v>3</v>
      </c>
    </row>
    <row r="3750" spans="1:17" x14ac:dyDescent="0.3">
      <c r="A3750" s="12" t="s">
        <v>96</v>
      </c>
      <c r="B3750" s="12" t="s">
        <v>201</v>
      </c>
      <c r="C3750" s="12" t="s">
        <v>123</v>
      </c>
      <c r="D3750" s="12" t="s">
        <v>209</v>
      </c>
      <c r="E3750" s="12" t="s">
        <v>110</v>
      </c>
      <c r="F3750" s="12" t="s">
        <v>114</v>
      </c>
      <c r="G3750" s="12" t="s">
        <v>5</v>
      </c>
      <c r="H3750" s="12" t="s">
        <v>714</v>
      </c>
      <c r="I3750" s="12">
        <v>14</v>
      </c>
      <c r="J3750" s="12">
        <v>176.43</v>
      </c>
      <c r="K3750" s="12">
        <v>175</v>
      </c>
      <c r="L3750" s="12">
        <v>-2470.02</v>
      </c>
      <c r="M3750" s="12">
        <v>-1.3</v>
      </c>
      <c r="N3750" s="12">
        <v>2471.3200000000002</v>
      </c>
      <c r="O3750" s="12">
        <v>0</v>
      </c>
      <c r="P3750" s="12">
        <v>-20.02</v>
      </c>
      <c r="Q3750" s="12" t="s">
        <v>215</v>
      </c>
    </row>
    <row r="3751" spans="1:17" x14ac:dyDescent="0.3">
      <c r="A3751" s="12" t="s">
        <v>96</v>
      </c>
      <c r="B3751" s="12" t="s">
        <v>201</v>
      </c>
      <c r="C3751" s="12" t="s">
        <v>123</v>
      </c>
      <c r="D3751" s="12" t="s">
        <v>209</v>
      </c>
      <c r="E3751" s="12" t="s">
        <v>110</v>
      </c>
      <c r="F3751" s="12" t="s">
        <v>114</v>
      </c>
      <c r="G3751" s="12" t="s">
        <v>5</v>
      </c>
      <c r="H3751" s="12" t="s">
        <v>778</v>
      </c>
      <c r="I3751" s="12">
        <v>100</v>
      </c>
      <c r="J3751" s="12">
        <v>185.42</v>
      </c>
      <c r="K3751" s="12">
        <v>186.57</v>
      </c>
      <c r="L3751" s="12">
        <v>-18542</v>
      </c>
      <c r="M3751" s="12">
        <v>0</v>
      </c>
      <c r="N3751" s="12">
        <v>18542</v>
      </c>
      <c r="O3751" s="12">
        <v>0</v>
      </c>
      <c r="P3751" s="12">
        <v>115</v>
      </c>
      <c r="Q3751" s="12" t="s">
        <v>215</v>
      </c>
    </row>
    <row r="3752" spans="1:17" x14ac:dyDescent="0.3">
      <c r="A3752" s="12" t="s">
        <v>96</v>
      </c>
      <c r="B3752" s="12" t="s">
        <v>201</v>
      </c>
      <c r="C3752" s="12" t="s">
        <v>123</v>
      </c>
      <c r="D3752" s="12" t="s">
        <v>209</v>
      </c>
      <c r="E3752" s="12" t="s">
        <v>110</v>
      </c>
      <c r="F3752" s="12" t="s">
        <v>114</v>
      </c>
      <c r="G3752" s="12" t="s">
        <v>5</v>
      </c>
      <c r="H3752" s="12" t="s">
        <v>853</v>
      </c>
      <c r="I3752" s="12">
        <v>-50</v>
      </c>
      <c r="J3752" s="12">
        <v>183.6</v>
      </c>
      <c r="K3752" s="12">
        <v>184.06</v>
      </c>
      <c r="L3752" s="12">
        <v>9180</v>
      </c>
      <c r="M3752" s="12">
        <v>0</v>
      </c>
      <c r="N3752" s="12">
        <v>-8584.2350000000006</v>
      </c>
      <c r="O3752" s="12">
        <v>595.76499999999999</v>
      </c>
      <c r="P3752" s="12">
        <v>-23</v>
      </c>
      <c r="Q3752" s="12" t="s">
        <v>230</v>
      </c>
    </row>
    <row r="3753" spans="1:17" x14ac:dyDescent="0.3">
      <c r="A3753" s="12" t="s">
        <v>96</v>
      </c>
      <c r="B3753" s="12" t="s">
        <v>201</v>
      </c>
      <c r="C3753" s="12" t="s">
        <v>213</v>
      </c>
      <c r="E3753" s="12" t="s">
        <v>110</v>
      </c>
      <c r="F3753" s="12" t="s">
        <v>114</v>
      </c>
      <c r="G3753" s="12" t="s">
        <v>5</v>
      </c>
      <c r="I3753" s="12">
        <v>78</v>
      </c>
      <c r="L3753" s="12">
        <v>-11274.82</v>
      </c>
      <c r="M3753" s="12">
        <v>-6.5</v>
      </c>
      <c r="N3753" s="12">
        <v>14462.76</v>
      </c>
      <c r="O3753" s="12">
        <v>3181.44</v>
      </c>
      <c r="P3753" s="12">
        <v>17.809999999999999</v>
      </c>
    </row>
    <row r="3754" spans="1:17" x14ac:dyDescent="0.3">
      <c r="A3754" s="12" t="s">
        <v>96</v>
      </c>
      <c r="B3754" s="12" t="s">
        <v>201</v>
      </c>
      <c r="C3754" s="12" t="s">
        <v>123</v>
      </c>
      <c r="D3754" s="12" t="s">
        <v>209</v>
      </c>
      <c r="E3754" s="12" t="s">
        <v>110</v>
      </c>
      <c r="F3754" s="12" t="s">
        <v>114</v>
      </c>
      <c r="G3754" s="12" t="s">
        <v>6</v>
      </c>
      <c r="H3754" s="12" t="s">
        <v>217</v>
      </c>
      <c r="I3754" s="12">
        <v>31</v>
      </c>
      <c r="J3754" s="12">
        <v>229.02</v>
      </c>
      <c r="K3754" s="12">
        <v>229.4</v>
      </c>
      <c r="L3754" s="12">
        <v>-7099.62</v>
      </c>
      <c r="M3754" s="12">
        <v>-1.3</v>
      </c>
      <c r="N3754" s="12">
        <v>7100.92</v>
      </c>
      <c r="O3754" s="12">
        <v>0</v>
      </c>
      <c r="P3754" s="12">
        <v>11.78</v>
      </c>
      <c r="Q3754" s="12" t="s">
        <v>215</v>
      </c>
    </row>
    <row r="3755" spans="1:17" x14ac:dyDescent="0.3">
      <c r="A3755" s="12" t="s">
        <v>96</v>
      </c>
      <c r="B3755" s="12" t="s">
        <v>201</v>
      </c>
      <c r="C3755" s="12" t="s">
        <v>123</v>
      </c>
      <c r="D3755" s="12" t="s">
        <v>209</v>
      </c>
      <c r="E3755" s="12" t="s">
        <v>110</v>
      </c>
      <c r="F3755" s="12" t="s">
        <v>114</v>
      </c>
      <c r="G3755" s="12" t="s">
        <v>6</v>
      </c>
      <c r="H3755" s="12" t="s">
        <v>558</v>
      </c>
      <c r="I3755" s="12">
        <v>-15</v>
      </c>
      <c r="J3755" s="12">
        <v>283</v>
      </c>
      <c r="K3755" s="12">
        <v>282.45</v>
      </c>
      <c r="L3755" s="12">
        <v>4245</v>
      </c>
      <c r="M3755" s="12">
        <v>-1.3</v>
      </c>
      <c r="N3755" s="12">
        <v>-3435.929032</v>
      </c>
      <c r="O3755" s="12">
        <v>807.77096800000004</v>
      </c>
      <c r="P3755" s="12">
        <v>8.25</v>
      </c>
      <c r="Q3755" s="12" t="s">
        <v>3</v>
      </c>
    </row>
    <row r="3756" spans="1:17" x14ac:dyDescent="0.3">
      <c r="A3756" s="12" t="s">
        <v>96</v>
      </c>
      <c r="B3756" s="12" t="s">
        <v>201</v>
      </c>
      <c r="C3756" s="12" t="s">
        <v>123</v>
      </c>
      <c r="D3756" s="12" t="s">
        <v>209</v>
      </c>
      <c r="E3756" s="12" t="s">
        <v>110</v>
      </c>
      <c r="F3756" s="12" t="s">
        <v>114</v>
      </c>
      <c r="G3756" s="12" t="s">
        <v>6</v>
      </c>
      <c r="H3756" s="12" t="s">
        <v>559</v>
      </c>
      <c r="I3756" s="12">
        <v>5</v>
      </c>
      <c r="J3756" s="12">
        <v>255.28</v>
      </c>
      <c r="K3756" s="12">
        <v>259.61</v>
      </c>
      <c r="L3756" s="12">
        <v>-1276.4000000000001</v>
      </c>
      <c r="M3756" s="12">
        <v>-1.3</v>
      </c>
      <c r="N3756" s="12">
        <v>1277.7</v>
      </c>
      <c r="O3756" s="12">
        <v>0</v>
      </c>
      <c r="P3756" s="12">
        <v>21.65</v>
      </c>
      <c r="Q3756" s="12" t="s">
        <v>215</v>
      </c>
    </row>
    <row r="3757" spans="1:17" x14ac:dyDescent="0.3">
      <c r="A3757" s="12" t="s">
        <v>96</v>
      </c>
      <c r="B3757" s="12" t="s">
        <v>201</v>
      </c>
      <c r="C3757" s="12" t="s">
        <v>123</v>
      </c>
      <c r="D3757" s="12" t="s">
        <v>209</v>
      </c>
      <c r="E3757" s="12" t="s">
        <v>110</v>
      </c>
      <c r="F3757" s="12" t="s">
        <v>114</v>
      </c>
      <c r="G3757" s="12" t="s">
        <v>6</v>
      </c>
      <c r="H3757" s="12" t="s">
        <v>715</v>
      </c>
      <c r="I3757" s="12">
        <v>-21</v>
      </c>
      <c r="J3757" s="12">
        <v>273.27</v>
      </c>
      <c r="K3757" s="12">
        <v>263.2</v>
      </c>
      <c r="L3757" s="12">
        <v>5738.67</v>
      </c>
      <c r="M3757" s="12">
        <v>-1.3</v>
      </c>
      <c r="N3757" s="12">
        <v>-4942.6909679999999</v>
      </c>
      <c r="O3757" s="12">
        <v>794.67903200000001</v>
      </c>
      <c r="P3757" s="12">
        <v>211.47</v>
      </c>
      <c r="Q3757" s="12" t="s">
        <v>3</v>
      </c>
    </row>
    <row r="3758" spans="1:17" x14ac:dyDescent="0.3">
      <c r="A3758" s="12" t="s">
        <v>96</v>
      </c>
      <c r="B3758" s="12" t="s">
        <v>201</v>
      </c>
      <c r="C3758" s="12" t="s">
        <v>213</v>
      </c>
      <c r="E3758" s="12" t="s">
        <v>110</v>
      </c>
      <c r="F3758" s="12" t="s">
        <v>114</v>
      </c>
      <c r="G3758" s="12" t="s">
        <v>6</v>
      </c>
      <c r="I3758" s="12">
        <v>0</v>
      </c>
      <c r="L3758" s="12">
        <v>1607.65</v>
      </c>
      <c r="M3758" s="12">
        <v>-5.2</v>
      </c>
      <c r="N3758" s="12">
        <v>0</v>
      </c>
      <c r="O3758" s="12">
        <v>1602.45</v>
      </c>
      <c r="P3758" s="12">
        <v>253.15</v>
      </c>
    </row>
    <row r="3759" spans="1:17" x14ac:dyDescent="0.3">
      <c r="A3759" s="12" t="s">
        <v>96</v>
      </c>
      <c r="B3759" s="12" t="s">
        <v>201</v>
      </c>
      <c r="C3759" s="12" t="s">
        <v>123</v>
      </c>
      <c r="D3759" s="12" t="s">
        <v>209</v>
      </c>
      <c r="E3759" s="12" t="s">
        <v>110</v>
      </c>
      <c r="F3759" s="12" t="s">
        <v>114</v>
      </c>
      <c r="G3759" s="12" t="s">
        <v>65</v>
      </c>
      <c r="H3759" s="12" t="s">
        <v>854</v>
      </c>
      <c r="I3759" s="12">
        <v>35</v>
      </c>
      <c r="J3759" s="12">
        <v>130.33000000000001</v>
      </c>
      <c r="K3759" s="12">
        <v>130.63999999999999</v>
      </c>
      <c r="L3759" s="12">
        <v>-4561.55</v>
      </c>
      <c r="M3759" s="12">
        <v>0</v>
      </c>
      <c r="N3759" s="12">
        <v>4561.55</v>
      </c>
      <c r="O3759" s="12">
        <v>0</v>
      </c>
      <c r="P3759" s="12">
        <v>10.85</v>
      </c>
      <c r="Q3759" s="12" t="s">
        <v>211</v>
      </c>
    </row>
    <row r="3760" spans="1:17" x14ac:dyDescent="0.3">
      <c r="A3760" s="12" t="s">
        <v>96</v>
      </c>
      <c r="B3760" s="12" t="s">
        <v>201</v>
      </c>
      <c r="C3760" s="12" t="s">
        <v>213</v>
      </c>
      <c r="E3760" s="12" t="s">
        <v>110</v>
      </c>
      <c r="F3760" s="12" t="s">
        <v>114</v>
      </c>
      <c r="G3760" s="12" t="s">
        <v>65</v>
      </c>
      <c r="I3760" s="12">
        <v>35</v>
      </c>
      <c r="L3760" s="12">
        <v>-4561.55</v>
      </c>
      <c r="M3760" s="12">
        <v>0</v>
      </c>
      <c r="N3760" s="12">
        <v>4561.55</v>
      </c>
      <c r="O3760" s="12">
        <v>0</v>
      </c>
      <c r="P3760" s="12">
        <v>10.85</v>
      </c>
    </row>
    <row r="3761" spans="1:17" x14ac:dyDescent="0.3">
      <c r="A3761" s="12" t="s">
        <v>96</v>
      </c>
      <c r="B3761" s="12" t="s">
        <v>201</v>
      </c>
      <c r="C3761" s="12" t="s">
        <v>123</v>
      </c>
      <c r="D3761" s="12" t="s">
        <v>209</v>
      </c>
      <c r="E3761" s="12" t="s">
        <v>110</v>
      </c>
      <c r="F3761" s="12" t="s">
        <v>114</v>
      </c>
      <c r="G3761" s="12" t="s">
        <v>58</v>
      </c>
      <c r="H3761" s="12" t="s">
        <v>779</v>
      </c>
      <c r="I3761" s="12">
        <v>50</v>
      </c>
      <c r="J3761" s="12">
        <v>105.48</v>
      </c>
      <c r="K3761" s="12">
        <v>103.59</v>
      </c>
      <c r="L3761" s="12">
        <v>-5274</v>
      </c>
      <c r="M3761" s="12">
        <v>0</v>
      </c>
      <c r="N3761" s="12">
        <v>5274</v>
      </c>
      <c r="O3761" s="12">
        <v>0</v>
      </c>
      <c r="P3761" s="12">
        <v>-94.5</v>
      </c>
      <c r="Q3761" s="12" t="s">
        <v>215</v>
      </c>
    </row>
    <row r="3762" spans="1:17" x14ac:dyDescent="0.3">
      <c r="A3762" s="12" t="s">
        <v>96</v>
      </c>
      <c r="B3762" s="12" t="s">
        <v>201</v>
      </c>
      <c r="C3762" s="12" t="s">
        <v>123</v>
      </c>
      <c r="D3762" s="12" t="s">
        <v>209</v>
      </c>
      <c r="E3762" s="12" t="s">
        <v>110</v>
      </c>
      <c r="F3762" s="12" t="s">
        <v>114</v>
      </c>
      <c r="G3762" s="12" t="s">
        <v>58</v>
      </c>
      <c r="H3762" s="12" t="s">
        <v>855</v>
      </c>
      <c r="I3762" s="12">
        <v>-20</v>
      </c>
      <c r="J3762" s="12">
        <v>149</v>
      </c>
      <c r="K3762" s="12">
        <v>155.59</v>
      </c>
      <c r="L3762" s="12">
        <v>2980</v>
      </c>
      <c r="M3762" s="12">
        <v>0</v>
      </c>
      <c r="N3762" s="12">
        <v>-2109.6</v>
      </c>
      <c r="O3762" s="12">
        <v>870.4</v>
      </c>
      <c r="P3762" s="12">
        <v>-131.80000000000001</v>
      </c>
      <c r="Q3762" s="12" t="s">
        <v>3</v>
      </c>
    </row>
    <row r="3763" spans="1:17" x14ac:dyDescent="0.3">
      <c r="A3763" s="12" t="s">
        <v>96</v>
      </c>
      <c r="B3763" s="12" t="s">
        <v>201</v>
      </c>
      <c r="C3763" s="12" t="s">
        <v>123</v>
      </c>
      <c r="D3763" s="12" t="s">
        <v>209</v>
      </c>
      <c r="E3763" s="12" t="s">
        <v>110</v>
      </c>
      <c r="F3763" s="12" t="s">
        <v>114</v>
      </c>
      <c r="G3763" s="12" t="s">
        <v>58</v>
      </c>
      <c r="H3763" s="12" t="s">
        <v>984</v>
      </c>
      <c r="I3763" s="12">
        <v>-15</v>
      </c>
      <c r="J3763" s="12">
        <v>148.9</v>
      </c>
      <c r="K3763" s="12">
        <v>141.44</v>
      </c>
      <c r="L3763" s="12">
        <v>2233.5</v>
      </c>
      <c r="M3763" s="12">
        <v>0</v>
      </c>
      <c r="N3763" s="12">
        <v>-1582.2</v>
      </c>
      <c r="O3763" s="12">
        <v>651.29999999999995</v>
      </c>
      <c r="P3763" s="12">
        <v>111.9</v>
      </c>
      <c r="Q3763" s="12" t="s">
        <v>3</v>
      </c>
    </row>
    <row r="3764" spans="1:17" x14ac:dyDescent="0.3">
      <c r="A3764" s="12" t="s">
        <v>96</v>
      </c>
      <c r="B3764" s="12" t="s">
        <v>201</v>
      </c>
      <c r="C3764" s="12" t="s">
        <v>123</v>
      </c>
      <c r="D3764" s="12" t="s">
        <v>209</v>
      </c>
      <c r="E3764" s="12" t="s">
        <v>110</v>
      </c>
      <c r="F3764" s="12" t="s">
        <v>114</v>
      </c>
      <c r="G3764" s="12" t="s">
        <v>58</v>
      </c>
      <c r="H3764" s="12" t="s">
        <v>1068</v>
      </c>
      <c r="I3764" s="12">
        <v>15</v>
      </c>
      <c r="J3764" s="12">
        <v>110.81</v>
      </c>
      <c r="K3764" s="12">
        <v>107.09</v>
      </c>
      <c r="L3764" s="12">
        <v>-1662.15</v>
      </c>
      <c r="M3764" s="12">
        <v>0</v>
      </c>
      <c r="N3764" s="12">
        <v>1662.15</v>
      </c>
      <c r="O3764" s="12">
        <v>0</v>
      </c>
      <c r="P3764" s="12">
        <v>-55.8</v>
      </c>
      <c r="Q3764" s="12" t="s">
        <v>215</v>
      </c>
    </row>
    <row r="3765" spans="1:17" x14ac:dyDescent="0.3">
      <c r="A3765" s="12" t="s">
        <v>96</v>
      </c>
      <c r="B3765" s="12" t="s">
        <v>201</v>
      </c>
      <c r="C3765" s="12" t="s">
        <v>123</v>
      </c>
      <c r="D3765" s="12" t="s">
        <v>209</v>
      </c>
      <c r="E3765" s="12" t="s">
        <v>110</v>
      </c>
      <c r="F3765" s="12" t="s">
        <v>114</v>
      </c>
      <c r="G3765" s="12" t="s">
        <v>58</v>
      </c>
      <c r="H3765" s="12" t="s">
        <v>1069</v>
      </c>
      <c r="I3765" s="12">
        <v>10</v>
      </c>
      <c r="J3765" s="12">
        <v>127.04</v>
      </c>
      <c r="K3765" s="12">
        <v>131.93</v>
      </c>
      <c r="L3765" s="12">
        <v>-1270.4000000000001</v>
      </c>
      <c r="M3765" s="12">
        <v>0</v>
      </c>
      <c r="N3765" s="12">
        <v>1270.4000000000001</v>
      </c>
      <c r="O3765" s="12">
        <v>0</v>
      </c>
      <c r="P3765" s="12">
        <v>48.9</v>
      </c>
      <c r="Q3765" s="12" t="s">
        <v>215</v>
      </c>
    </row>
    <row r="3766" spans="1:17" x14ac:dyDescent="0.3">
      <c r="A3766" s="12" t="s">
        <v>96</v>
      </c>
      <c r="B3766" s="12" t="s">
        <v>201</v>
      </c>
      <c r="C3766" s="12" t="s">
        <v>123</v>
      </c>
      <c r="D3766" s="12" t="s">
        <v>209</v>
      </c>
      <c r="E3766" s="12" t="s">
        <v>110</v>
      </c>
      <c r="F3766" s="12" t="s">
        <v>114</v>
      </c>
      <c r="G3766" s="12" t="s">
        <v>58</v>
      </c>
      <c r="H3766" s="12" t="s">
        <v>1069</v>
      </c>
      <c r="I3766" s="12">
        <v>30</v>
      </c>
      <c r="J3766" s="12">
        <v>127.04</v>
      </c>
      <c r="K3766" s="12">
        <v>131.93</v>
      </c>
      <c r="L3766" s="12">
        <v>-3811.2</v>
      </c>
      <c r="M3766" s="12">
        <v>0</v>
      </c>
      <c r="N3766" s="12">
        <v>3811.2</v>
      </c>
      <c r="O3766" s="12">
        <v>0</v>
      </c>
      <c r="P3766" s="12">
        <v>146.69999999999999</v>
      </c>
      <c r="Q3766" s="12" t="s">
        <v>215</v>
      </c>
    </row>
    <row r="3767" spans="1:17" x14ac:dyDescent="0.3">
      <c r="A3767" s="12" t="s">
        <v>96</v>
      </c>
      <c r="B3767" s="12" t="s">
        <v>201</v>
      </c>
      <c r="C3767" s="12" t="s">
        <v>213</v>
      </c>
      <c r="E3767" s="12" t="s">
        <v>110</v>
      </c>
      <c r="F3767" s="12" t="s">
        <v>114</v>
      </c>
      <c r="G3767" s="12" t="s">
        <v>58</v>
      </c>
      <c r="I3767" s="12">
        <v>70</v>
      </c>
      <c r="L3767" s="12">
        <v>-6804.25</v>
      </c>
      <c r="M3767" s="12">
        <v>0</v>
      </c>
      <c r="N3767" s="12">
        <v>8325.9500000000007</v>
      </c>
      <c r="O3767" s="12">
        <v>1521.7</v>
      </c>
      <c r="P3767" s="12">
        <v>25.4</v>
      </c>
    </row>
    <row r="3768" spans="1:17" x14ac:dyDescent="0.3">
      <c r="A3768" s="12" t="s">
        <v>96</v>
      </c>
      <c r="B3768" s="12" t="s">
        <v>201</v>
      </c>
      <c r="C3768" s="12" t="s">
        <v>123</v>
      </c>
      <c r="D3768" s="12" t="s">
        <v>209</v>
      </c>
      <c r="E3768" s="12" t="s">
        <v>110</v>
      </c>
      <c r="F3768" s="12" t="s">
        <v>114</v>
      </c>
      <c r="G3768" s="12" t="s">
        <v>7</v>
      </c>
      <c r="H3768" s="12" t="s">
        <v>218</v>
      </c>
      <c r="I3768" s="12">
        <v>7</v>
      </c>
      <c r="J3768" s="12">
        <v>1058.44</v>
      </c>
      <c r="K3768" s="12">
        <v>1049.01</v>
      </c>
      <c r="L3768" s="12">
        <v>-7409.08</v>
      </c>
      <c r="M3768" s="12">
        <v>-1.3</v>
      </c>
      <c r="N3768" s="12">
        <v>7410.38</v>
      </c>
      <c r="O3768" s="12">
        <v>0</v>
      </c>
      <c r="P3768" s="12">
        <v>-66.010000000000005</v>
      </c>
      <c r="Q3768" s="12" t="s">
        <v>211</v>
      </c>
    </row>
    <row r="3769" spans="1:17" x14ac:dyDescent="0.3">
      <c r="A3769" s="12" t="s">
        <v>96</v>
      </c>
      <c r="B3769" s="12" t="s">
        <v>201</v>
      </c>
      <c r="C3769" s="12" t="s">
        <v>123</v>
      </c>
      <c r="D3769" s="12" t="s">
        <v>209</v>
      </c>
      <c r="E3769" s="12" t="s">
        <v>110</v>
      </c>
      <c r="F3769" s="12" t="s">
        <v>114</v>
      </c>
      <c r="G3769" s="12" t="s">
        <v>7</v>
      </c>
      <c r="H3769" s="12" t="s">
        <v>560</v>
      </c>
      <c r="I3769" s="12">
        <v>-3</v>
      </c>
      <c r="J3769" s="12">
        <v>1277.44</v>
      </c>
      <c r="K3769" s="12">
        <v>1283.44</v>
      </c>
      <c r="L3769" s="12">
        <v>3832.32</v>
      </c>
      <c r="M3769" s="12">
        <v>-1.3</v>
      </c>
      <c r="N3769" s="12">
        <v>-3176.62</v>
      </c>
      <c r="O3769" s="12">
        <v>654.4</v>
      </c>
      <c r="P3769" s="12">
        <v>-18</v>
      </c>
      <c r="Q3769" s="12" t="s">
        <v>3</v>
      </c>
    </row>
    <row r="3770" spans="1:17" x14ac:dyDescent="0.3">
      <c r="A3770" s="12" t="s">
        <v>96</v>
      </c>
      <c r="B3770" s="12" t="s">
        <v>201</v>
      </c>
      <c r="C3770" s="12" t="s">
        <v>123</v>
      </c>
      <c r="D3770" s="12" t="s">
        <v>209</v>
      </c>
      <c r="E3770" s="12" t="s">
        <v>110</v>
      </c>
      <c r="F3770" s="12" t="s">
        <v>114</v>
      </c>
      <c r="G3770" s="12" t="s">
        <v>7</v>
      </c>
      <c r="H3770" s="12" t="s">
        <v>634</v>
      </c>
      <c r="I3770" s="12">
        <v>-4</v>
      </c>
      <c r="J3770" s="12">
        <v>1402</v>
      </c>
      <c r="K3770" s="12">
        <v>1342.75</v>
      </c>
      <c r="L3770" s="12">
        <v>5608</v>
      </c>
      <c r="M3770" s="12">
        <v>-1.3</v>
      </c>
      <c r="N3770" s="12">
        <v>-4233.76</v>
      </c>
      <c r="O3770" s="12">
        <v>1372.94</v>
      </c>
      <c r="P3770" s="12">
        <v>237</v>
      </c>
      <c r="Q3770" s="12" t="s">
        <v>3</v>
      </c>
    </row>
    <row r="3771" spans="1:17" x14ac:dyDescent="0.3">
      <c r="A3771" s="12" t="s">
        <v>96</v>
      </c>
      <c r="B3771" s="12" t="s">
        <v>201</v>
      </c>
      <c r="C3771" s="12" t="s">
        <v>123</v>
      </c>
      <c r="D3771" s="12" t="s">
        <v>209</v>
      </c>
      <c r="E3771" s="12" t="s">
        <v>110</v>
      </c>
      <c r="F3771" s="12" t="s">
        <v>114</v>
      </c>
      <c r="G3771" s="12" t="s">
        <v>7</v>
      </c>
      <c r="H3771" s="12" t="s">
        <v>635</v>
      </c>
      <c r="I3771" s="12">
        <v>4</v>
      </c>
      <c r="J3771" s="12">
        <v>1377.69</v>
      </c>
      <c r="K3771" s="12">
        <v>1308.72</v>
      </c>
      <c r="L3771" s="12">
        <v>-5510.76</v>
      </c>
      <c r="M3771" s="12">
        <v>-1.3</v>
      </c>
      <c r="N3771" s="12">
        <v>5512.06</v>
      </c>
      <c r="O3771" s="12">
        <v>0</v>
      </c>
      <c r="P3771" s="12">
        <v>-275.88</v>
      </c>
      <c r="Q3771" s="12" t="s">
        <v>215</v>
      </c>
    </row>
    <row r="3772" spans="1:17" x14ac:dyDescent="0.3">
      <c r="A3772" s="12" t="s">
        <v>96</v>
      </c>
      <c r="B3772" s="12" t="s">
        <v>201</v>
      </c>
      <c r="C3772" s="12" t="s">
        <v>123</v>
      </c>
      <c r="D3772" s="12" t="s">
        <v>209</v>
      </c>
      <c r="E3772" s="12" t="s">
        <v>110</v>
      </c>
      <c r="F3772" s="12" t="s">
        <v>114</v>
      </c>
      <c r="G3772" s="12" t="s">
        <v>7</v>
      </c>
      <c r="H3772" s="12" t="s">
        <v>636</v>
      </c>
      <c r="I3772" s="12">
        <v>2</v>
      </c>
      <c r="J3772" s="12">
        <v>1286.1199999999999</v>
      </c>
      <c r="K3772" s="12">
        <v>1291.8800000000001</v>
      </c>
      <c r="L3772" s="12">
        <v>-2572.2399999999998</v>
      </c>
      <c r="M3772" s="12">
        <v>-1.3</v>
      </c>
      <c r="N3772" s="12">
        <v>2573.54</v>
      </c>
      <c r="O3772" s="12">
        <v>0</v>
      </c>
      <c r="P3772" s="12">
        <v>11.52</v>
      </c>
      <c r="Q3772" s="12" t="s">
        <v>215</v>
      </c>
    </row>
    <row r="3773" spans="1:17" x14ac:dyDescent="0.3">
      <c r="A3773" s="12" t="s">
        <v>96</v>
      </c>
      <c r="B3773" s="12" t="s">
        <v>201</v>
      </c>
      <c r="C3773" s="12" t="s">
        <v>123</v>
      </c>
      <c r="D3773" s="12" t="s">
        <v>209</v>
      </c>
      <c r="E3773" s="12" t="s">
        <v>110</v>
      </c>
      <c r="F3773" s="12" t="s">
        <v>114</v>
      </c>
      <c r="G3773" s="12" t="s">
        <v>7</v>
      </c>
      <c r="H3773" s="12" t="s">
        <v>856</v>
      </c>
      <c r="I3773" s="12">
        <v>-3</v>
      </c>
      <c r="J3773" s="12">
        <v>1413</v>
      </c>
      <c r="K3773" s="12">
        <v>1413.09</v>
      </c>
      <c r="L3773" s="12">
        <v>4239</v>
      </c>
      <c r="M3773" s="12">
        <v>0</v>
      </c>
      <c r="N3773" s="12">
        <v>-4134.0450000000001</v>
      </c>
      <c r="O3773" s="12">
        <v>104.955</v>
      </c>
      <c r="P3773" s="12">
        <v>-0.27</v>
      </c>
      <c r="Q3773" s="12" t="s">
        <v>3</v>
      </c>
    </row>
    <row r="3774" spans="1:17" x14ac:dyDescent="0.3">
      <c r="A3774" s="12" t="s">
        <v>96</v>
      </c>
      <c r="B3774" s="12" t="s">
        <v>201</v>
      </c>
      <c r="C3774" s="12" t="s">
        <v>123</v>
      </c>
      <c r="D3774" s="12" t="s">
        <v>209</v>
      </c>
      <c r="E3774" s="12" t="s">
        <v>110</v>
      </c>
      <c r="F3774" s="12" t="s">
        <v>114</v>
      </c>
      <c r="G3774" s="12" t="s">
        <v>7</v>
      </c>
      <c r="H3774" s="12" t="s">
        <v>857</v>
      </c>
      <c r="I3774" s="12">
        <v>2</v>
      </c>
      <c r="J3774" s="12">
        <v>1737</v>
      </c>
      <c r="K3774" s="12">
        <v>1734.56</v>
      </c>
      <c r="L3774" s="12">
        <v>-3474</v>
      </c>
      <c r="M3774" s="12">
        <v>0</v>
      </c>
      <c r="N3774" s="12">
        <v>3474</v>
      </c>
      <c r="O3774" s="12">
        <v>0</v>
      </c>
      <c r="P3774" s="12">
        <v>-4.88</v>
      </c>
      <c r="Q3774" s="12" t="s">
        <v>215</v>
      </c>
    </row>
    <row r="3775" spans="1:17" x14ac:dyDescent="0.3">
      <c r="A3775" s="12" t="s">
        <v>96</v>
      </c>
      <c r="B3775" s="12" t="s">
        <v>201</v>
      </c>
      <c r="C3775" s="12" t="s">
        <v>123</v>
      </c>
      <c r="D3775" s="12" t="s">
        <v>209</v>
      </c>
      <c r="E3775" s="12" t="s">
        <v>110</v>
      </c>
      <c r="F3775" s="12" t="s">
        <v>114</v>
      </c>
      <c r="G3775" s="12" t="s">
        <v>7</v>
      </c>
      <c r="H3775" s="12" t="s">
        <v>985</v>
      </c>
      <c r="I3775" s="12">
        <v>2</v>
      </c>
      <c r="J3775" s="12">
        <v>1732.89</v>
      </c>
      <c r="K3775" s="12">
        <v>1745.86</v>
      </c>
      <c r="L3775" s="12">
        <v>-3465.78</v>
      </c>
      <c r="M3775" s="12">
        <v>0</v>
      </c>
      <c r="N3775" s="12">
        <v>3465.78</v>
      </c>
      <c r="O3775" s="12">
        <v>0</v>
      </c>
      <c r="P3775" s="12">
        <v>25.94</v>
      </c>
      <c r="Q3775" s="12" t="s">
        <v>215</v>
      </c>
    </row>
    <row r="3776" spans="1:17" x14ac:dyDescent="0.3">
      <c r="A3776" s="12" t="s">
        <v>96</v>
      </c>
      <c r="B3776" s="12" t="s">
        <v>201</v>
      </c>
      <c r="C3776" s="12" t="s">
        <v>213</v>
      </c>
      <c r="E3776" s="12" t="s">
        <v>110</v>
      </c>
      <c r="F3776" s="12" t="s">
        <v>114</v>
      </c>
      <c r="G3776" s="12" t="s">
        <v>7</v>
      </c>
      <c r="I3776" s="12">
        <v>7</v>
      </c>
      <c r="L3776" s="12">
        <v>-8752.5400000000009</v>
      </c>
      <c r="M3776" s="12">
        <v>-6.5</v>
      </c>
      <c r="N3776" s="12">
        <v>10891.334999999999</v>
      </c>
      <c r="O3776" s="12">
        <v>2132.2950000000001</v>
      </c>
      <c r="P3776" s="12">
        <v>-90.58</v>
      </c>
    </row>
    <row r="3777" spans="1:17" x14ac:dyDescent="0.3">
      <c r="A3777" s="12" t="s">
        <v>96</v>
      </c>
      <c r="B3777" s="12" t="s">
        <v>201</v>
      </c>
      <c r="C3777" s="12" t="s">
        <v>123</v>
      </c>
      <c r="D3777" s="12" t="s">
        <v>209</v>
      </c>
      <c r="E3777" s="12" t="s">
        <v>110</v>
      </c>
      <c r="F3777" s="12" t="s">
        <v>114</v>
      </c>
      <c r="G3777" s="12" t="s">
        <v>8</v>
      </c>
      <c r="H3777" s="12" t="s">
        <v>219</v>
      </c>
      <c r="I3777" s="12">
        <v>231</v>
      </c>
      <c r="J3777" s="12">
        <v>32.17</v>
      </c>
      <c r="K3777" s="12">
        <v>32.119999999999997</v>
      </c>
      <c r="L3777" s="12">
        <v>-7431.27</v>
      </c>
      <c r="M3777" s="12">
        <v>-1.617</v>
      </c>
      <c r="N3777" s="12">
        <v>7432.8869999999997</v>
      </c>
      <c r="O3777" s="12">
        <v>0</v>
      </c>
      <c r="P3777" s="12">
        <v>-11.55</v>
      </c>
      <c r="Q3777" s="12" t="s">
        <v>211</v>
      </c>
    </row>
    <row r="3778" spans="1:17" x14ac:dyDescent="0.3">
      <c r="A3778" s="12" t="s">
        <v>96</v>
      </c>
      <c r="B3778" s="12" t="s">
        <v>201</v>
      </c>
      <c r="C3778" s="12" t="s">
        <v>123</v>
      </c>
      <c r="D3778" s="12" t="s">
        <v>209</v>
      </c>
      <c r="E3778" s="12" t="s">
        <v>110</v>
      </c>
      <c r="F3778" s="12" t="s">
        <v>114</v>
      </c>
      <c r="G3778" s="12" t="s">
        <v>8</v>
      </c>
      <c r="H3778" s="12" t="s">
        <v>716</v>
      </c>
      <c r="I3778" s="12">
        <v>50</v>
      </c>
      <c r="J3778" s="12">
        <v>36.655000000000001</v>
      </c>
      <c r="K3778" s="12">
        <v>36.65</v>
      </c>
      <c r="L3778" s="12">
        <v>-1832.75</v>
      </c>
      <c r="M3778" s="12">
        <v>-1.3</v>
      </c>
      <c r="N3778" s="12">
        <v>1834.05</v>
      </c>
      <c r="O3778" s="12">
        <v>0</v>
      </c>
      <c r="P3778" s="12">
        <v>-0.25</v>
      </c>
      <c r="Q3778" s="12" t="s">
        <v>215</v>
      </c>
    </row>
    <row r="3779" spans="1:17" x14ac:dyDescent="0.3">
      <c r="A3779" s="12" t="s">
        <v>96</v>
      </c>
      <c r="B3779" s="12" t="s">
        <v>201</v>
      </c>
      <c r="C3779" s="12" t="s">
        <v>123</v>
      </c>
      <c r="D3779" s="12" t="s">
        <v>209</v>
      </c>
      <c r="E3779" s="12" t="s">
        <v>110</v>
      </c>
      <c r="F3779" s="12" t="s">
        <v>114</v>
      </c>
      <c r="G3779" s="12" t="s">
        <v>8</v>
      </c>
      <c r="H3779" s="12" t="s">
        <v>780</v>
      </c>
      <c r="I3779" s="12">
        <v>110</v>
      </c>
      <c r="J3779" s="12">
        <v>38.704999999999998</v>
      </c>
      <c r="K3779" s="12">
        <v>38.450000000000003</v>
      </c>
      <c r="L3779" s="12">
        <v>-4257.55</v>
      </c>
      <c r="M3779" s="12">
        <v>0</v>
      </c>
      <c r="N3779" s="12">
        <v>4257.55</v>
      </c>
      <c r="O3779" s="12">
        <v>0</v>
      </c>
      <c r="P3779" s="12">
        <v>-28.05</v>
      </c>
      <c r="Q3779" s="12" t="s">
        <v>215</v>
      </c>
    </row>
    <row r="3780" spans="1:17" x14ac:dyDescent="0.3">
      <c r="A3780" s="12" t="s">
        <v>96</v>
      </c>
      <c r="B3780" s="12" t="s">
        <v>201</v>
      </c>
      <c r="C3780" s="12" t="s">
        <v>123</v>
      </c>
      <c r="D3780" s="12" t="s">
        <v>209</v>
      </c>
      <c r="E3780" s="12" t="s">
        <v>110</v>
      </c>
      <c r="F3780" s="12" t="s">
        <v>114</v>
      </c>
      <c r="G3780" s="12" t="s">
        <v>8</v>
      </c>
      <c r="H3780" s="12" t="s">
        <v>858</v>
      </c>
      <c r="I3780" s="12">
        <v>-100</v>
      </c>
      <c r="J3780" s="12">
        <v>39.49</v>
      </c>
      <c r="K3780" s="12">
        <v>39.51</v>
      </c>
      <c r="L3780" s="12">
        <v>3949</v>
      </c>
      <c r="M3780" s="12">
        <v>0</v>
      </c>
      <c r="N3780" s="12">
        <v>-3218.322482</v>
      </c>
      <c r="O3780" s="12">
        <v>730.67751799999996</v>
      </c>
      <c r="P3780" s="12">
        <v>-2</v>
      </c>
      <c r="Q3780" s="12" t="s">
        <v>3</v>
      </c>
    </row>
    <row r="3781" spans="1:17" x14ac:dyDescent="0.3">
      <c r="A3781" s="12" t="s">
        <v>96</v>
      </c>
      <c r="B3781" s="12" t="s">
        <v>201</v>
      </c>
      <c r="C3781" s="12" t="s">
        <v>123</v>
      </c>
      <c r="D3781" s="12" t="s">
        <v>209</v>
      </c>
      <c r="E3781" s="12" t="s">
        <v>110</v>
      </c>
      <c r="F3781" s="12" t="s">
        <v>114</v>
      </c>
      <c r="G3781" s="12" t="s">
        <v>8</v>
      </c>
      <c r="H3781" s="12" t="s">
        <v>986</v>
      </c>
      <c r="I3781" s="12">
        <v>-191</v>
      </c>
      <c r="J3781" s="12">
        <v>41.8</v>
      </c>
      <c r="K3781" s="12">
        <v>41.89</v>
      </c>
      <c r="L3781" s="12">
        <v>7983.8</v>
      </c>
      <c r="M3781" s="12">
        <v>0</v>
      </c>
      <c r="N3781" s="12">
        <v>-6435.6645179999996</v>
      </c>
      <c r="O3781" s="12">
        <v>1548.1354819999999</v>
      </c>
      <c r="P3781" s="12">
        <v>-17.190000000000001</v>
      </c>
      <c r="Q3781" s="12" t="s">
        <v>230</v>
      </c>
    </row>
    <row r="3782" spans="1:17" x14ac:dyDescent="0.3">
      <c r="A3782" s="12" t="s">
        <v>96</v>
      </c>
      <c r="B3782" s="12" t="s">
        <v>201</v>
      </c>
      <c r="C3782" s="12" t="s">
        <v>213</v>
      </c>
      <c r="E3782" s="12" t="s">
        <v>110</v>
      </c>
      <c r="F3782" s="12" t="s">
        <v>114</v>
      </c>
      <c r="G3782" s="12" t="s">
        <v>8</v>
      </c>
      <c r="I3782" s="12">
        <v>100</v>
      </c>
      <c r="L3782" s="12">
        <v>-1588.77</v>
      </c>
      <c r="M3782" s="12">
        <v>-2.9169999999999998</v>
      </c>
      <c r="N3782" s="12">
        <v>3870.5</v>
      </c>
      <c r="O3782" s="12">
        <v>2278.8130000000001</v>
      </c>
      <c r="P3782" s="12">
        <v>-59.04</v>
      </c>
    </row>
    <row r="3783" spans="1:17" x14ac:dyDescent="0.3">
      <c r="A3783" s="12" t="s">
        <v>96</v>
      </c>
      <c r="B3783" s="12" t="s">
        <v>201</v>
      </c>
      <c r="C3783" s="12" t="s">
        <v>123</v>
      </c>
      <c r="D3783" s="12" t="s">
        <v>209</v>
      </c>
      <c r="E3783" s="12" t="s">
        <v>110</v>
      </c>
      <c r="F3783" s="12" t="s">
        <v>114</v>
      </c>
      <c r="G3783" s="12" t="s">
        <v>9</v>
      </c>
      <c r="H3783" s="12" t="s">
        <v>220</v>
      </c>
      <c r="I3783" s="12">
        <v>1</v>
      </c>
      <c r="J3783" s="12">
        <v>3385.92</v>
      </c>
      <c r="K3783" s="12">
        <v>3419.94</v>
      </c>
      <c r="L3783" s="12">
        <v>-3385.92</v>
      </c>
      <c r="M3783" s="12">
        <v>-1.3</v>
      </c>
      <c r="N3783" s="12">
        <v>3387.22</v>
      </c>
      <c r="O3783" s="12">
        <v>0</v>
      </c>
      <c r="P3783" s="12">
        <v>34.020000000000003</v>
      </c>
      <c r="Q3783" s="12" t="s">
        <v>215</v>
      </c>
    </row>
    <row r="3784" spans="1:17" x14ac:dyDescent="0.3">
      <c r="A3784" s="12" t="s">
        <v>96</v>
      </c>
      <c r="B3784" s="12" t="s">
        <v>201</v>
      </c>
      <c r="C3784" s="12" t="s">
        <v>123</v>
      </c>
      <c r="D3784" s="12" t="s">
        <v>209</v>
      </c>
      <c r="E3784" s="12" t="s">
        <v>110</v>
      </c>
      <c r="F3784" s="12" t="s">
        <v>114</v>
      </c>
      <c r="G3784" s="12" t="s">
        <v>9</v>
      </c>
      <c r="H3784" s="12" t="s">
        <v>561</v>
      </c>
      <c r="I3784" s="12">
        <v>-1</v>
      </c>
      <c r="J3784" s="12">
        <v>3726.89</v>
      </c>
      <c r="K3784" s="12">
        <v>3741.13</v>
      </c>
      <c r="L3784" s="12">
        <v>3726.89</v>
      </c>
      <c r="M3784" s="12">
        <v>-1.3</v>
      </c>
      <c r="N3784" s="12">
        <v>-3387.22</v>
      </c>
      <c r="O3784" s="12">
        <v>338.37</v>
      </c>
      <c r="P3784" s="12">
        <v>-14.24</v>
      </c>
      <c r="Q3784" s="12" t="s">
        <v>3</v>
      </c>
    </row>
    <row r="3785" spans="1:17" x14ac:dyDescent="0.3">
      <c r="A3785" s="12" t="s">
        <v>96</v>
      </c>
      <c r="B3785" s="12" t="s">
        <v>201</v>
      </c>
      <c r="C3785" s="12" t="s">
        <v>123</v>
      </c>
      <c r="D3785" s="12" t="s">
        <v>209</v>
      </c>
      <c r="E3785" s="12" t="s">
        <v>110</v>
      </c>
      <c r="F3785" s="12" t="s">
        <v>114</v>
      </c>
      <c r="G3785" s="12" t="s">
        <v>9</v>
      </c>
      <c r="H3785" s="12" t="s">
        <v>987</v>
      </c>
      <c r="I3785" s="12">
        <v>2</v>
      </c>
      <c r="J3785" s="12">
        <v>3781.84</v>
      </c>
      <c r="K3785" s="12">
        <v>3659.88</v>
      </c>
      <c r="L3785" s="12">
        <v>-7563.68</v>
      </c>
      <c r="M3785" s="12">
        <v>0</v>
      </c>
      <c r="N3785" s="12">
        <v>7563.68</v>
      </c>
      <c r="O3785" s="12">
        <v>0</v>
      </c>
      <c r="P3785" s="12">
        <v>-243.92</v>
      </c>
      <c r="Q3785" s="12" t="s">
        <v>215</v>
      </c>
    </row>
    <row r="3786" spans="1:17" x14ac:dyDescent="0.3">
      <c r="A3786" s="12" t="s">
        <v>96</v>
      </c>
      <c r="B3786" s="12" t="s">
        <v>201</v>
      </c>
      <c r="C3786" s="12" t="s">
        <v>213</v>
      </c>
      <c r="E3786" s="12" t="s">
        <v>110</v>
      </c>
      <c r="F3786" s="12" t="s">
        <v>114</v>
      </c>
      <c r="G3786" s="12" t="s">
        <v>9</v>
      </c>
      <c r="I3786" s="12">
        <v>2</v>
      </c>
      <c r="L3786" s="12">
        <v>-7222.71</v>
      </c>
      <c r="M3786" s="12">
        <v>-2.6</v>
      </c>
      <c r="N3786" s="12">
        <v>7563.68</v>
      </c>
      <c r="O3786" s="12">
        <v>338.37</v>
      </c>
      <c r="P3786" s="12">
        <v>-224.14</v>
      </c>
    </row>
    <row r="3787" spans="1:17" x14ac:dyDescent="0.3">
      <c r="A3787" s="12" t="s">
        <v>96</v>
      </c>
      <c r="B3787" s="12" t="s">
        <v>201</v>
      </c>
      <c r="C3787" s="12" t="s">
        <v>123</v>
      </c>
      <c r="D3787" s="12" t="s">
        <v>209</v>
      </c>
      <c r="E3787" s="12" t="s">
        <v>110</v>
      </c>
      <c r="F3787" s="12" t="s">
        <v>114</v>
      </c>
      <c r="G3787" s="12" t="s">
        <v>3</v>
      </c>
      <c r="H3787" s="12" t="s">
        <v>221</v>
      </c>
      <c r="I3787" s="12">
        <v>148</v>
      </c>
      <c r="J3787" s="12">
        <v>51.39</v>
      </c>
      <c r="K3787" s="12">
        <v>52.62</v>
      </c>
      <c r="L3787" s="12">
        <v>-7605.72</v>
      </c>
      <c r="M3787" s="12">
        <v>-1.3</v>
      </c>
      <c r="N3787" s="12">
        <v>7607.02</v>
      </c>
      <c r="O3787" s="12">
        <v>0</v>
      </c>
      <c r="P3787" s="12">
        <v>182.04</v>
      </c>
      <c r="Q3787" s="12" t="s">
        <v>215</v>
      </c>
    </row>
    <row r="3788" spans="1:17" x14ac:dyDescent="0.3">
      <c r="A3788" s="12" t="s">
        <v>96</v>
      </c>
      <c r="B3788" s="12" t="s">
        <v>201</v>
      </c>
      <c r="C3788" s="12" t="s">
        <v>123</v>
      </c>
      <c r="D3788" s="12" t="s">
        <v>209</v>
      </c>
      <c r="E3788" s="12" t="s">
        <v>110</v>
      </c>
      <c r="F3788" s="12" t="s">
        <v>114</v>
      </c>
      <c r="G3788" s="12" t="s">
        <v>3</v>
      </c>
      <c r="H3788" s="12" t="s">
        <v>717</v>
      </c>
      <c r="I3788" s="12">
        <v>25</v>
      </c>
      <c r="J3788" s="12">
        <v>60.19</v>
      </c>
      <c r="K3788" s="12">
        <v>60.18</v>
      </c>
      <c r="L3788" s="12">
        <v>-1504.75</v>
      </c>
      <c r="M3788" s="12">
        <v>-1.3</v>
      </c>
      <c r="N3788" s="12">
        <v>1506.05</v>
      </c>
      <c r="O3788" s="12">
        <v>0</v>
      </c>
      <c r="P3788" s="12">
        <v>-0.25</v>
      </c>
      <c r="Q3788" s="12" t="s">
        <v>215</v>
      </c>
    </row>
    <row r="3789" spans="1:17" x14ac:dyDescent="0.3">
      <c r="A3789" s="12" t="s">
        <v>96</v>
      </c>
      <c r="B3789" s="12" t="s">
        <v>201</v>
      </c>
      <c r="C3789" s="12" t="s">
        <v>123</v>
      </c>
      <c r="D3789" s="12" t="s">
        <v>209</v>
      </c>
      <c r="E3789" s="12" t="s">
        <v>110</v>
      </c>
      <c r="F3789" s="12" t="s">
        <v>114</v>
      </c>
      <c r="G3789" s="12" t="s">
        <v>3</v>
      </c>
      <c r="H3789" s="12" t="s">
        <v>718</v>
      </c>
      <c r="I3789" s="12">
        <v>-90</v>
      </c>
      <c r="J3789" s="12">
        <v>60.09</v>
      </c>
      <c r="K3789" s="12">
        <v>60.71</v>
      </c>
      <c r="L3789" s="12">
        <v>5408.1</v>
      </c>
      <c r="M3789" s="12">
        <v>-1.3</v>
      </c>
      <c r="N3789" s="12">
        <v>-4625.8905400000003</v>
      </c>
      <c r="O3789" s="12">
        <v>780.90945999999997</v>
      </c>
      <c r="P3789" s="12">
        <v>-55.8</v>
      </c>
      <c r="Q3789" s="12" t="s">
        <v>230</v>
      </c>
    </row>
    <row r="3790" spans="1:17" x14ac:dyDescent="0.3">
      <c r="A3790" s="12" t="s">
        <v>96</v>
      </c>
      <c r="B3790" s="12" t="s">
        <v>201</v>
      </c>
      <c r="C3790" s="12" t="s">
        <v>123</v>
      </c>
      <c r="D3790" s="12" t="s">
        <v>209</v>
      </c>
      <c r="E3790" s="12" t="s">
        <v>110</v>
      </c>
      <c r="F3790" s="12" t="s">
        <v>114</v>
      </c>
      <c r="G3790" s="12" t="s">
        <v>3</v>
      </c>
      <c r="H3790" s="12" t="s">
        <v>719</v>
      </c>
      <c r="I3790" s="12">
        <v>83</v>
      </c>
      <c r="J3790" s="12">
        <v>60.91</v>
      </c>
      <c r="K3790" s="12">
        <v>59.68</v>
      </c>
      <c r="L3790" s="12">
        <v>-5055.53</v>
      </c>
      <c r="M3790" s="12">
        <v>-1.3</v>
      </c>
      <c r="N3790" s="12">
        <v>5056.83</v>
      </c>
      <c r="O3790" s="12">
        <v>0</v>
      </c>
      <c r="P3790" s="12">
        <v>-102.09</v>
      </c>
      <c r="Q3790" s="12" t="s">
        <v>215</v>
      </c>
    </row>
    <row r="3791" spans="1:17" x14ac:dyDescent="0.3">
      <c r="A3791" s="12" t="s">
        <v>96</v>
      </c>
      <c r="B3791" s="12" t="s">
        <v>201</v>
      </c>
      <c r="C3791" s="12" t="s">
        <v>123</v>
      </c>
      <c r="D3791" s="12" t="s">
        <v>209</v>
      </c>
      <c r="E3791" s="12" t="s">
        <v>110</v>
      </c>
      <c r="F3791" s="12" t="s">
        <v>114</v>
      </c>
      <c r="G3791" s="12" t="s">
        <v>3</v>
      </c>
      <c r="H3791" s="12" t="s">
        <v>988</v>
      </c>
      <c r="I3791" s="12">
        <v>-96</v>
      </c>
      <c r="J3791" s="12">
        <v>66.150000000000006</v>
      </c>
      <c r="K3791" s="12">
        <v>65.709999999999994</v>
      </c>
      <c r="L3791" s="12">
        <v>6350.4</v>
      </c>
      <c r="M3791" s="12">
        <v>0</v>
      </c>
      <c r="N3791" s="12">
        <v>-5279.2130729999999</v>
      </c>
      <c r="O3791" s="12">
        <v>1071.186927</v>
      </c>
      <c r="P3791" s="12">
        <v>42.24</v>
      </c>
      <c r="Q3791" s="12" t="s">
        <v>3</v>
      </c>
    </row>
    <row r="3792" spans="1:17" x14ac:dyDescent="0.3">
      <c r="A3792" s="12" t="s">
        <v>96</v>
      </c>
      <c r="B3792" s="12" t="s">
        <v>201</v>
      </c>
      <c r="C3792" s="12" t="s">
        <v>123</v>
      </c>
      <c r="D3792" s="12" t="s">
        <v>209</v>
      </c>
      <c r="E3792" s="12" t="s">
        <v>110</v>
      </c>
      <c r="F3792" s="12" t="s">
        <v>114</v>
      </c>
      <c r="G3792" s="12" t="s">
        <v>3</v>
      </c>
      <c r="H3792" s="12" t="s">
        <v>989</v>
      </c>
      <c r="I3792" s="12">
        <v>70</v>
      </c>
      <c r="J3792" s="12">
        <v>64.37</v>
      </c>
      <c r="K3792" s="12">
        <v>64.52</v>
      </c>
      <c r="L3792" s="12">
        <v>-4505.8999999999996</v>
      </c>
      <c r="M3792" s="12">
        <v>0</v>
      </c>
      <c r="N3792" s="12">
        <v>4505.8999999999996</v>
      </c>
      <c r="O3792" s="12">
        <v>0</v>
      </c>
      <c r="P3792" s="12">
        <v>10.5</v>
      </c>
      <c r="Q3792" s="12" t="s">
        <v>211</v>
      </c>
    </row>
    <row r="3793" spans="1:17" x14ac:dyDescent="0.3">
      <c r="A3793" s="12" t="s">
        <v>96</v>
      </c>
      <c r="B3793" s="12" t="s">
        <v>201</v>
      </c>
      <c r="C3793" s="12" t="s">
        <v>213</v>
      </c>
      <c r="E3793" s="12" t="s">
        <v>110</v>
      </c>
      <c r="F3793" s="12" t="s">
        <v>114</v>
      </c>
      <c r="G3793" s="12" t="s">
        <v>3</v>
      </c>
      <c r="I3793" s="12">
        <v>140</v>
      </c>
      <c r="L3793" s="12">
        <v>-6913.4</v>
      </c>
      <c r="M3793" s="12">
        <v>-5.2</v>
      </c>
      <c r="N3793" s="12">
        <v>8770.696387</v>
      </c>
      <c r="O3793" s="12">
        <v>1852.096387</v>
      </c>
      <c r="P3793" s="12">
        <v>76.64</v>
      </c>
    </row>
    <row r="3794" spans="1:17" x14ac:dyDescent="0.3">
      <c r="A3794" s="12" t="s">
        <v>96</v>
      </c>
      <c r="B3794" s="12" t="s">
        <v>201</v>
      </c>
      <c r="C3794" s="12" t="s">
        <v>123</v>
      </c>
      <c r="D3794" s="12" t="s">
        <v>209</v>
      </c>
      <c r="E3794" s="12" t="s">
        <v>110</v>
      </c>
      <c r="F3794" s="12" t="s">
        <v>114</v>
      </c>
      <c r="G3794" s="12" t="s">
        <v>46</v>
      </c>
      <c r="H3794" s="12" t="s">
        <v>637</v>
      </c>
      <c r="I3794" s="12">
        <v>10</v>
      </c>
      <c r="J3794" s="12">
        <v>339.46</v>
      </c>
      <c r="K3794" s="12">
        <v>338.65</v>
      </c>
      <c r="L3794" s="12">
        <v>-3394.6</v>
      </c>
      <c r="M3794" s="12">
        <v>-1.3</v>
      </c>
      <c r="N3794" s="12">
        <v>3395.9</v>
      </c>
      <c r="O3794" s="12">
        <v>0</v>
      </c>
      <c r="P3794" s="12">
        <v>-8.1</v>
      </c>
      <c r="Q3794" s="12" t="s">
        <v>215</v>
      </c>
    </row>
    <row r="3795" spans="1:17" x14ac:dyDescent="0.3">
      <c r="A3795" s="12" t="s">
        <v>96</v>
      </c>
      <c r="B3795" s="12" t="s">
        <v>201</v>
      </c>
      <c r="C3795" s="12" t="s">
        <v>123</v>
      </c>
      <c r="D3795" s="12" t="s">
        <v>209</v>
      </c>
      <c r="E3795" s="12" t="s">
        <v>110</v>
      </c>
      <c r="F3795" s="12" t="s">
        <v>114</v>
      </c>
      <c r="G3795" s="12" t="s">
        <v>46</v>
      </c>
      <c r="H3795" s="12" t="s">
        <v>720</v>
      </c>
      <c r="I3795" s="12">
        <v>3</v>
      </c>
      <c r="J3795" s="12">
        <v>370.86</v>
      </c>
      <c r="K3795" s="12">
        <v>372.07</v>
      </c>
      <c r="L3795" s="12">
        <v>-1112.58</v>
      </c>
      <c r="M3795" s="12">
        <v>-1.3</v>
      </c>
      <c r="N3795" s="12">
        <v>1113.8800000000001</v>
      </c>
      <c r="O3795" s="12">
        <v>0</v>
      </c>
      <c r="P3795" s="12">
        <v>3.63</v>
      </c>
      <c r="Q3795" s="12" t="s">
        <v>215</v>
      </c>
    </row>
    <row r="3796" spans="1:17" x14ac:dyDescent="0.3">
      <c r="A3796" s="12" t="s">
        <v>96</v>
      </c>
      <c r="B3796" s="12" t="s">
        <v>201</v>
      </c>
      <c r="C3796" s="12" t="s">
        <v>123</v>
      </c>
      <c r="D3796" s="12" t="s">
        <v>209</v>
      </c>
      <c r="E3796" s="12" t="s">
        <v>110</v>
      </c>
      <c r="F3796" s="12" t="s">
        <v>114</v>
      </c>
      <c r="G3796" s="12" t="s">
        <v>46</v>
      </c>
      <c r="H3796" s="12" t="s">
        <v>721</v>
      </c>
      <c r="I3796" s="12">
        <v>6</v>
      </c>
      <c r="J3796" s="12">
        <v>350.49</v>
      </c>
      <c r="K3796" s="12">
        <v>349.8</v>
      </c>
      <c r="L3796" s="12">
        <v>-2102.94</v>
      </c>
      <c r="M3796" s="12">
        <v>-1.3</v>
      </c>
      <c r="N3796" s="12">
        <v>2104.2399999999998</v>
      </c>
      <c r="O3796" s="12">
        <v>0</v>
      </c>
      <c r="P3796" s="12">
        <v>-4.1399999999999997</v>
      </c>
      <c r="Q3796" s="12" t="s">
        <v>215</v>
      </c>
    </row>
    <row r="3797" spans="1:17" x14ac:dyDescent="0.3">
      <c r="A3797" s="12" t="s">
        <v>96</v>
      </c>
      <c r="B3797" s="12" t="s">
        <v>201</v>
      </c>
      <c r="C3797" s="12" t="s">
        <v>123</v>
      </c>
      <c r="D3797" s="12" t="s">
        <v>209</v>
      </c>
      <c r="E3797" s="12" t="s">
        <v>110</v>
      </c>
      <c r="F3797" s="12" t="s">
        <v>114</v>
      </c>
      <c r="G3797" s="12" t="s">
        <v>46</v>
      </c>
      <c r="H3797" s="12" t="s">
        <v>781</v>
      </c>
      <c r="I3797" s="12">
        <v>5</v>
      </c>
      <c r="J3797" s="12">
        <v>358.52</v>
      </c>
      <c r="K3797" s="12">
        <v>359.07</v>
      </c>
      <c r="L3797" s="12">
        <v>-1792.6</v>
      </c>
      <c r="M3797" s="12">
        <v>0</v>
      </c>
      <c r="N3797" s="12">
        <v>1792.6</v>
      </c>
      <c r="O3797" s="12">
        <v>0</v>
      </c>
      <c r="P3797" s="12">
        <v>2.75</v>
      </c>
      <c r="Q3797" s="12" t="s">
        <v>211</v>
      </c>
    </row>
    <row r="3798" spans="1:17" x14ac:dyDescent="0.3">
      <c r="A3798" s="12" t="s">
        <v>96</v>
      </c>
      <c r="B3798" s="12" t="s">
        <v>201</v>
      </c>
      <c r="C3798" s="12" t="s">
        <v>123</v>
      </c>
      <c r="D3798" s="12" t="s">
        <v>209</v>
      </c>
      <c r="E3798" s="12" t="s">
        <v>110</v>
      </c>
      <c r="F3798" s="12" t="s">
        <v>114</v>
      </c>
      <c r="G3798" s="12" t="s">
        <v>46</v>
      </c>
      <c r="H3798" s="12" t="s">
        <v>859</v>
      </c>
      <c r="I3798" s="12">
        <v>-100</v>
      </c>
      <c r="J3798" s="12">
        <v>329</v>
      </c>
      <c r="K3798" s="12">
        <v>329.13</v>
      </c>
      <c r="L3798" s="12">
        <v>32900</v>
      </c>
      <c r="M3798" s="12">
        <v>0</v>
      </c>
      <c r="N3798" s="12">
        <v>-16302.62</v>
      </c>
      <c r="O3798" s="12">
        <v>-510.62</v>
      </c>
      <c r="P3798" s="12">
        <v>-13</v>
      </c>
      <c r="Q3798" s="12" t="s">
        <v>646</v>
      </c>
    </row>
    <row r="3799" spans="1:17" x14ac:dyDescent="0.3">
      <c r="A3799" s="12" t="s">
        <v>96</v>
      </c>
      <c r="B3799" s="12" t="s">
        <v>201</v>
      </c>
      <c r="C3799" s="12" t="s">
        <v>123</v>
      </c>
      <c r="D3799" s="12" t="s">
        <v>209</v>
      </c>
      <c r="E3799" s="12" t="s">
        <v>110</v>
      </c>
      <c r="F3799" s="12" t="s">
        <v>114</v>
      </c>
      <c r="G3799" s="12" t="s">
        <v>46</v>
      </c>
      <c r="H3799" s="12" t="s">
        <v>860</v>
      </c>
      <c r="I3799" s="12">
        <v>76</v>
      </c>
      <c r="J3799" s="12">
        <v>328.95</v>
      </c>
      <c r="K3799" s="12">
        <v>329.13</v>
      </c>
      <c r="L3799" s="12">
        <v>-25000.2</v>
      </c>
      <c r="M3799" s="12">
        <v>0</v>
      </c>
      <c r="N3799" s="12">
        <v>25004</v>
      </c>
      <c r="O3799" s="12">
        <v>3.8</v>
      </c>
      <c r="P3799" s="12">
        <v>13.68</v>
      </c>
      <c r="Q3799" s="12" t="s">
        <v>3</v>
      </c>
    </row>
    <row r="3800" spans="1:17" x14ac:dyDescent="0.3">
      <c r="A3800" s="12" t="s">
        <v>96</v>
      </c>
      <c r="B3800" s="12" t="s">
        <v>201</v>
      </c>
      <c r="C3800" s="12" t="s">
        <v>213</v>
      </c>
      <c r="E3800" s="12" t="s">
        <v>110</v>
      </c>
      <c r="F3800" s="12" t="s">
        <v>114</v>
      </c>
      <c r="G3800" s="12" t="s">
        <v>46</v>
      </c>
      <c r="I3800" s="12">
        <v>0</v>
      </c>
      <c r="L3800" s="12">
        <v>-502.92</v>
      </c>
      <c r="M3800" s="12">
        <v>-3.9</v>
      </c>
      <c r="N3800" s="12">
        <v>17108</v>
      </c>
      <c r="O3800" s="12">
        <v>-506.82</v>
      </c>
      <c r="P3800" s="12">
        <v>-5.18</v>
      </c>
    </row>
    <row r="3801" spans="1:17" x14ac:dyDescent="0.3">
      <c r="A3801" s="12" t="s">
        <v>96</v>
      </c>
      <c r="B3801" s="12" t="s">
        <v>201</v>
      </c>
      <c r="C3801" s="12" t="s">
        <v>123</v>
      </c>
      <c r="D3801" s="12" t="s">
        <v>209</v>
      </c>
      <c r="E3801" s="12" t="s">
        <v>110</v>
      </c>
      <c r="F3801" s="12" t="s">
        <v>114</v>
      </c>
      <c r="G3801" s="12" t="s">
        <v>10</v>
      </c>
      <c r="H3801" s="12" t="s">
        <v>222</v>
      </c>
      <c r="I3801" s="12">
        <v>40</v>
      </c>
      <c r="J3801" s="12">
        <v>119.68</v>
      </c>
      <c r="K3801" s="12">
        <v>116.48</v>
      </c>
      <c r="L3801" s="12">
        <v>-4787.2</v>
      </c>
      <c r="M3801" s="12">
        <v>-1.3</v>
      </c>
      <c r="N3801" s="12">
        <v>4788.5</v>
      </c>
      <c r="O3801" s="12">
        <v>0</v>
      </c>
      <c r="P3801" s="12">
        <v>-128</v>
      </c>
      <c r="Q3801" s="12" t="s">
        <v>215</v>
      </c>
    </row>
    <row r="3802" spans="1:17" x14ac:dyDescent="0.3">
      <c r="A3802" s="12" t="s">
        <v>96</v>
      </c>
      <c r="B3802" s="12" t="s">
        <v>201</v>
      </c>
      <c r="C3802" s="12" t="s">
        <v>123</v>
      </c>
      <c r="D3802" s="12" t="s">
        <v>209</v>
      </c>
      <c r="E3802" s="12" t="s">
        <v>110</v>
      </c>
      <c r="F3802" s="12" t="s">
        <v>114</v>
      </c>
      <c r="G3802" s="12" t="s">
        <v>10</v>
      </c>
      <c r="H3802" s="12" t="s">
        <v>223</v>
      </c>
      <c r="I3802" s="12">
        <v>-40</v>
      </c>
      <c r="J3802" s="12">
        <v>107.63</v>
      </c>
      <c r="K3802" s="12">
        <v>107.57</v>
      </c>
      <c r="L3802" s="12">
        <v>4305.2</v>
      </c>
      <c r="M3802" s="12">
        <v>-1.3</v>
      </c>
      <c r="N3802" s="12">
        <v>-4788.5</v>
      </c>
      <c r="O3802" s="12">
        <v>-484.6</v>
      </c>
      <c r="P3802" s="12">
        <v>2.4</v>
      </c>
      <c r="Q3802" s="12" t="s">
        <v>3</v>
      </c>
    </row>
    <row r="3803" spans="1:17" x14ac:dyDescent="0.3">
      <c r="A3803" s="12" t="s">
        <v>96</v>
      </c>
      <c r="B3803" s="12" t="s">
        <v>201</v>
      </c>
      <c r="C3803" s="12" t="s">
        <v>213</v>
      </c>
      <c r="E3803" s="12" t="s">
        <v>110</v>
      </c>
      <c r="F3803" s="12" t="s">
        <v>114</v>
      </c>
      <c r="G3803" s="12" t="s">
        <v>10</v>
      </c>
      <c r="I3803" s="12">
        <v>0</v>
      </c>
      <c r="L3803" s="12">
        <v>-482</v>
      </c>
      <c r="M3803" s="12">
        <v>-2.6</v>
      </c>
      <c r="N3803" s="12">
        <v>0</v>
      </c>
      <c r="O3803" s="12">
        <v>-484.6</v>
      </c>
      <c r="P3803" s="12">
        <v>-125.6</v>
      </c>
    </row>
    <row r="3804" spans="1:17" x14ac:dyDescent="0.3">
      <c r="A3804" s="12" t="s">
        <v>96</v>
      </c>
      <c r="B3804" s="12" t="s">
        <v>201</v>
      </c>
      <c r="C3804" s="12" t="s">
        <v>123</v>
      </c>
      <c r="D3804" s="12" t="s">
        <v>209</v>
      </c>
      <c r="E3804" s="12" t="s">
        <v>110</v>
      </c>
      <c r="F3804" s="12" t="s">
        <v>114</v>
      </c>
      <c r="G3804" s="12" t="s">
        <v>11</v>
      </c>
      <c r="H3804" s="12" t="s">
        <v>224</v>
      </c>
      <c r="I3804" s="12">
        <v>11</v>
      </c>
      <c r="J3804" s="12">
        <v>643.07000000000005</v>
      </c>
      <c r="K3804" s="12">
        <v>648.35</v>
      </c>
      <c r="L3804" s="12">
        <v>-7073.77</v>
      </c>
      <c r="M3804" s="12">
        <v>-1.3</v>
      </c>
      <c r="N3804" s="12">
        <v>7075.07</v>
      </c>
      <c r="O3804" s="12">
        <v>0</v>
      </c>
      <c r="P3804" s="12">
        <v>58.08</v>
      </c>
      <c r="Q3804" s="12" t="s">
        <v>215</v>
      </c>
    </row>
    <row r="3805" spans="1:17" x14ac:dyDescent="0.3">
      <c r="A3805" s="12" t="s">
        <v>96</v>
      </c>
      <c r="B3805" s="12" t="s">
        <v>201</v>
      </c>
      <c r="C3805" s="12" t="s">
        <v>123</v>
      </c>
      <c r="D3805" s="12" t="s">
        <v>209</v>
      </c>
      <c r="E3805" s="12" t="s">
        <v>110</v>
      </c>
      <c r="F3805" s="12" t="s">
        <v>114</v>
      </c>
      <c r="G3805" s="12" t="s">
        <v>11</v>
      </c>
      <c r="H3805" s="12" t="s">
        <v>638</v>
      </c>
      <c r="I3805" s="12">
        <v>-6</v>
      </c>
      <c r="J3805" s="12">
        <v>781.81</v>
      </c>
      <c r="K3805" s="12">
        <v>785.59</v>
      </c>
      <c r="L3805" s="12">
        <v>4690.8599999999997</v>
      </c>
      <c r="M3805" s="12">
        <v>-1.3</v>
      </c>
      <c r="N3805" s="12">
        <v>-3859.1290909999998</v>
      </c>
      <c r="O3805" s="12">
        <v>830.43090900000004</v>
      </c>
      <c r="P3805" s="12">
        <v>-22.68</v>
      </c>
      <c r="Q3805" s="12" t="s">
        <v>3</v>
      </c>
    </row>
    <row r="3806" spans="1:17" x14ac:dyDescent="0.3">
      <c r="A3806" s="12" t="s">
        <v>96</v>
      </c>
      <c r="B3806" s="12" t="s">
        <v>201</v>
      </c>
      <c r="C3806" s="12" t="s">
        <v>123</v>
      </c>
      <c r="D3806" s="12" t="s">
        <v>209</v>
      </c>
      <c r="E3806" s="12" t="s">
        <v>110</v>
      </c>
      <c r="F3806" s="12" t="s">
        <v>114</v>
      </c>
      <c r="G3806" s="12" t="s">
        <v>11</v>
      </c>
      <c r="H3806" s="12" t="s">
        <v>639</v>
      </c>
      <c r="I3806" s="12">
        <v>5</v>
      </c>
      <c r="J3806" s="12">
        <v>752.3</v>
      </c>
      <c r="K3806" s="12">
        <v>725.56</v>
      </c>
      <c r="L3806" s="12">
        <v>-3761.5</v>
      </c>
      <c r="M3806" s="12">
        <v>-1.3</v>
      </c>
      <c r="N3806" s="12">
        <v>3762.8</v>
      </c>
      <c r="O3806" s="12">
        <v>0</v>
      </c>
      <c r="P3806" s="12">
        <v>-133.69999999999999</v>
      </c>
      <c r="Q3806" s="12" t="s">
        <v>211</v>
      </c>
    </row>
    <row r="3807" spans="1:17" x14ac:dyDescent="0.3">
      <c r="A3807" s="12" t="s">
        <v>96</v>
      </c>
      <c r="B3807" s="12" t="s">
        <v>201</v>
      </c>
      <c r="C3807" s="12" t="s">
        <v>123</v>
      </c>
      <c r="D3807" s="12" t="s">
        <v>209</v>
      </c>
      <c r="E3807" s="12" t="s">
        <v>110</v>
      </c>
      <c r="F3807" s="12" t="s">
        <v>114</v>
      </c>
      <c r="G3807" s="12" t="s">
        <v>11</v>
      </c>
      <c r="H3807" s="12" t="s">
        <v>782</v>
      </c>
      <c r="I3807" s="12">
        <v>10</v>
      </c>
      <c r="J3807" s="12">
        <v>783.5</v>
      </c>
      <c r="K3807" s="12">
        <v>787.19</v>
      </c>
      <c r="L3807" s="12">
        <v>-7835</v>
      </c>
      <c r="M3807" s="12">
        <v>0</v>
      </c>
      <c r="N3807" s="12">
        <v>7835</v>
      </c>
      <c r="O3807" s="12">
        <v>0</v>
      </c>
      <c r="P3807" s="12">
        <v>36.9</v>
      </c>
      <c r="Q3807" s="12" t="s">
        <v>215</v>
      </c>
    </row>
    <row r="3808" spans="1:17" x14ac:dyDescent="0.3">
      <c r="A3808" s="12" t="s">
        <v>96</v>
      </c>
      <c r="B3808" s="12" t="s">
        <v>201</v>
      </c>
      <c r="C3808" s="12" t="s">
        <v>123</v>
      </c>
      <c r="D3808" s="12" t="s">
        <v>209</v>
      </c>
      <c r="E3808" s="12" t="s">
        <v>110</v>
      </c>
      <c r="F3808" s="12" t="s">
        <v>114</v>
      </c>
      <c r="G3808" s="12" t="s">
        <v>11</v>
      </c>
      <c r="H3808" s="12" t="s">
        <v>783</v>
      </c>
      <c r="I3808" s="12">
        <v>-10</v>
      </c>
      <c r="J3808" s="12">
        <v>793</v>
      </c>
      <c r="K3808" s="12">
        <v>800.93</v>
      </c>
      <c r="L3808" s="12">
        <v>7930</v>
      </c>
      <c r="M3808" s="12">
        <v>0</v>
      </c>
      <c r="N3808" s="12">
        <v>-6978.7409090000001</v>
      </c>
      <c r="O3808" s="12">
        <v>951.25909100000001</v>
      </c>
      <c r="P3808" s="12">
        <v>-79.3</v>
      </c>
      <c r="Q3808" s="12" t="s">
        <v>3</v>
      </c>
    </row>
    <row r="3809" spans="1:17" x14ac:dyDescent="0.3">
      <c r="A3809" s="12" t="s">
        <v>96</v>
      </c>
      <c r="B3809" s="12" t="s">
        <v>201</v>
      </c>
      <c r="C3809" s="12" t="s">
        <v>123</v>
      </c>
      <c r="D3809" s="12" t="s">
        <v>209</v>
      </c>
      <c r="E3809" s="12" t="s">
        <v>110</v>
      </c>
      <c r="F3809" s="12" t="s">
        <v>114</v>
      </c>
      <c r="G3809" s="12" t="s">
        <v>11</v>
      </c>
      <c r="H3809" s="12" t="s">
        <v>784</v>
      </c>
      <c r="I3809" s="12">
        <v>-5</v>
      </c>
      <c r="J3809" s="12">
        <v>805.8605</v>
      </c>
      <c r="K3809" s="12">
        <v>813.17</v>
      </c>
      <c r="L3809" s="12">
        <v>4029.3024999999998</v>
      </c>
      <c r="M3809" s="12">
        <v>0</v>
      </c>
      <c r="N3809" s="12">
        <v>-3917.5</v>
      </c>
      <c r="O3809" s="12">
        <v>111.80249999999999</v>
      </c>
      <c r="P3809" s="12">
        <v>-36.547499999999999</v>
      </c>
      <c r="Q3809" s="12" t="s">
        <v>785</v>
      </c>
    </row>
    <row r="3810" spans="1:17" x14ac:dyDescent="0.3">
      <c r="A3810" s="12" t="s">
        <v>96</v>
      </c>
      <c r="B3810" s="12" t="s">
        <v>201</v>
      </c>
      <c r="C3810" s="12" t="s">
        <v>123</v>
      </c>
      <c r="D3810" s="12" t="s">
        <v>209</v>
      </c>
      <c r="E3810" s="12" t="s">
        <v>110</v>
      </c>
      <c r="F3810" s="12" t="s">
        <v>114</v>
      </c>
      <c r="G3810" s="12" t="s">
        <v>11</v>
      </c>
      <c r="H3810" s="12" t="s">
        <v>990</v>
      </c>
      <c r="I3810" s="12">
        <v>5</v>
      </c>
      <c r="J3810" s="12">
        <v>841.56</v>
      </c>
      <c r="K3810" s="12">
        <v>830.82</v>
      </c>
      <c r="L3810" s="12">
        <v>-4207.8</v>
      </c>
      <c r="M3810" s="12">
        <v>0</v>
      </c>
      <c r="N3810" s="12">
        <v>4207.8</v>
      </c>
      <c r="O3810" s="12">
        <v>0</v>
      </c>
      <c r="P3810" s="12">
        <v>-53.7</v>
      </c>
      <c r="Q3810" s="12" t="s">
        <v>215</v>
      </c>
    </row>
    <row r="3811" spans="1:17" x14ac:dyDescent="0.3">
      <c r="A3811" s="12" t="s">
        <v>96</v>
      </c>
      <c r="B3811" s="12" t="s">
        <v>201</v>
      </c>
      <c r="C3811" s="12" t="s">
        <v>213</v>
      </c>
      <c r="E3811" s="12" t="s">
        <v>110</v>
      </c>
      <c r="F3811" s="12" t="s">
        <v>114</v>
      </c>
      <c r="G3811" s="12" t="s">
        <v>11</v>
      </c>
      <c r="I3811" s="12">
        <v>10</v>
      </c>
      <c r="L3811" s="12">
        <v>-6227.9075000000003</v>
      </c>
      <c r="M3811" s="12">
        <v>-3.9</v>
      </c>
      <c r="N3811" s="12">
        <v>8125.3</v>
      </c>
      <c r="O3811" s="12">
        <v>1893.4925000000001</v>
      </c>
      <c r="P3811" s="12">
        <v>-230.94749999999999</v>
      </c>
    </row>
    <row r="3812" spans="1:17" x14ac:dyDescent="0.3">
      <c r="A3812" s="12" t="s">
        <v>96</v>
      </c>
      <c r="B3812" s="12" t="s">
        <v>201</v>
      </c>
      <c r="C3812" s="12" t="s">
        <v>123</v>
      </c>
      <c r="D3812" s="12" t="s">
        <v>209</v>
      </c>
      <c r="E3812" s="12" t="s">
        <v>110</v>
      </c>
      <c r="F3812" s="12" t="s">
        <v>114</v>
      </c>
      <c r="G3812" s="12" t="s">
        <v>47</v>
      </c>
      <c r="H3812" s="12" t="s">
        <v>640</v>
      </c>
      <c r="I3812" s="12">
        <v>16</v>
      </c>
      <c r="J3812" s="12">
        <v>260.10000000000002</v>
      </c>
      <c r="K3812" s="12">
        <v>258.92</v>
      </c>
      <c r="L3812" s="12">
        <v>-4161.6000000000004</v>
      </c>
      <c r="M3812" s="12">
        <v>-1.3</v>
      </c>
      <c r="N3812" s="12">
        <v>4162.8999999999996</v>
      </c>
      <c r="O3812" s="12">
        <v>0</v>
      </c>
      <c r="P3812" s="12">
        <v>-18.88</v>
      </c>
      <c r="Q3812" s="12" t="s">
        <v>215</v>
      </c>
    </row>
    <row r="3813" spans="1:17" x14ac:dyDescent="0.3">
      <c r="A3813" s="12" t="s">
        <v>96</v>
      </c>
      <c r="B3813" s="12" t="s">
        <v>201</v>
      </c>
      <c r="C3813" s="12" t="s">
        <v>123</v>
      </c>
      <c r="D3813" s="12" t="s">
        <v>209</v>
      </c>
      <c r="E3813" s="12" t="s">
        <v>110</v>
      </c>
      <c r="F3813" s="12" t="s">
        <v>114</v>
      </c>
      <c r="G3813" s="12" t="s">
        <v>47</v>
      </c>
      <c r="H3813" s="12" t="s">
        <v>786</v>
      </c>
      <c r="I3813" s="12">
        <v>-16</v>
      </c>
      <c r="J3813" s="12">
        <v>226.74</v>
      </c>
      <c r="K3813" s="12">
        <v>230.09</v>
      </c>
      <c r="L3813" s="12">
        <v>3627.84</v>
      </c>
      <c r="M3813" s="12">
        <v>0</v>
      </c>
      <c r="N3813" s="12">
        <v>-4162.8999999999996</v>
      </c>
      <c r="O3813" s="12">
        <v>-535.05999999999995</v>
      </c>
      <c r="P3813" s="12">
        <v>-53.6</v>
      </c>
      <c r="Q3813" s="12" t="s">
        <v>3</v>
      </c>
    </row>
    <row r="3814" spans="1:17" x14ac:dyDescent="0.3">
      <c r="A3814" s="12" t="s">
        <v>96</v>
      </c>
      <c r="B3814" s="12" t="s">
        <v>201</v>
      </c>
      <c r="C3814" s="12" t="s">
        <v>213</v>
      </c>
      <c r="E3814" s="12" t="s">
        <v>110</v>
      </c>
      <c r="F3814" s="12" t="s">
        <v>114</v>
      </c>
      <c r="G3814" s="12" t="s">
        <v>47</v>
      </c>
      <c r="I3814" s="12">
        <v>0</v>
      </c>
      <c r="L3814" s="12">
        <v>-533.76</v>
      </c>
      <c r="M3814" s="12">
        <v>-1.3</v>
      </c>
      <c r="N3814" s="12">
        <v>0</v>
      </c>
      <c r="O3814" s="12">
        <v>-535.05999999999995</v>
      </c>
      <c r="P3814" s="12">
        <v>-72.48</v>
      </c>
    </row>
    <row r="3815" spans="1:17" x14ac:dyDescent="0.3">
      <c r="A3815" s="12" t="s">
        <v>96</v>
      </c>
      <c r="B3815" s="12" t="s">
        <v>201</v>
      </c>
      <c r="C3815" s="12" t="s">
        <v>123</v>
      </c>
      <c r="D3815" s="12" t="s">
        <v>209</v>
      </c>
      <c r="E3815" s="12" t="s">
        <v>110</v>
      </c>
      <c r="F3815" s="12" t="s">
        <v>114</v>
      </c>
      <c r="G3815" s="12" t="s">
        <v>85</v>
      </c>
      <c r="H3815" s="12" t="s">
        <v>1070</v>
      </c>
      <c r="I3815" s="12">
        <v>20</v>
      </c>
      <c r="J3815" s="12">
        <v>258.89999999999998</v>
      </c>
      <c r="K3815" s="12">
        <v>257.01</v>
      </c>
      <c r="L3815" s="12">
        <v>-5178</v>
      </c>
      <c r="M3815" s="12">
        <v>0</v>
      </c>
      <c r="N3815" s="12">
        <v>5178</v>
      </c>
      <c r="O3815" s="12">
        <v>0</v>
      </c>
      <c r="P3815" s="12">
        <v>-37.799999999999997</v>
      </c>
      <c r="Q3815" s="12" t="s">
        <v>215</v>
      </c>
    </row>
    <row r="3816" spans="1:17" x14ac:dyDescent="0.3">
      <c r="A3816" s="12" t="s">
        <v>96</v>
      </c>
      <c r="B3816" s="12" t="s">
        <v>201</v>
      </c>
      <c r="C3816" s="12" t="s">
        <v>213</v>
      </c>
      <c r="E3816" s="12" t="s">
        <v>110</v>
      </c>
      <c r="F3816" s="12" t="s">
        <v>114</v>
      </c>
      <c r="G3816" s="12" t="s">
        <v>85</v>
      </c>
      <c r="I3816" s="12">
        <v>20</v>
      </c>
      <c r="L3816" s="12">
        <v>-5178</v>
      </c>
      <c r="M3816" s="12">
        <v>0</v>
      </c>
      <c r="N3816" s="12">
        <v>5178</v>
      </c>
      <c r="O3816" s="12">
        <v>0</v>
      </c>
      <c r="P3816" s="12">
        <v>-37.799999999999997</v>
      </c>
    </row>
    <row r="3817" spans="1:17" x14ac:dyDescent="0.3">
      <c r="A3817" s="12" t="s">
        <v>96</v>
      </c>
      <c r="B3817" s="12" t="s">
        <v>201</v>
      </c>
      <c r="C3817" s="12" t="s">
        <v>123</v>
      </c>
      <c r="D3817" s="12" t="s">
        <v>209</v>
      </c>
      <c r="E3817" s="12" t="s">
        <v>110</v>
      </c>
      <c r="F3817" s="12" t="s">
        <v>114</v>
      </c>
      <c r="G3817" s="12" t="s">
        <v>12</v>
      </c>
      <c r="H3817" s="12" t="s">
        <v>225</v>
      </c>
      <c r="I3817" s="12">
        <v>95</v>
      </c>
      <c r="J3817" s="12">
        <v>80.37</v>
      </c>
      <c r="K3817" s="12">
        <v>80.510000000000005</v>
      </c>
      <c r="L3817" s="12">
        <v>-7635.15</v>
      </c>
      <c r="M3817" s="12">
        <v>-1.3</v>
      </c>
      <c r="N3817" s="12">
        <v>7636.45</v>
      </c>
      <c r="O3817" s="12">
        <v>0</v>
      </c>
      <c r="P3817" s="12">
        <v>13.3</v>
      </c>
      <c r="Q3817" s="12" t="s">
        <v>211</v>
      </c>
    </row>
    <row r="3818" spans="1:17" x14ac:dyDescent="0.3">
      <c r="A3818" s="12" t="s">
        <v>96</v>
      </c>
      <c r="B3818" s="12" t="s">
        <v>201</v>
      </c>
      <c r="C3818" s="12" t="s">
        <v>123</v>
      </c>
      <c r="D3818" s="12" t="s">
        <v>209</v>
      </c>
      <c r="E3818" s="12" t="s">
        <v>110</v>
      </c>
      <c r="F3818" s="12" t="s">
        <v>114</v>
      </c>
      <c r="G3818" s="12" t="s">
        <v>12</v>
      </c>
      <c r="H3818" s="12" t="s">
        <v>226</v>
      </c>
      <c r="I3818" s="12">
        <v>-95</v>
      </c>
      <c r="J3818" s="12">
        <v>71.13</v>
      </c>
      <c r="K3818" s="12">
        <v>71.989999999999995</v>
      </c>
      <c r="L3818" s="12">
        <v>6757.35</v>
      </c>
      <c r="M3818" s="12">
        <v>-1.3</v>
      </c>
      <c r="N3818" s="12">
        <v>-7636.45</v>
      </c>
      <c r="O3818" s="12">
        <v>-880.4</v>
      </c>
      <c r="P3818" s="12">
        <v>-81.7</v>
      </c>
      <c r="Q3818" s="12" t="s">
        <v>3</v>
      </c>
    </row>
    <row r="3819" spans="1:17" x14ac:dyDescent="0.3">
      <c r="A3819" s="12" t="s">
        <v>96</v>
      </c>
      <c r="B3819" s="12" t="s">
        <v>201</v>
      </c>
      <c r="C3819" s="12" t="s">
        <v>213</v>
      </c>
      <c r="E3819" s="12" t="s">
        <v>110</v>
      </c>
      <c r="F3819" s="12" t="s">
        <v>114</v>
      </c>
      <c r="G3819" s="12" t="s">
        <v>12</v>
      </c>
      <c r="I3819" s="12">
        <v>0</v>
      </c>
      <c r="L3819" s="12">
        <v>-877.8</v>
      </c>
      <c r="M3819" s="12">
        <v>-2.6</v>
      </c>
      <c r="N3819" s="12">
        <v>0</v>
      </c>
      <c r="O3819" s="12">
        <v>-880.4</v>
      </c>
      <c r="P3819" s="12">
        <v>-68.400000000000006</v>
      </c>
    </row>
    <row r="3820" spans="1:17" x14ac:dyDescent="0.3">
      <c r="A3820" s="12" t="s">
        <v>96</v>
      </c>
      <c r="B3820" s="12" t="s">
        <v>201</v>
      </c>
      <c r="C3820" s="12" t="s">
        <v>123</v>
      </c>
      <c r="D3820" s="12" t="s">
        <v>209</v>
      </c>
      <c r="E3820" s="12" t="s">
        <v>110</v>
      </c>
      <c r="F3820" s="12" t="s">
        <v>114</v>
      </c>
      <c r="G3820" s="12" t="s">
        <v>66</v>
      </c>
      <c r="H3820" s="12" t="s">
        <v>861</v>
      </c>
      <c r="I3820" s="12">
        <v>65</v>
      </c>
      <c r="J3820" s="12">
        <v>80.03</v>
      </c>
      <c r="K3820" s="12">
        <v>79.87</v>
      </c>
      <c r="L3820" s="12">
        <v>-5201.95</v>
      </c>
      <c r="M3820" s="12">
        <v>0</v>
      </c>
      <c r="N3820" s="12">
        <v>5201.95</v>
      </c>
      <c r="O3820" s="12">
        <v>0</v>
      </c>
      <c r="P3820" s="12">
        <v>-10.4</v>
      </c>
      <c r="Q3820" s="12" t="s">
        <v>215</v>
      </c>
    </row>
    <row r="3821" spans="1:17" x14ac:dyDescent="0.3">
      <c r="A3821" s="12" t="s">
        <v>96</v>
      </c>
      <c r="B3821" s="12" t="s">
        <v>201</v>
      </c>
      <c r="C3821" s="12" t="s">
        <v>123</v>
      </c>
      <c r="D3821" s="12" t="s">
        <v>209</v>
      </c>
      <c r="E3821" s="12" t="s">
        <v>110</v>
      </c>
      <c r="F3821" s="12" t="s">
        <v>114</v>
      </c>
      <c r="G3821" s="12" t="s">
        <v>66</v>
      </c>
      <c r="H3821" s="12" t="s">
        <v>991</v>
      </c>
      <c r="I3821" s="12">
        <v>-65</v>
      </c>
      <c r="J3821" s="12">
        <v>79.44</v>
      </c>
      <c r="K3821" s="12">
        <v>79.19</v>
      </c>
      <c r="L3821" s="12">
        <v>5163.6000000000004</v>
      </c>
      <c r="M3821" s="12">
        <v>0</v>
      </c>
      <c r="N3821" s="12">
        <v>-5201.95</v>
      </c>
      <c r="O3821" s="12">
        <v>-38.35</v>
      </c>
      <c r="P3821" s="12">
        <v>16.25</v>
      </c>
      <c r="Q3821" s="12" t="s">
        <v>3</v>
      </c>
    </row>
    <row r="3822" spans="1:17" x14ac:dyDescent="0.3">
      <c r="A3822" s="12" t="s">
        <v>96</v>
      </c>
      <c r="B3822" s="12" t="s">
        <v>201</v>
      </c>
      <c r="C3822" s="12" t="s">
        <v>213</v>
      </c>
      <c r="E3822" s="12" t="s">
        <v>110</v>
      </c>
      <c r="F3822" s="12" t="s">
        <v>114</v>
      </c>
      <c r="G3822" s="12" t="s">
        <v>66</v>
      </c>
      <c r="I3822" s="12">
        <v>0</v>
      </c>
      <c r="L3822" s="12">
        <v>-38.35</v>
      </c>
      <c r="M3822" s="12">
        <v>0</v>
      </c>
      <c r="N3822" s="12">
        <v>0</v>
      </c>
      <c r="O3822" s="12">
        <v>-38.35</v>
      </c>
      <c r="P3822" s="12">
        <v>5.85</v>
      </c>
    </row>
    <row r="3823" spans="1:17" x14ac:dyDescent="0.3">
      <c r="A3823" s="12" t="s">
        <v>96</v>
      </c>
      <c r="B3823" s="12" t="s">
        <v>201</v>
      </c>
      <c r="C3823" s="12" t="s">
        <v>123</v>
      </c>
      <c r="D3823" s="12" t="s">
        <v>209</v>
      </c>
      <c r="E3823" s="12" t="s">
        <v>110</v>
      </c>
      <c r="F3823" s="12" t="s">
        <v>114</v>
      </c>
      <c r="G3823" s="12" t="s">
        <v>13</v>
      </c>
      <c r="H3823" s="12" t="s">
        <v>227</v>
      </c>
      <c r="I3823" s="12">
        <v>18</v>
      </c>
      <c r="J3823" s="12">
        <v>400.01</v>
      </c>
      <c r="K3823" s="12">
        <v>400.91</v>
      </c>
      <c r="L3823" s="12">
        <v>-7200.18</v>
      </c>
      <c r="M3823" s="12">
        <v>-1.3</v>
      </c>
      <c r="N3823" s="12">
        <v>7201.48</v>
      </c>
      <c r="O3823" s="12">
        <v>0</v>
      </c>
      <c r="P3823" s="12">
        <v>16.2</v>
      </c>
      <c r="Q3823" s="12" t="s">
        <v>211</v>
      </c>
    </row>
    <row r="3824" spans="1:17" x14ac:dyDescent="0.3">
      <c r="A3824" s="12" t="s">
        <v>96</v>
      </c>
      <c r="B3824" s="12" t="s">
        <v>201</v>
      </c>
      <c r="C3824" s="12" t="s">
        <v>123</v>
      </c>
      <c r="D3824" s="12" t="s">
        <v>209</v>
      </c>
      <c r="E3824" s="12" t="s">
        <v>110</v>
      </c>
      <c r="F3824" s="12" t="s">
        <v>114</v>
      </c>
      <c r="G3824" s="12" t="s">
        <v>13</v>
      </c>
      <c r="H3824" s="12" t="s">
        <v>562</v>
      </c>
      <c r="I3824" s="12">
        <v>-18</v>
      </c>
      <c r="J3824" s="12">
        <v>388</v>
      </c>
      <c r="K3824" s="12">
        <v>385.95</v>
      </c>
      <c r="L3824" s="12">
        <v>6984</v>
      </c>
      <c r="M3824" s="12">
        <v>-1.3</v>
      </c>
      <c r="N3824" s="12">
        <v>-7201.48</v>
      </c>
      <c r="O3824" s="12">
        <v>-218.78</v>
      </c>
      <c r="P3824" s="12">
        <v>36.9</v>
      </c>
      <c r="Q3824" s="12" t="s">
        <v>3</v>
      </c>
    </row>
    <row r="3825" spans="1:17" x14ac:dyDescent="0.3">
      <c r="A3825" s="12" t="s">
        <v>96</v>
      </c>
      <c r="B3825" s="12" t="s">
        <v>201</v>
      </c>
      <c r="C3825" s="12" t="s">
        <v>123</v>
      </c>
      <c r="D3825" s="12" t="s">
        <v>209</v>
      </c>
      <c r="E3825" s="12" t="s">
        <v>110</v>
      </c>
      <c r="F3825" s="12" t="s">
        <v>114</v>
      </c>
      <c r="G3825" s="12" t="s">
        <v>13</v>
      </c>
      <c r="H3825" s="12" t="s">
        <v>563</v>
      </c>
      <c r="I3825" s="12">
        <v>10</v>
      </c>
      <c r="J3825" s="12">
        <v>363.24</v>
      </c>
      <c r="K3825" s="12">
        <v>364.66</v>
      </c>
      <c r="L3825" s="12">
        <v>-3632.4</v>
      </c>
      <c r="M3825" s="12">
        <v>-1.3</v>
      </c>
      <c r="N3825" s="12">
        <v>3633.7</v>
      </c>
      <c r="O3825" s="12">
        <v>0</v>
      </c>
      <c r="P3825" s="12">
        <v>14.2</v>
      </c>
      <c r="Q3825" s="12" t="s">
        <v>215</v>
      </c>
    </row>
    <row r="3826" spans="1:17" x14ac:dyDescent="0.3">
      <c r="A3826" s="12" t="s">
        <v>96</v>
      </c>
      <c r="B3826" s="12" t="s">
        <v>201</v>
      </c>
      <c r="C3826" s="12" t="s">
        <v>123</v>
      </c>
      <c r="D3826" s="12" t="s">
        <v>209</v>
      </c>
      <c r="E3826" s="12" t="s">
        <v>110</v>
      </c>
      <c r="F3826" s="12" t="s">
        <v>114</v>
      </c>
      <c r="G3826" s="12" t="s">
        <v>13</v>
      </c>
      <c r="H3826" s="12" t="s">
        <v>641</v>
      </c>
      <c r="I3826" s="12">
        <v>-10</v>
      </c>
      <c r="J3826" s="12">
        <v>363.52</v>
      </c>
      <c r="K3826" s="12">
        <v>364.42</v>
      </c>
      <c r="L3826" s="12">
        <v>3635.2</v>
      </c>
      <c r="M3826" s="12">
        <v>-1.3</v>
      </c>
      <c r="N3826" s="12">
        <v>-3633.7</v>
      </c>
      <c r="O3826" s="12">
        <v>0.2</v>
      </c>
      <c r="P3826" s="12">
        <v>-9</v>
      </c>
      <c r="Q3826" s="12" t="s">
        <v>230</v>
      </c>
    </row>
    <row r="3827" spans="1:17" x14ac:dyDescent="0.3">
      <c r="A3827" s="12" t="s">
        <v>96</v>
      </c>
      <c r="B3827" s="12" t="s">
        <v>201</v>
      </c>
      <c r="C3827" s="12" t="s">
        <v>213</v>
      </c>
      <c r="E3827" s="12" t="s">
        <v>110</v>
      </c>
      <c r="F3827" s="12" t="s">
        <v>114</v>
      </c>
      <c r="G3827" s="12" t="s">
        <v>13</v>
      </c>
      <c r="I3827" s="12">
        <v>0</v>
      </c>
      <c r="L3827" s="12">
        <v>-213.38</v>
      </c>
      <c r="M3827" s="12">
        <v>-5.2</v>
      </c>
      <c r="N3827" s="12">
        <v>0</v>
      </c>
      <c r="O3827" s="12">
        <v>-218.58</v>
      </c>
      <c r="P3827" s="12">
        <v>58.3</v>
      </c>
    </row>
    <row r="3828" spans="1:17" x14ac:dyDescent="0.3">
      <c r="A3828" s="12" t="s">
        <v>96</v>
      </c>
      <c r="B3828" s="12" t="s">
        <v>201</v>
      </c>
      <c r="C3828" s="12" t="s">
        <v>123</v>
      </c>
      <c r="D3828" s="12" t="s">
        <v>209</v>
      </c>
      <c r="E3828" s="12" t="s">
        <v>110</v>
      </c>
      <c r="F3828" s="12" t="s">
        <v>114</v>
      </c>
      <c r="G3828" s="12" t="s">
        <v>14</v>
      </c>
      <c r="H3828" s="12" t="s">
        <v>228</v>
      </c>
      <c r="I3828" s="12">
        <v>32</v>
      </c>
      <c r="J3828" s="12">
        <v>230.45</v>
      </c>
      <c r="K3828" s="12">
        <v>232.62</v>
      </c>
      <c r="L3828" s="12">
        <v>-7374.4</v>
      </c>
      <c r="M3828" s="12">
        <v>-1.3</v>
      </c>
      <c r="N3828" s="12">
        <v>7375.7</v>
      </c>
      <c r="O3828" s="12">
        <v>0</v>
      </c>
      <c r="P3828" s="12">
        <v>69.44</v>
      </c>
      <c r="Q3828" s="12" t="s">
        <v>215</v>
      </c>
    </row>
    <row r="3829" spans="1:17" x14ac:dyDescent="0.3">
      <c r="A3829" s="12" t="s">
        <v>96</v>
      </c>
      <c r="B3829" s="12" t="s">
        <v>201</v>
      </c>
      <c r="C3829" s="12" t="s">
        <v>123</v>
      </c>
      <c r="D3829" s="12" t="s">
        <v>209</v>
      </c>
      <c r="E3829" s="12" t="s">
        <v>110</v>
      </c>
      <c r="F3829" s="12" t="s">
        <v>114</v>
      </c>
      <c r="G3829" s="12" t="s">
        <v>14</v>
      </c>
      <c r="H3829" s="12" t="s">
        <v>229</v>
      </c>
      <c r="I3829" s="12">
        <v>-32</v>
      </c>
      <c r="J3829" s="12">
        <v>232.58</v>
      </c>
      <c r="K3829" s="12">
        <v>233.93</v>
      </c>
      <c r="L3829" s="12">
        <v>7442.56</v>
      </c>
      <c r="M3829" s="12">
        <v>-1.3</v>
      </c>
      <c r="N3829" s="12">
        <v>-7375.7</v>
      </c>
      <c r="O3829" s="12">
        <v>65.56</v>
      </c>
      <c r="P3829" s="12">
        <v>-43.2</v>
      </c>
      <c r="Q3829" s="12" t="s">
        <v>230</v>
      </c>
    </row>
    <row r="3830" spans="1:17" x14ac:dyDescent="0.3">
      <c r="A3830" s="12" t="s">
        <v>96</v>
      </c>
      <c r="B3830" s="12" t="s">
        <v>201</v>
      </c>
      <c r="C3830" s="12" t="s">
        <v>123</v>
      </c>
      <c r="D3830" s="12" t="s">
        <v>209</v>
      </c>
      <c r="E3830" s="12" t="s">
        <v>110</v>
      </c>
      <c r="F3830" s="12" t="s">
        <v>114</v>
      </c>
      <c r="G3830" s="12" t="s">
        <v>14</v>
      </c>
      <c r="H3830" s="12" t="s">
        <v>787</v>
      </c>
      <c r="I3830" s="12">
        <v>30</v>
      </c>
      <c r="J3830" s="12">
        <v>253.11</v>
      </c>
      <c r="K3830" s="12">
        <v>253.38</v>
      </c>
      <c r="L3830" s="12">
        <v>-7593.3</v>
      </c>
      <c r="M3830" s="12">
        <v>0</v>
      </c>
      <c r="N3830" s="12">
        <v>7593.3</v>
      </c>
      <c r="O3830" s="12">
        <v>0</v>
      </c>
      <c r="P3830" s="12">
        <v>8.1</v>
      </c>
      <c r="Q3830" s="12" t="s">
        <v>215</v>
      </c>
    </row>
    <row r="3831" spans="1:17" x14ac:dyDescent="0.3">
      <c r="A3831" s="12" t="s">
        <v>96</v>
      </c>
      <c r="B3831" s="12" t="s">
        <v>201</v>
      </c>
      <c r="C3831" s="12" t="s">
        <v>123</v>
      </c>
      <c r="D3831" s="12" t="s">
        <v>209</v>
      </c>
      <c r="E3831" s="12" t="s">
        <v>110</v>
      </c>
      <c r="F3831" s="12" t="s">
        <v>114</v>
      </c>
      <c r="G3831" s="12" t="s">
        <v>14</v>
      </c>
      <c r="H3831" s="12" t="s">
        <v>992</v>
      </c>
      <c r="I3831" s="12">
        <v>-30</v>
      </c>
      <c r="J3831" s="12">
        <v>241.27</v>
      </c>
      <c r="K3831" s="12">
        <v>240</v>
      </c>
      <c r="L3831" s="12">
        <v>7238.1</v>
      </c>
      <c r="M3831" s="12">
        <v>0</v>
      </c>
      <c r="N3831" s="12">
        <v>-7593.3</v>
      </c>
      <c r="O3831" s="12">
        <v>-355.2</v>
      </c>
      <c r="P3831" s="12">
        <v>38.1</v>
      </c>
      <c r="Q3831" s="12" t="s">
        <v>3</v>
      </c>
    </row>
    <row r="3832" spans="1:17" x14ac:dyDescent="0.3">
      <c r="A3832" s="12" t="s">
        <v>96</v>
      </c>
      <c r="B3832" s="12" t="s">
        <v>201</v>
      </c>
      <c r="C3832" s="12" t="s">
        <v>213</v>
      </c>
      <c r="E3832" s="12" t="s">
        <v>110</v>
      </c>
      <c r="F3832" s="12" t="s">
        <v>114</v>
      </c>
      <c r="G3832" s="12" t="s">
        <v>14</v>
      </c>
      <c r="I3832" s="12">
        <v>0</v>
      </c>
      <c r="L3832" s="12">
        <v>-287.04000000000002</v>
      </c>
      <c r="M3832" s="12">
        <v>-2.6</v>
      </c>
      <c r="N3832" s="12">
        <v>0</v>
      </c>
      <c r="O3832" s="12">
        <v>-289.64</v>
      </c>
      <c r="P3832" s="12">
        <v>72.44</v>
      </c>
    </row>
    <row r="3833" spans="1:17" x14ac:dyDescent="0.3">
      <c r="A3833" s="12" t="s">
        <v>96</v>
      </c>
      <c r="B3833" s="12" t="s">
        <v>201</v>
      </c>
      <c r="C3833" s="12" t="s">
        <v>123</v>
      </c>
      <c r="D3833" s="12" t="s">
        <v>209</v>
      </c>
      <c r="E3833" s="12" t="s">
        <v>110</v>
      </c>
      <c r="F3833" s="12" t="s">
        <v>114</v>
      </c>
      <c r="G3833" s="12" t="s">
        <v>67</v>
      </c>
      <c r="H3833" s="12" t="s">
        <v>862</v>
      </c>
      <c r="I3833" s="12">
        <v>20</v>
      </c>
      <c r="J3833" s="12">
        <v>238.26</v>
      </c>
      <c r="K3833" s="12">
        <v>238</v>
      </c>
      <c r="L3833" s="12">
        <v>-4765.2</v>
      </c>
      <c r="M3833" s="12">
        <v>0</v>
      </c>
      <c r="N3833" s="12">
        <v>4765.2</v>
      </c>
      <c r="O3833" s="12">
        <v>0</v>
      </c>
      <c r="P3833" s="12">
        <v>-5.2</v>
      </c>
      <c r="Q3833" s="12" t="s">
        <v>215</v>
      </c>
    </row>
    <row r="3834" spans="1:17" x14ac:dyDescent="0.3">
      <c r="A3834" s="12" t="s">
        <v>96</v>
      </c>
      <c r="B3834" s="12" t="s">
        <v>201</v>
      </c>
      <c r="C3834" s="12" t="s">
        <v>123</v>
      </c>
      <c r="D3834" s="12" t="s">
        <v>209</v>
      </c>
      <c r="E3834" s="12" t="s">
        <v>110</v>
      </c>
      <c r="F3834" s="12" t="s">
        <v>114</v>
      </c>
      <c r="G3834" s="12" t="s">
        <v>67</v>
      </c>
      <c r="H3834" s="12" t="s">
        <v>993</v>
      </c>
      <c r="I3834" s="12">
        <v>-20</v>
      </c>
      <c r="J3834" s="12">
        <v>244.52</v>
      </c>
      <c r="K3834" s="12">
        <v>242.27</v>
      </c>
      <c r="L3834" s="12">
        <v>4890.3999999999996</v>
      </c>
      <c r="M3834" s="12">
        <v>0</v>
      </c>
      <c r="N3834" s="12">
        <v>-4765.2</v>
      </c>
      <c r="O3834" s="12">
        <v>125.2</v>
      </c>
      <c r="P3834" s="12">
        <v>45</v>
      </c>
      <c r="Q3834" s="12" t="s">
        <v>3</v>
      </c>
    </row>
    <row r="3835" spans="1:17" x14ac:dyDescent="0.3">
      <c r="A3835" s="12" t="s">
        <v>96</v>
      </c>
      <c r="B3835" s="12" t="s">
        <v>201</v>
      </c>
      <c r="C3835" s="12" t="s">
        <v>213</v>
      </c>
      <c r="E3835" s="12" t="s">
        <v>110</v>
      </c>
      <c r="F3835" s="12" t="s">
        <v>114</v>
      </c>
      <c r="G3835" s="12" t="s">
        <v>67</v>
      </c>
      <c r="I3835" s="12">
        <v>0</v>
      </c>
      <c r="L3835" s="12">
        <v>125.2</v>
      </c>
      <c r="M3835" s="12">
        <v>0</v>
      </c>
      <c r="N3835" s="12">
        <v>0</v>
      </c>
      <c r="O3835" s="12">
        <v>125.2</v>
      </c>
      <c r="P3835" s="12">
        <v>39.799999999999997</v>
      </c>
    </row>
    <row r="3836" spans="1:17" x14ac:dyDescent="0.3">
      <c r="A3836" s="12" t="s">
        <v>96</v>
      </c>
      <c r="B3836" s="12" t="s">
        <v>201</v>
      </c>
      <c r="C3836" s="12" t="s">
        <v>123</v>
      </c>
      <c r="D3836" s="12" t="s">
        <v>209</v>
      </c>
      <c r="E3836" s="12" t="s">
        <v>110</v>
      </c>
      <c r="F3836" s="12" t="s">
        <v>114</v>
      </c>
      <c r="G3836" s="12" t="s">
        <v>15</v>
      </c>
      <c r="H3836" s="12" t="s">
        <v>231</v>
      </c>
      <c r="I3836" s="12">
        <v>16</v>
      </c>
      <c r="J3836" s="12">
        <v>471.69</v>
      </c>
      <c r="K3836" s="12">
        <v>480.05</v>
      </c>
      <c r="L3836" s="12">
        <v>-7547.04</v>
      </c>
      <c r="M3836" s="12">
        <v>-1.3</v>
      </c>
      <c r="N3836" s="12">
        <v>7548.34</v>
      </c>
      <c r="O3836" s="12">
        <v>0</v>
      </c>
      <c r="P3836" s="12">
        <v>133.76</v>
      </c>
      <c r="Q3836" s="12" t="s">
        <v>215</v>
      </c>
    </row>
    <row r="3837" spans="1:17" x14ac:dyDescent="0.3">
      <c r="A3837" s="12" t="s">
        <v>96</v>
      </c>
      <c r="B3837" s="12" t="s">
        <v>201</v>
      </c>
      <c r="C3837" s="12" t="s">
        <v>123</v>
      </c>
      <c r="D3837" s="12" t="s">
        <v>209</v>
      </c>
      <c r="E3837" s="12" t="s">
        <v>110</v>
      </c>
      <c r="F3837" s="12" t="s">
        <v>114</v>
      </c>
      <c r="G3837" s="12" t="s">
        <v>15</v>
      </c>
      <c r="H3837" s="12" t="s">
        <v>232</v>
      </c>
      <c r="I3837" s="12">
        <v>-8</v>
      </c>
      <c r="J3837" s="12">
        <v>473.13499999999999</v>
      </c>
      <c r="K3837" s="12">
        <v>471.84</v>
      </c>
      <c r="L3837" s="12">
        <v>3785.08</v>
      </c>
      <c r="M3837" s="12">
        <v>-1.3</v>
      </c>
      <c r="N3837" s="12">
        <v>-3774.17</v>
      </c>
      <c r="O3837" s="12">
        <v>9.61</v>
      </c>
      <c r="P3837" s="12">
        <v>10.36</v>
      </c>
      <c r="Q3837" s="12" t="s">
        <v>3</v>
      </c>
    </row>
    <row r="3838" spans="1:17" x14ac:dyDescent="0.3">
      <c r="A3838" s="12" t="s">
        <v>96</v>
      </c>
      <c r="B3838" s="12" t="s">
        <v>201</v>
      </c>
      <c r="C3838" s="12" t="s">
        <v>123</v>
      </c>
      <c r="D3838" s="12" t="s">
        <v>209</v>
      </c>
      <c r="E3838" s="12" t="s">
        <v>110</v>
      </c>
      <c r="F3838" s="12" t="s">
        <v>114</v>
      </c>
      <c r="G3838" s="12" t="s">
        <v>15</v>
      </c>
      <c r="H3838" s="12" t="s">
        <v>233</v>
      </c>
      <c r="I3838" s="12">
        <v>-8</v>
      </c>
      <c r="J3838" s="12">
        <v>473</v>
      </c>
      <c r="K3838" s="12">
        <v>480.31</v>
      </c>
      <c r="L3838" s="12">
        <v>3784</v>
      </c>
      <c r="M3838" s="12">
        <v>-1.3</v>
      </c>
      <c r="N3838" s="12">
        <v>-3774.17</v>
      </c>
      <c r="O3838" s="12">
        <v>8.5299999999999994</v>
      </c>
      <c r="P3838" s="12">
        <v>-58.48</v>
      </c>
      <c r="Q3838" s="12" t="s">
        <v>3</v>
      </c>
    </row>
    <row r="3839" spans="1:17" x14ac:dyDescent="0.3">
      <c r="A3839" s="12" t="s">
        <v>96</v>
      </c>
      <c r="B3839" s="12" t="s">
        <v>201</v>
      </c>
      <c r="C3839" s="12" t="s">
        <v>213</v>
      </c>
      <c r="E3839" s="12" t="s">
        <v>110</v>
      </c>
      <c r="F3839" s="12" t="s">
        <v>114</v>
      </c>
      <c r="G3839" s="12" t="s">
        <v>15</v>
      </c>
      <c r="I3839" s="12">
        <v>0</v>
      </c>
      <c r="L3839" s="12">
        <v>22.04</v>
      </c>
      <c r="M3839" s="12">
        <v>-3.9</v>
      </c>
      <c r="N3839" s="12">
        <v>0</v>
      </c>
      <c r="O3839" s="12">
        <v>18.14</v>
      </c>
      <c r="P3839" s="12">
        <v>85.64</v>
      </c>
    </row>
    <row r="3840" spans="1:17" x14ac:dyDescent="0.3">
      <c r="A3840" s="12" t="s">
        <v>96</v>
      </c>
      <c r="B3840" s="12" t="s">
        <v>201</v>
      </c>
      <c r="C3840" s="12" t="s">
        <v>123</v>
      </c>
      <c r="D3840" s="12" t="s">
        <v>209</v>
      </c>
      <c r="E3840" s="12" t="s">
        <v>110</v>
      </c>
      <c r="F3840" s="12" t="s">
        <v>114</v>
      </c>
      <c r="G3840" s="12" t="s">
        <v>16</v>
      </c>
      <c r="H3840" s="12" t="s">
        <v>234</v>
      </c>
      <c r="I3840" s="12">
        <v>20</v>
      </c>
      <c r="J3840" s="12">
        <v>125.05</v>
      </c>
      <c r="K3840" s="12">
        <v>121.02</v>
      </c>
      <c r="L3840" s="12">
        <v>-2501</v>
      </c>
      <c r="M3840" s="12">
        <v>-1.3</v>
      </c>
      <c r="N3840" s="12">
        <v>2502.3000000000002</v>
      </c>
      <c r="O3840" s="12">
        <v>0</v>
      </c>
      <c r="P3840" s="12">
        <v>-80.599999999999994</v>
      </c>
      <c r="Q3840" s="12" t="s">
        <v>211</v>
      </c>
    </row>
    <row r="3841" spans="1:17" x14ac:dyDescent="0.3">
      <c r="A3841" s="12" t="s">
        <v>96</v>
      </c>
      <c r="B3841" s="12" t="s">
        <v>201</v>
      </c>
      <c r="C3841" s="12" t="s">
        <v>123</v>
      </c>
      <c r="D3841" s="12" t="s">
        <v>209</v>
      </c>
      <c r="E3841" s="12" t="s">
        <v>110</v>
      </c>
      <c r="F3841" s="12" t="s">
        <v>114</v>
      </c>
      <c r="G3841" s="12" t="s">
        <v>16</v>
      </c>
      <c r="H3841" s="12" t="s">
        <v>564</v>
      </c>
      <c r="I3841" s="12">
        <v>-20</v>
      </c>
      <c r="J3841" s="12">
        <v>110.14</v>
      </c>
      <c r="K3841" s="12">
        <v>109.65</v>
      </c>
      <c r="L3841" s="12">
        <v>2202.8000000000002</v>
      </c>
      <c r="M3841" s="12">
        <v>-1.3</v>
      </c>
      <c r="N3841" s="12">
        <v>-2502.3000000000002</v>
      </c>
      <c r="O3841" s="12">
        <v>-300.8</v>
      </c>
      <c r="P3841" s="12">
        <v>9.8000000000000007</v>
      </c>
      <c r="Q3841" s="12" t="s">
        <v>3</v>
      </c>
    </row>
    <row r="3842" spans="1:17" x14ac:dyDescent="0.3">
      <c r="A3842" s="12" t="s">
        <v>96</v>
      </c>
      <c r="B3842" s="12" t="s">
        <v>201</v>
      </c>
      <c r="C3842" s="12" t="s">
        <v>213</v>
      </c>
      <c r="E3842" s="12" t="s">
        <v>110</v>
      </c>
      <c r="F3842" s="12" t="s">
        <v>114</v>
      </c>
      <c r="G3842" s="12" t="s">
        <v>16</v>
      </c>
      <c r="I3842" s="12">
        <v>0</v>
      </c>
      <c r="L3842" s="12">
        <v>-298.2</v>
      </c>
      <c r="M3842" s="12">
        <v>-2.6</v>
      </c>
      <c r="N3842" s="12">
        <v>0</v>
      </c>
      <c r="O3842" s="12">
        <v>-300.8</v>
      </c>
      <c r="P3842" s="12">
        <v>-70.8</v>
      </c>
    </row>
    <row r="3843" spans="1:17" x14ac:dyDescent="0.3">
      <c r="A3843" s="12" t="s">
        <v>96</v>
      </c>
      <c r="B3843" s="12" t="s">
        <v>201</v>
      </c>
      <c r="C3843" s="12" t="s">
        <v>123</v>
      </c>
      <c r="D3843" s="12" t="s">
        <v>209</v>
      </c>
      <c r="E3843" s="12" t="s">
        <v>110</v>
      </c>
      <c r="F3843" s="12" t="s">
        <v>114</v>
      </c>
      <c r="G3843" s="12" t="s">
        <v>17</v>
      </c>
      <c r="H3843" s="12" t="s">
        <v>235</v>
      </c>
      <c r="I3843" s="12">
        <v>106</v>
      </c>
      <c r="J3843" s="12">
        <v>32.590000000000003</v>
      </c>
      <c r="K3843" s="12">
        <v>32.619999999999997</v>
      </c>
      <c r="L3843" s="12">
        <v>-3454.54</v>
      </c>
      <c r="M3843" s="12">
        <v>-1.3</v>
      </c>
      <c r="N3843" s="12">
        <v>3455.84</v>
      </c>
      <c r="O3843" s="12">
        <v>0</v>
      </c>
      <c r="P3843" s="12">
        <v>3.18</v>
      </c>
      <c r="Q3843" s="12" t="s">
        <v>211</v>
      </c>
    </row>
    <row r="3844" spans="1:17" x14ac:dyDescent="0.3">
      <c r="A3844" s="12" t="s">
        <v>96</v>
      </c>
      <c r="B3844" s="12" t="s">
        <v>201</v>
      </c>
      <c r="C3844" s="12" t="s">
        <v>123</v>
      </c>
      <c r="D3844" s="12" t="s">
        <v>209</v>
      </c>
      <c r="E3844" s="12" t="s">
        <v>110</v>
      </c>
      <c r="F3844" s="12" t="s">
        <v>114</v>
      </c>
      <c r="G3844" s="12" t="s">
        <v>17</v>
      </c>
      <c r="H3844" s="12" t="s">
        <v>565</v>
      </c>
      <c r="I3844" s="12">
        <v>-106</v>
      </c>
      <c r="J3844" s="12">
        <v>32.729999999999997</v>
      </c>
      <c r="K3844" s="12">
        <v>32.659999999999997</v>
      </c>
      <c r="L3844" s="12">
        <v>3469.38</v>
      </c>
      <c r="M3844" s="12">
        <v>-1.3</v>
      </c>
      <c r="N3844" s="12">
        <v>-3455.84</v>
      </c>
      <c r="O3844" s="12">
        <v>12.24</v>
      </c>
      <c r="P3844" s="12">
        <v>7.42</v>
      </c>
      <c r="Q3844" s="12" t="s">
        <v>3</v>
      </c>
    </row>
    <row r="3845" spans="1:17" x14ac:dyDescent="0.3">
      <c r="A3845" s="12" t="s">
        <v>96</v>
      </c>
      <c r="B3845" s="12" t="s">
        <v>201</v>
      </c>
      <c r="C3845" s="12" t="s">
        <v>213</v>
      </c>
      <c r="E3845" s="12" t="s">
        <v>110</v>
      </c>
      <c r="F3845" s="12" t="s">
        <v>114</v>
      </c>
      <c r="G3845" s="12" t="s">
        <v>17</v>
      </c>
      <c r="I3845" s="12">
        <v>0</v>
      </c>
      <c r="L3845" s="12">
        <v>14.84</v>
      </c>
      <c r="M3845" s="12">
        <v>-2.6</v>
      </c>
      <c r="N3845" s="12">
        <v>0</v>
      </c>
      <c r="O3845" s="12">
        <v>12.24</v>
      </c>
      <c r="P3845" s="12">
        <v>10.6</v>
      </c>
    </row>
    <row r="3846" spans="1:17" x14ac:dyDescent="0.3">
      <c r="A3846" s="12" t="s">
        <v>96</v>
      </c>
      <c r="B3846" s="12" t="s">
        <v>201</v>
      </c>
      <c r="C3846" s="12" t="s">
        <v>123</v>
      </c>
      <c r="D3846" s="12" t="s">
        <v>209</v>
      </c>
      <c r="E3846" s="12" t="s">
        <v>110</v>
      </c>
      <c r="F3846" s="12" t="s">
        <v>114</v>
      </c>
      <c r="G3846" s="12" t="s">
        <v>68</v>
      </c>
      <c r="H3846" s="12" t="s">
        <v>863</v>
      </c>
      <c r="I3846" s="12">
        <v>30</v>
      </c>
      <c r="J3846" s="12">
        <v>225</v>
      </c>
      <c r="K3846" s="12">
        <v>225.46</v>
      </c>
      <c r="L3846" s="12">
        <v>-6750</v>
      </c>
      <c r="M3846" s="12">
        <v>0</v>
      </c>
      <c r="N3846" s="12">
        <v>6750</v>
      </c>
      <c r="O3846" s="12">
        <v>0</v>
      </c>
      <c r="P3846" s="12">
        <v>13.8</v>
      </c>
      <c r="Q3846" s="12" t="s">
        <v>215</v>
      </c>
    </row>
    <row r="3847" spans="1:17" x14ac:dyDescent="0.3">
      <c r="A3847" s="12" t="s">
        <v>96</v>
      </c>
      <c r="B3847" s="12" t="s">
        <v>201</v>
      </c>
      <c r="C3847" s="12" t="s">
        <v>123</v>
      </c>
      <c r="D3847" s="12" t="s">
        <v>209</v>
      </c>
      <c r="E3847" s="12" t="s">
        <v>110</v>
      </c>
      <c r="F3847" s="12" t="s">
        <v>114</v>
      </c>
      <c r="G3847" s="12" t="s">
        <v>68</v>
      </c>
      <c r="H3847" s="12" t="s">
        <v>994</v>
      </c>
      <c r="I3847" s="12">
        <v>-30</v>
      </c>
      <c r="J3847" s="12">
        <v>222.72</v>
      </c>
      <c r="K3847" s="12">
        <v>222.71</v>
      </c>
      <c r="L3847" s="12">
        <v>6681.6</v>
      </c>
      <c r="M3847" s="12">
        <v>0</v>
      </c>
      <c r="N3847" s="12">
        <v>-6750</v>
      </c>
      <c r="O3847" s="12">
        <v>-68.400000000000006</v>
      </c>
      <c r="P3847" s="12">
        <v>0.3</v>
      </c>
      <c r="Q3847" s="12" t="s">
        <v>3</v>
      </c>
    </row>
    <row r="3848" spans="1:17" x14ac:dyDescent="0.3">
      <c r="A3848" s="12" t="s">
        <v>96</v>
      </c>
      <c r="B3848" s="12" t="s">
        <v>201</v>
      </c>
      <c r="C3848" s="12" t="s">
        <v>213</v>
      </c>
      <c r="E3848" s="12" t="s">
        <v>110</v>
      </c>
      <c r="F3848" s="12" t="s">
        <v>114</v>
      </c>
      <c r="G3848" s="12" t="s">
        <v>68</v>
      </c>
      <c r="I3848" s="12">
        <v>0</v>
      </c>
      <c r="L3848" s="12">
        <v>-68.400000000000006</v>
      </c>
      <c r="M3848" s="12">
        <v>0</v>
      </c>
      <c r="N3848" s="12">
        <v>0</v>
      </c>
      <c r="O3848" s="12">
        <v>-68.400000000000006</v>
      </c>
      <c r="P3848" s="12">
        <v>14.1</v>
      </c>
    </row>
    <row r="3849" spans="1:17" x14ac:dyDescent="0.3">
      <c r="A3849" s="12" t="s">
        <v>96</v>
      </c>
      <c r="B3849" s="12" t="s">
        <v>201</v>
      </c>
      <c r="C3849" s="12" t="s">
        <v>123</v>
      </c>
      <c r="D3849" s="12" t="s">
        <v>209</v>
      </c>
      <c r="E3849" s="12" t="s">
        <v>110</v>
      </c>
      <c r="F3849" s="12" t="s">
        <v>114</v>
      </c>
      <c r="G3849" s="12" t="s">
        <v>18</v>
      </c>
      <c r="H3849" s="12" t="s">
        <v>236</v>
      </c>
      <c r="I3849" s="12">
        <v>14</v>
      </c>
      <c r="J3849" s="12">
        <v>257.33</v>
      </c>
      <c r="K3849" s="12">
        <v>256.18</v>
      </c>
      <c r="L3849" s="12">
        <v>-3602.62</v>
      </c>
      <c r="M3849" s="12">
        <v>-1.3</v>
      </c>
      <c r="N3849" s="12">
        <v>3603.92</v>
      </c>
      <c r="O3849" s="12">
        <v>0</v>
      </c>
      <c r="P3849" s="12">
        <v>-16.100000000000001</v>
      </c>
      <c r="Q3849" s="12" t="s">
        <v>215</v>
      </c>
    </row>
    <row r="3850" spans="1:17" x14ac:dyDescent="0.3">
      <c r="A3850" s="12" t="s">
        <v>96</v>
      </c>
      <c r="B3850" s="12" t="s">
        <v>201</v>
      </c>
      <c r="C3850" s="12" t="s">
        <v>123</v>
      </c>
      <c r="D3850" s="12" t="s">
        <v>209</v>
      </c>
      <c r="E3850" s="12" t="s">
        <v>110</v>
      </c>
      <c r="F3850" s="12" t="s">
        <v>114</v>
      </c>
      <c r="G3850" s="12" t="s">
        <v>18</v>
      </c>
      <c r="H3850" s="12" t="s">
        <v>722</v>
      </c>
      <c r="I3850" s="12">
        <v>5</v>
      </c>
      <c r="J3850" s="12">
        <v>290.3</v>
      </c>
      <c r="K3850" s="12">
        <v>290.04000000000002</v>
      </c>
      <c r="L3850" s="12">
        <v>-1451.5</v>
      </c>
      <c r="M3850" s="12">
        <v>-1.3</v>
      </c>
      <c r="N3850" s="12">
        <v>1452.8</v>
      </c>
      <c r="O3850" s="12">
        <v>0</v>
      </c>
      <c r="P3850" s="12">
        <v>-1.3</v>
      </c>
      <c r="Q3850" s="12" t="s">
        <v>215</v>
      </c>
    </row>
    <row r="3851" spans="1:17" x14ac:dyDescent="0.3">
      <c r="A3851" s="12" t="s">
        <v>96</v>
      </c>
      <c r="B3851" s="12" t="s">
        <v>201</v>
      </c>
      <c r="C3851" s="12" t="s">
        <v>123</v>
      </c>
      <c r="D3851" s="12" t="s">
        <v>209</v>
      </c>
      <c r="E3851" s="12" t="s">
        <v>110</v>
      </c>
      <c r="F3851" s="12" t="s">
        <v>114</v>
      </c>
      <c r="G3851" s="12" t="s">
        <v>18</v>
      </c>
      <c r="H3851" s="12" t="s">
        <v>864</v>
      </c>
      <c r="I3851" s="12">
        <v>11</v>
      </c>
      <c r="J3851" s="12">
        <v>292.02999999999997</v>
      </c>
      <c r="K3851" s="12">
        <v>292.5</v>
      </c>
      <c r="L3851" s="12">
        <v>-3212.33</v>
      </c>
      <c r="M3851" s="12">
        <v>0</v>
      </c>
      <c r="N3851" s="12">
        <v>3212.33</v>
      </c>
      <c r="O3851" s="12">
        <v>0</v>
      </c>
      <c r="P3851" s="12">
        <v>5.17</v>
      </c>
      <c r="Q3851" s="12" t="s">
        <v>211</v>
      </c>
    </row>
    <row r="3852" spans="1:17" x14ac:dyDescent="0.3">
      <c r="A3852" s="12" t="s">
        <v>96</v>
      </c>
      <c r="B3852" s="12" t="s">
        <v>201</v>
      </c>
      <c r="C3852" s="12" t="s">
        <v>213</v>
      </c>
      <c r="E3852" s="12" t="s">
        <v>110</v>
      </c>
      <c r="F3852" s="12" t="s">
        <v>114</v>
      </c>
      <c r="G3852" s="12" t="s">
        <v>18</v>
      </c>
      <c r="I3852" s="12">
        <v>30</v>
      </c>
      <c r="L3852" s="12">
        <v>-8266.4500000000007</v>
      </c>
      <c r="M3852" s="12">
        <v>-2.6</v>
      </c>
      <c r="N3852" s="12">
        <v>8269.0499999999993</v>
      </c>
      <c r="O3852" s="12">
        <v>0</v>
      </c>
      <c r="P3852" s="12">
        <v>-12.23</v>
      </c>
    </row>
    <row r="3853" spans="1:17" x14ac:dyDescent="0.3">
      <c r="A3853" s="12" t="s">
        <v>96</v>
      </c>
      <c r="B3853" s="12" t="s">
        <v>201</v>
      </c>
      <c r="C3853" s="12" t="s">
        <v>123</v>
      </c>
      <c r="D3853" s="12" t="s">
        <v>209</v>
      </c>
      <c r="E3853" s="12" t="s">
        <v>110</v>
      </c>
      <c r="F3853" s="12" t="s">
        <v>114</v>
      </c>
      <c r="G3853" s="12" t="s">
        <v>48</v>
      </c>
      <c r="H3853" s="12" t="s">
        <v>642</v>
      </c>
      <c r="I3853" s="12">
        <v>25</v>
      </c>
      <c r="J3853" s="12">
        <v>160.61000000000001</v>
      </c>
      <c r="K3853" s="12">
        <v>161.01</v>
      </c>
      <c r="L3853" s="12">
        <v>-4015.25</v>
      </c>
      <c r="M3853" s="12">
        <v>-1.3</v>
      </c>
      <c r="N3853" s="12">
        <v>4016.55</v>
      </c>
      <c r="O3853" s="12">
        <v>0</v>
      </c>
      <c r="P3853" s="12">
        <v>10</v>
      </c>
      <c r="Q3853" s="12" t="s">
        <v>215</v>
      </c>
    </row>
    <row r="3854" spans="1:17" x14ac:dyDescent="0.3">
      <c r="A3854" s="12" t="s">
        <v>96</v>
      </c>
      <c r="B3854" s="12" t="s">
        <v>201</v>
      </c>
      <c r="C3854" s="12" t="s">
        <v>123</v>
      </c>
      <c r="D3854" s="12" t="s">
        <v>209</v>
      </c>
      <c r="E3854" s="12" t="s">
        <v>110</v>
      </c>
      <c r="F3854" s="12" t="s">
        <v>114</v>
      </c>
      <c r="G3854" s="12" t="s">
        <v>48</v>
      </c>
      <c r="H3854" s="12" t="s">
        <v>788</v>
      </c>
      <c r="I3854" s="12">
        <v>25</v>
      </c>
      <c r="J3854" s="12">
        <v>164.91</v>
      </c>
      <c r="K3854" s="12">
        <v>163.38</v>
      </c>
      <c r="L3854" s="12">
        <v>-4122.75</v>
      </c>
      <c r="M3854" s="12">
        <v>0</v>
      </c>
      <c r="N3854" s="12">
        <v>4122.75</v>
      </c>
      <c r="O3854" s="12">
        <v>0</v>
      </c>
      <c r="P3854" s="12">
        <v>-38.25</v>
      </c>
      <c r="Q3854" s="12" t="s">
        <v>215</v>
      </c>
    </row>
    <row r="3855" spans="1:17" x14ac:dyDescent="0.3">
      <c r="A3855" s="12" t="s">
        <v>96</v>
      </c>
      <c r="B3855" s="12" t="s">
        <v>201</v>
      </c>
      <c r="C3855" s="12" t="s">
        <v>123</v>
      </c>
      <c r="D3855" s="12" t="s">
        <v>209</v>
      </c>
      <c r="E3855" s="12" t="s">
        <v>110</v>
      </c>
      <c r="F3855" s="12" t="s">
        <v>114</v>
      </c>
      <c r="G3855" s="12" t="s">
        <v>48</v>
      </c>
      <c r="H3855" s="12" t="s">
        <v>789</v>
      </c>
      <c r="I3855" s="12">
        <v>25</v>
      </c>
      <c r="J3855" s="12">
        <v>160.09</v>
      </c>
      <c r="K3855" s="12">
        <v>160</v>
      </c>
      <c r="L3855" s="12">
        <v>-4002.25</v>
      </c>
      <c r="M3855" s="12">
        <v>0</v>
      </c>
      <c r="N3855" s="12">
        <v>4002.25</v>
      </c>
      <c r="O3855" s="12">
        <v>0</v>
      </c>
      <c r="P3855" s="12">
        <v>-2.25</v>
      </c>
      <c r="Q3855" s="12" t="s">
        <v>215</v>
      </c>
    </row>
    <row r="3856" spans="1:17" x14ac:dyDescent="0.3">
      <c r="A3856" s="12" t="s">
        <v>96</v>
      </c>
      <c r="B3856" s="12" t="s">
        <v>201</v>
      </c>
      <c r="C3856" s="12" t="s">
        <v>123</v>
      </c>
      <c r="D3856" s="12" t="s">
        <v>209</v>
      </c>
      <c r="E3856" s="12" t="s">
        <v>110</v>
      </c>
      <c r="F3856" s="12" t="s">
        <v>114</v>
      </c>
      <c r="G3856" s="12" t="s">
        <v>48</v>
      </c>
      <c r="H3856" s="12" t="s">
        <v>865</v>
      </c>
      <c r="I3856" s="12">
        <v>-30</v>
      </c>
      <c r="J3856" s="12">
        <v>166.24</v>
      </c>
      <c r="K3856" s="12">
        <v>163.22999999999999</v>
      </c>
      <c r="L3856" s="12">
        <v>4987.2</v>
      </c>
      <c r="M3856" s="12">
        <v>0</v>
      </c>
      <c r="N3856" s="12">
        <v>-4027.3469700000001</v>
      </c>
      <c r="O3856" s="12">
        <v>959.85302999999999</v>
      </c>
      <c r="P3856" s="12">
        <v>90.3</v>
      </c>
      <c r="Q3856" s="12" t="s">
        <v>3</v>
      </c>
    </row>
    <row r="3857" spans="1:17" x14ac:dyDescent="0.3">
      <c r="A3857" s="12" t="s">
        <v>96</v>
      </c>
      <c r="B3857" s="12" t="s">
        <v>201</v>
      </c>
      <c r="C3857" s="12" t="s">
        <v>123</v>
      </c>
      <c r="D3857" s="12" t="s">
        <v>209</v>
      </c>
      <c r="E3857" s="12" t="s">
        <v>110</v>
      </c>
      <c r="F3857" s="12" t="s">
        <v>114</v>
      </c>
      <c r="G3857" s="12" t="s">
        <v>48</v>
      </c>
      <c r="H3857" s="12" t="s">
        <v>995</v>
      </c>
      <c r="I3857" s="12">
        <v>15</v>
      </c>
      <c r="J3857" s="12">
        <v>158.6</v>
      </c>
      <c r="K3857" s="12">
        <v>156.66</v>
      </c>
      <c r="L3857" s="12">
        <v>-2379</v>
      </c>
      <c r="M3857" s="12">
        <v>0</v>
      </c>
      <c r="N3857" s="12">
        <v>2379</v>
      </c>
      <c r="O3857" s="12">
        <v>0</v>
      </c>
      <c r="P3857" s="12">
        <v>-29.1</v>
      </c>
      <c r="Q3857" s="12" t="s">
        <v>215</v>
      </c>
    </row>
    <row r="3858" spans="1:17" x14ac:dyDescent="0.3">
      <c r="A3858" s="12" t="s">
        <v>96</v>
      </c>
      <c r="B3858" s="12" t="s">
        <v>201</v>
      </c>
      <c r="C3858" s="12" t="s">
        <v>123</v>
      </c>
      <c r="D3858" s="12" t="s">
        <v>209</v>
      </c>
      <c r="E3858" s="12" t="s">
        <v>110</v>
      </c>
      <c r="F3858" s="12" t="s">
        <v>114</v>
      </c>
      <c r="G3858" s="12" t="s">
        <v>48</v>
      </c>
      <c r="H3858" s="12" t="s">
        <v>996</v>
      </c>
      <c r="I3858" s="12">
        <v>-45</v>
      </c>
      <c r="J3858" s="12">
        <v>171.29</v>
      </c>
      <c r="K3858" s="12">
        <v>172</v>
      </c>
      <c r="L3858" s="12">
        <v>7708.05</v>
      </c>
      <c r="M3858" s="12">
        <v>0</v>
      </c>
      <c r="N3858" s="12">
        <v>-7300.45</v>
      </c>
      <c r="O3858" s="12">
        <v>407.6</v>
      </c>
      <c r="P3858" s="12">
        <v>-31.95</v>
      </c>
      <c r="Q3858" s="12" t="s">
        <v>3</v>
      </c>
    </row>
    <row r="3859" spans="1:17" x14ac:dyDescent="0.3">
      <c r="A3859" s="12" t="s">
        <v>96</v>
      </c>
      <c r="B3859" s="12" t="s">
        <v>201</v>
      </c>
      <c r="C3859" s="12" t="s">
        <v>123</v>
      </c>
      <c r="D3859" s="12" t="s">
        <v>209</v>
      </c>
      <c r="E3859" s="12" t="s">
        <v>110</v>
      </c>
      <c r="F3859" s="12" t="s">
        <v>114</v>
      </c>
      <c r="G3859" s="12" t="s">
        <v>48</v>
      </c>
      <c r="H3859" s="12" t="s">
        <v>997</v>
      </c>
      <c r="I3859" s="12">
        <v>50</v>
      </c>
      <c r="J3859" s="12">
        <v>163.47999999999999</v>
      </c>
      <c r="K3859" s="12">
        <v>162.30000000000001</v>
      </c>
      <c r="L3859" s="12">
        <v>-8174</v>
      </c>
      <c r="M3859" s="12">
        <v>0</v>
      </c>
      <c r="N3859" s="12">
        <v>8174</v>
      </c>
      <c r="O3859" s="12">
        <v>0</v>
      </c>
      <c r="P3859" s="12">
        <v>-59</v>
      </c>
      <c r="Q3859" s="12" t="s">
        <v>215</v>
      </c>
    </row>
    <row r="3860" spans="1:17" x14ac:dyDescent="0.3">
      <c r="A3860" s="12" t="s">
        <v>96</v>
      </c>
      <c r="B3860" s="12" t="s">
        <v>201</v>
      </c>
      <c r="C3860" s="12" t="s">
        <v>213</v>
      </c>
      <c r="E3860" s="12" t="s">
        <v>110</v>
      </c>
      <c r="F3860" s="12" t="s">
        <v>114</v>
      </c>
      <c r="G3860" s="12" t="s">
        <v>48</v>
      </c>
      <c r="I3860" s="12">
        <v>65</v>
      </c>
      <c r="L3860" s="12">
        <v>-9998</v>
      </c>
      <c r="M3860" s="12">
        <v>-1.3</v>
      </c>
      <c r="N3860" s="12">
        <v>11366.75303</v>
      </c>
      <c r="O3860" s="12">
        <v>1367.4530299999999</v>
      </c>
      <c r="P3860" s="12">
        <v>-60.25</v>
      </c>
    </row>
    <row r="3861" spans="1:17" x14ac:dyDescent="0.3">
      <c r="A3861" s="12" t="s">
        <v>96</v>
      </c>
      <c r="B3861" s="12" t="s">
        <v>201</v>
      </c>
      <c r="C3861" s="12" t="s">
        <v>123</v>
      </c>
      <c r="D3861" s="12" t="s">
        <v>209</v>
      </c>
      <c r="E3861" s="12" t="s">
        <v>110</v>
      </c>
      <c r="F3861" s="12" t="s">
        <v>114</v>
      </c>
      <c r="G3861" s="12" t="s">
        <v>54</v>
      </c>
      <c r="H3861" s="12" t="s">
        <v>723</v>
      </c>
      <c r="I3861" s="12">
        <v>-0.25</v>
      </c>
      <c r="J3861" s="12">
        <v>141.88249999999999</v>
      </c>
      <c r="K3861" s="12">
        <v>140</v>
      </c>
      <c r="L3861" s="12">
        <v>35.470624999999998</v>
      </c>
      <c r="M3861" s="12">
        <v>0</v>
      </c>
      <c r="N3861" s="12">
        <v>-32.550120999999997</v>
      </c>
      <c r="O3861" s="12">
        <v>2.9205040000000002</v>
      </c>
      <c r="P3861" s="12">
        <v>0.47060000000000002</v>
      </c>
      <c r="Q3861" s="12" t="s">
        <v>3</v>
      </c>
    </row>
    <row r="3862" spans="1:17" x14ac:dyDescent="0.3">
      <c r="A3862" s="12" t="s">
        <v>96</v>
      </c>
      <c r="B3862" s="12" t="s">
        <v>201</v>
      </c>
      <c r="C3862" s="12" t="s">
        <v>123</v>
      </c>
      <c r="D3862" s="12" t="s">
        <v>209</v>
      </c>
      <c r="E3862" s="12" t="s">
        <v>110</v>
      </c>
      <c r="F3862" s="12" t="s">
        <v>114</v>
      </c>
      <c r="G3862" s="12" t="s">
        <v>54</v>
      </c>
      <c r="H3862" s="12" t="s">
        <v>724</v>
      </c>
      <c r="I3862" s="12">
        <v>10</v>
      </c>
      <c r="J3862" s="12">
        <v>131</v>
      </c>
      <c r="K3862" s="12">
        <v>132.16999999999999</v>
      </c>
      <c r="L3862" s="12">
        <v>-1310</v>
      </c>
      <c r="M3862" s="12">
        <v>-1.3</v>
      </c>
      <c r="N3862" s="12">
        <v>1311.3</v>
      </c>
      <c r="O3862" s="12">
        <v>0</v>
      </c>
      <c r="P3862" s="12">
        <v>11.7</v>
      </c>
      <c r="Q3862" s="12" t="s">
        <v>211</v>
      </c>
    </row>
    <row r="3863" spans="1:17" x14ac:dyDescent="0.3">
      <c r="A3863" s="12" t="s">
        <v>96</v>
      </c>
      <c r="B3863" s="12" t="s">
        <v>201</v>
      </c>
      <c r="C3863" s="12" t="s">
        <v>123</v>
      </c>
      <c r="D3863" s="12" t="s">
        <v>209</v>
      </c>
      <c r="E3863" s="12" t="s">
        <v>110</v>
      </c>
      <c r="F3863" s="12" t="s">
        <v>114</v>
      </c>
      <c r="G3863" s="12" t="s">
        <v>54</v>
      </c>
      <c r="H3863" s="12" t="s">
        <v>790</v>
      </c>
      <c r="I3863" s="12">
        <v>30</v>
      </c>
      <c r="J3863" s="12">
        <v>169.86</v>
      </c>
      <c r="K3863" s="12">
        <v>167.27</v>
      </c>
      <c r="L3863" s="12">
        <v>-5095.8</v>
      </c>
      <c r="M3863" s="12">
        <v>0</v>
      </c>
      <c r="N3863" s="12">
        <v>5095.8</v>
      </c>
      <c r="O3863" s="12">
        <v>0</v>
      </c>
      <c r="P3863" s="12">
        <v>-77.7</v>
      </c>
      <c r="Q3863" s="12" t="s">
        <v>215</v>
      </c>
    </row>
    <row r="3864" spans="1:17" x14ac:dyDescent="0.3">
      <c r="A3864" s="12" t="s">
        <v>96</v>
      </c>
      <c r="B3864" s="12" t="s">
        <v>201</v>
      </c>
      <c r="C3864" s="12" t="s">
        <v>123</v>
      </c>
      <c r="D3864" s="12" t="s">
        <v>209</v>
      </c>
      <c r="E3864" s="12" t="s">
        <v>110</v>
      </c>
      <c r="F3864" s="12" t="s">
        <v>114</v>
      </c>
      <c r="G3864" s="12" t="s">
        <v>54</v>
      </c>
      <c r="H3864" s="12" t="s">
        <v>866</v>
      </c>
      <c r="I3864" s="12">
        <v>-20</v>
      </c>
      <c r="J3864" s="12">
        <v>165</v>
      </c>
      <c r="K3864" s="12">
        <v>162.08000000000001</v>
      </c>
      <c r="L3864" s="12">
        <v>3300</v>
      </c>
      <c r="M3864" s="12">
        <v>0</v>
      </c>
      <c r="N3864" s="12">
        <v>-2771.9429089999999</v>
      </c>
      <c r="O3864" s="12">
        <v>528.05709100000001</v>
      </c>
      <c r="P3864" s="12">
        <v>58.4</v>
      </c>
      <c r="Q3864" s="12" t="s">
        <v>3</v>
      </c>
    </row>
    <row r="3865" spans="1:17" x14ac:dyDescent="0.3">
      <c r="A3865" s="12" t="s">
        <v>96</v>
      </c>
      <c r="B3865" s="12" t="s">
        <v>201</v>
      </c>
      <c r="C3865" s="12" t="s">
        <v>123</v>
      </c>
      <c r="D3865" s="12" t="s">
        <v>209</v>
      </c>
      <c r="E3865" s="12" t="s">
        <v>110</v>
      </c>
      <c r="F3865" s="12" t="s">
        <v>114</v>
      </c>
      <c r="G3865" s="12" t="s">
        <v>54</v>
      </c>
      <c r="H3865" s="12" t="s">
        <v>998</v>
      </c>
      <c r="I3865" s="12">
        <v>-26</v>
      </c>
      <c r="J3865" s="12">
        <v>181.87</v>
      </c>
      <c r="K3865" s="12">
        <v>176.7</v>
      </c>
      <c r="L3865" s="12">
        <v>4728.62</v>
      </c>
      <c r="M3865" s="12">
        <v>0</v>
      </c>
      <c r="N3865" s="12">
        <v>-4416.3599999999997</v>
      </c>
      <c r="O3865" s="12">
        <v>312.26</v>
      </c>
      <c r="P3865" s="12">
        <v>134.41999999999999</v>
      </c>
      <c r="Q3865" s="12" t="s">
        <v>3</v>
      </c>
    </row>
    <row r="3866" spans="1:17" x14ac:dyDescent="0.3">
      <c r="A3866" s="12" t="s">
        <v>96</v>
      </c>
      <c r="B3866" s="12" t="s">
        <v>201</v>
      </c>
      <c r="C3866" s="12" t="s">
        <v>123</v>
      </c>
      <c r="D3866" s="12" t="s">
        <v>209</v>
      </c>
      <c r="E3866" s="12" t="s">
        <v>110</v>
      </c>
      <c r="F3866" s="12" t="s">
        <v>114</v>
      </c>
      <c r="G3866" s="12" t="s">
        <v>54</v>
      </c>
      <c r="H3866" s="12" t="s">
        <v>999</v>
      </c>
      <c r="I3866" s="12">
        <v>30</v>
      </c>
      <c r="J3866" s="12">
        <v>165.1</v>
      </c>
      <c r="K3866" s="12">
        <v>165.83</v>
      </c>
      <c r="L3866" s="12">
        <v>-4953</v>
      </c>
      <c r="M3866" s="12">
        <v>0</v>
      </c>
      <c r="N3866" s="12">
        <v>4953</v>
      </c>
      <c r="O3866" s="12">
        <v>0</v>
      </c>
      <c r="P3866" s="12">
        <v>21.9</v>
      </c>
      <c r="Q3866" s="12" t="s">
        <v>211</v>
      </c>
    </row>
    <row r="3867" spans="1:17" x14ac:dyDescent="0.3">
      <c r="A3867" s="12" t="s">
        <v>96</v>
      </c>
      <c r="B3867" s="12" t="s">
        <v>201</v>
      </c>
      <c r="C3867" s="12" t="s">
        <v>213</v>
      </c>
      <c r="E3867" s="12" t="s">
        <v>110</v>
      </c>
      <c r="F3867" s="12" t="s">
        <v>114</v>
      </c>
      <c r="G3867" s="12" t="s">
        <v>54</v>
      </c>
      <c r="I3867" s="12">
        <v>23.75</v>
      </c>
      <c r="L3867" s="12">
        <v>-3294.7093749999999</v>
      </c>
      <c r="M3867" s="12">
        <v>-1.3</v>
      </c>
      <c r="N3867" s="12">
        <v>4139.2469700000001</v>
      </c>
      <c r="O3867" s="12">
        <v>843.23759500000006</v>
      </c>
      <c r="P3867" s="12">
        <v>149.19059999999999</v>
      </c>
    </row>
    <row r="3868" spans="1:17" x14ac:dyDescent="0.3">
      <c r="A3868" s="12" t="s">
        <v>96</v>
      </c>
      <c r="B3868" s="12" t="s">
        <v>201</v>
      </c>
      <c r="C3868" s="12" t="s">
        <v>123</v>
      </c>
      <c r="D3868" s="12" t="s">
        <v>209</v>
      </c>
      <c r="E3868" s="12" t="s">
        <v>110</v>
      </c>
      <c r="F3868" s="12" t="s">
        <v>114</v>
      </c>
      <c r="G3868" s="12" t="s">
        <v>19</v>
      </c>
      <c r="H3868" s="12" t="s">
        <v>237</v>
      </c>
      <c r="I3868" s="12">
        <v>107</v>
      </c>
      <c r="J3868" s="12">
        <v>139.07</v>
      </c>
      <c r="K3868" s="12">
        <v>138.91999999999999</v>
      </c>
      <c r="L3868" s="12">
        <v>-14880.49</v>
      </c>
      <c r="M3868" s="12">
        <v>-1.3</v>
      </c>
      <c r="N3868" s="12">
        <v>14881.79</v>
      </c>
      <c r="O3868" s="12">
        <v>0</v>
      </c>
      <c r="P3868" s="12">
        <v>-16.05</v>
      </c>
      <c r="Q3868" s="12" t="s">
        <v>215</v>
      </c>
    </row>
    <row r="3869" spans="1:17" x14ac:dyDescent="0.3">
      <c r="A3869" s="12" t="s">
        <v>96</v>
      </c>
      <c r="B3869" s="12" t="s">
        <v>201</v>
      </c>
      <c r="C3869" s="12" t="s">
        <v>123</v>
      </c>
      <c r="D3869" s="12" t="s">
        <v>209</v>
      </c>
      <c r="E3869" s="12" t="s">
        <v>110</v>
      </c>
      <c r="F3869" s="12" t="s">
        <v>114</v>
      </c>
      <c r="G3869" s="12" t="s">
        <v>19</v>
      </c>
      <c r="H3869" s="12" t="s">
        <v>643</v>
      </c>
      <c r="I3869" s="12">
        <v>-25</v>
      </c>
      <c r="J3869" s="12">
        <v>152</v>
      </c>
      <c r="K3869" s="12">
        <v>147.68</v>
      </c>
      <c r="L3869" s="12">
        <v>3800</v>
      </c>
      <c r="M3869" s="12">
        <v>-1.3</v>
      </c>
      <c r="N3869" s="12">
        <v>-3477.0537380000001</v>
      </c>
      <c r="O3869" s="12">
        <v>321.64626199999998</v>
      </c>
      <c r="P3869" s="12">
        <v>108</v>
      </c>
      <c r="Q3869" s="12" t="s">
        <v>3</v>
      </c>
    </row>
    <row r="3870" spans="1:17" x14ac:dyDescent="0.3">
      <c r="A3870" s="12" t="s">
        <v>96</v>
      </c>
      <c r="B3870" s="12" t="s">
        <v>201</v>
      </c>
      <c r="C3870" s="12" t="s">
        <v>123</v>
      </c>
      <c r="D3870" s="12" t="s">
        <v>209</v>
      </c>
      <c r="E3870" s="12" t="s">
        <v>110</v>
      </c>
      <c r="F3870" s="12" t="s">
        <v>114</v>
      </c>
      <c r="G3870" s="12" t="s">
        <v>19</v>
      </c>
      <c r="H3870" s="12" t="s">
        <v>725</v>
      </c>
      <c r="I3870" s="12">
        <v>-40</v>
      </c>
      <c r="J3870" s="12">
        <v>157</v>
      </c>
      <c r="K3870" s="12">
        <v>156</v>
      </c>
      <c r="L3870" s="12">
        <v>6280</v>
      </c>
      <c r="M3870" s="12">
        <v>-1.3</v>
      </c>
      <c r="N3870" s="12">
        <v>-5563.285981</v>
      </c>
      <c r="O3870" s="12">
        <v>715.41401900000005</v>
      </c>
      <c r="P3870" s="12">
        <v>40</v>
      </c>
      <c r="Q3870" s="12" t="s">
        <v>3</v>
      </c>
    </row>
    <row r="3871" spans="1:17" x14ac:dyDescent="0.3">
      <c r="A3871" s="12" t="s">
        <v>96</v>
      </c>
      <c r="B3871" s="12" t="s">
        <v>201</v>
      </c>
      <c r="C3871" s="12" t="s">
        <v>123</v>
      </c>
      <c r="D3871" s="12" t="s">
        <v>209</v>
      </c>
      <c r="E3871" s="12" t="s">
        <v>110</v>
      </c>
      <c r="F3871" s="12" t="s">
        <v>114</v>
      </c>
      <c r="G3871" s="12" t="s">
        <v>19</v>
      </c>
      <c r="H3871" s="12" t="s">
        <v>791</v>
      </c>
      <c r="I3871" s="12">
        <v>42</v>
      </c>
      <c r="J3871" s="12">
        <v>166.09</v>
      </c>
      <c r="K3871" s="12">
        <v>163.86</v>
      </c>
      <c r="L3871" s="12">
        <v>-6975.78</v>
      </c>
      <c r="M3871" s="12">
        <v>-1.3</v>
      </c>
      <c r="N3871" s="12">
        <v>6977.08</v>
      </c>
      <c r="O3871" s="12">
        <v>0</v>
      </c>
      <c r="P3871" s="12">
        <v>-93.66</v>
      </c>
      <c r="Q3871" s="12" t="s">
        <v>215</v>
      </c>
    </row>
    <row r="3872" spans="1:17" x14ac:dyDescent="0.3">
      <c r="A3872" s="12" t="s">
        <v>96</v>
      </c>
      <c r="B3872" s="12" t="s">
        <v>201</v>
      </c>
      <c r="C3872" s="12" t="s">
        <v>123</v>
      </c>
      <c r="D3872" s="12" t="s">
        <v>209</v>
      </c>
      <c r="E3872" s="12" t="s">
        <v>110</v>
      </c>
      <c r="F3872" s="12" t="s">
        <v>114</v>
      </c>
      <c r="G3872" s="12" t="s">
        <v>19</v>
      </c>
      <c r="H3872" s="12" t="s">
        <v>792</v>
      </c>
      <c r="I3872" s="12">
        <v>40</v>
      </c>
      <c r="J3872" s="12">
        <v>168.08</v>
      </c>
      <c r="K3872" s="12">
        <v>168.65</v>
      </c>
      <c r="L3872" s="12">
        <v>-6723.2</v>
      </c>
      <c r="M3872" s="12">
        <v>0</v>
      </c>
      <c r="N3872" s="12">
        <v>6723.2</v>
      </c>
      <c r="O3872" s="12">
        <v>0</v>
      </c>
      <c r="P3872" s="12">
        <v>22.8</v>
      </c>
      <c r="Q3872" s="12" t="s">
        <v>215</v>
      </c>
    </row>
    <row r="3873" spans="1:17" x14ac:dyDescent="0.3">
      <c r="A3873" s="12" t="s">
        <v>96</v>
      </c>
      <c r="B3873" s="12" t="s">
        <v>201</v>
      </c>
      <c r="C3873" s="12" t="s">
        <v>123</v>
      </c>
      <c r="D3873" s="12" t="s">
        <v>209</v>
      </c>
      <c r="E3873" s="12" t="s">
        <v>110</v>
      </c>
      <c r="F3873" s="12" t="s">
        <v>114</v>
      </c>
      <c r="G3873" s="12" t="s">
        <v>19</v>
      </c>
      <c r="H3873" s="12" t="s">
        <v>867</v>
      </c>
      <c r="I3873" s="12">
        <v>-60</v>
      </c>
      <c r="J3873" s="12">
        <v>175.47</v>
      </c>
      <c r="K3873" s="12">
        <v>177.24</v>
      </c>
      <c r="L3873" s="12">
        <v>10528.2</v>
      </c>
      <c r="M3873" s="12">
        <v>0</v>
      </c>
      <c r="N3873" s="12">
        <v>-8831.6274240000002</v>
      </c>
      <c r="O3873" s="12">
        <v>1696.572576</v>
      </c>
      <c r="P3873" s="12">
        <v>-106.2</v>
      </c>
      <c r="Q3873" s="12" t="s">
        <v>230</v>
      </c>
    </row>
    <row r="3874" spans="1:17" x14ac:dyDescent="0.3">
      <c r="A3874" s="12" t="s">
        <v>96</v>
      </c>
      <c r="B3874" s="12" t="s">
        <v>201</v>
      </c>
      <c r="C3874" s="12" t="s">
        <v>123</v>
      </c>
      <c r="D3874" s="12" t="s">
        <v>209</v>
      </c>
      <c r="E3874" s="12" t="s">
        <v>110</v>
      </c>
      <c r="F3874" s="12" t="s">
        <v>114</v>
      </c>
      <c r="G3874" s="12" t="s">
        <v>19</v>
      </c>
      <c r="H3874" s="12" t="s">
        <v>1000</v>
      </c>
      <c r="I3874" s="12">
        <v>36</v>
      </c>
      <c r="J3874" s="12">
        <v>185.76</v>
      </c>
      <c r="K3874" s="12">
        <v>185.57</v>
      </c>
      <c r="L3874" s="12">
        <v>-6687.36</v>
      </c>
      <c r="M3874" s="12">
        <v>0</v>
      </c>
      <c r="N3874" s="12">
        <v>6687.36</v>
      </c>
      <c r="O3874" s="12">
        <v>0</v>
      </c>
      <c r="P3874" s="12">
        <v>-6.84</v>
      </c>
      <c r="Q3874" s="12" t="s">
        <v>215</v>
      </c>
    </row>
    <row r="3875" spans="1:17" x14ac:dyDescent="0.3">
      <c r="A3875" s="12" t="s">
        <v>96</v>
      </c>
      <c r="B3875" s="12" t="s">
        <v>201</v>
      </c>
      <c r="C3875" s="12" t="s">
        <v>213</v>
      </c>
      <c r="E3875" s="12" t="s">
        <v>110</v>
      </c>
      <c r="F3875" s="12" t="s">
        <v>114</v>
      </c>
      <c r="G3875" s="12" t="s">
        <v>19</v>
      </c>
      <c r="I3875" s="12">
        <v>100</v>
      </c>
      <c r="L3875" s="12">
        <v>-14658.63</v>
      </c>
      <c r="M3875" s="12">
        <v>-5.2</v>
      </c>
      <c r="N3875" s="12">
        <v>17397.462856999999</v>
      </c>
      <c r="O3875" s="12">
        <v>2733.6328570000001</v>
      </c>
      <c r="P3875" s="12">
        <v>-51.95</v>
      </c>
    </row>
    <row r="3876" spans="1:17" x14ac:dyDescent="0.3">
      <c r="A3876" s="12" t="s">
        <v>96</v>
      </c>
      <c r="B3876" s="12" t="s">
        <v>201</v>
      </c>
      <c r="C3876" s="12" t="s">
        <v>123</v>
      </c>
      <c r="D3876" s="12" t="s">
        <v>209</v>
      </c>
      <c r="E3876" s="12" t="s">
        <v>110</v>
      </c>
      <c r="F3876" s="12" t="s">
        <v>114</v>
      </c>
      <c r="G3876" s="12" t="s">
        <v>69</v>
      </c>
      <c r="H3876" s="12" t="s">
        <v>868</v>
      </c>
      <c r="I3876" s="12">
        <v>15</v>
      </c>
      <c r="J3876" s="12">
        <v>334.95</v>
      </c>
      <c r="K3876" s="12">
        <v>336.91</v>
      </c>
      <c r="L3876" s="12">
        <v>-5024.25</v>
      </c>
      <c r="M3876" s="12">
        <v>0</v>
      </c>
      <c r="N3876" s="12">
        <v>5024.25</v>
      </c>
      <c r="O3876" s="12">
        <v>0</v>
      </c>
      <c r="P3876" s="12">
        <v>29.4</v>
      </c>
      <c r="Q3876" s="12" t="s">
        <v>215</v>
      </c>
    </row>
    <row r="3877" spans="1:17" x14ac:dyDescent="0.3">
      <c r="A3877" s="12" t="s">
        <v>96</v>
      </c>
      <c r="B3877" s="12" t="s">
        <v>201</v>
      </c>
      <c r="C3877" s="12" t="s">
        <v>123</v>
      </c>
      <c r="D3877" s="12" t="s">
        <v>209</v>
      </c>
      <c r="E3877" s="12" t="s">
        <v>110</v>
      </c>
      <c r="F3877" s="12" t="s">
        <v>114</v>
      </c>
      <c r="G3877" s="12" t="s">
        <v>69</v>
      </c>
      <c r="H3877" s="12" t="s">
        <v>1001</v>
      </c>
      <c r="I3877" s="12">
        <v>-15</v>
      </c>
      <c r="J3877" s="12">
        <v>326.06</v>
      </c>
      <c r="K3877" s="12">
        <v>324.32</v>
      </c>
      <c r="L3877" s="12">
        <v>4890.8999999999996</v>
      </c>
      <c r="M3877" s="12">
        <v>0</v>
      </c>
      <c r="N3877" s="12">
        <v>-5024.25</v>
      </c>
      <c r="O3877" s="12">
        <v>-133.35</v>
      </c>
      <c r="P3877" s="12">
        <v>26.1</v>
      </c>
      <c r="Q3877" s="12" t="s">
        <v>3</v>
      </c>
    </row>
    <row r="3878" spans="1:17" x14ac:dyDescent="0.3">
      <c r="A3878" s="12" t="s">
        <v>96</v>
      </c>
      <c r="B3878" s="12" t="s">
        <v>201</v>
      </c>
      <c r="C3878" s="12" t="s">
        <v>213</v>
      </c>
      <c r="E3878" s="12" t="s">
        <v>110</v>
      </c>
      <c r="F3878" s="12" t="s">
        <v>114</v>
      </c>
      <c r="G3878" s="12" t="s">
        <v>69</v>
      </c>
      <c r="I3878" s="12">
        <v>0</v>
      </c>
      <c r="L3878" s="12">
        <v>-133.35</v>
      </c>
      <c r="M3878" s="12">
        <v>0</v>
      </c>
      <c r="N3878" s="12">
        <v>0</v>
      </c>
      <c r="O3878" s="12">
        <v>-133.35</v>
      </c>
      <c r="P3878" s="12">
        <v>55.5</v>
      </c>
    </row>
    <row r="3879" spans="1:17" x14ac:dyDescent="0.3">
      <c r="A3879" s="12" t="s">
        <v>96</v>
      </c>
      <c r="B3879" s="12" t="s">
        <v>201</v>
      </c>
      <c r="C3879" s="12" t="s">
        <v>123</v>
      </c>
      <c r="D3879" s="12" t="s">
        <v>209</v>
      </c>
      <c r="E3879" s="12" t="s">
        <v>110</v>
      </c>
      <c r="F3879" s="12" t="s">
        <v>114</v>
      </c>
      <c r="G3879" s="12" t="s">
        <v>20</v>
      </c>
      <c r="H3879" s="12" t="s">
        <v>238</v>
      </c>
      <c r="I3879" s="12">
        <v>11</v>
      </c>
      <c r="J3879" s="12">
        <v>338.97</v>
      </c>
      <c r="K3879" s="12">
        <v>338.59</v>
      </c>
      <c r="L3879" s="12">
        <v>-3728.67</v>
      </c>
      <c r="M3879" s="12">
        <v>-1.3</v>
      </c>
      <c r="N3879" s="12">
        <v>3729.97</v>
      </c>
      <c r="O3879" s="12">
        <v>0</v>
      </c>
      <c r="P3879" s="12">
        <v>-4.18</v>
      </c>
      <c r="Q3879" s="12" t="s">
        <v>215</v>
      </c>
    </row>
    <row r="3880" spans="1:17" x14ac:dyDescent="0.3">
      <c r="A3880" s="12" t="s">
        <v>96</v>
      </c>
      <c r="B3880" s="12" t="s">
        <v>201</v>
      </c>
      <c r="C3880" s="12" t="s">
        <v>123</v>
      </c>
      <c r="D3880" s="12" t="s">
        <v>209</v>
      </c>
      <c r="E3880" s="12" t="s">
        <v>110</v>
      </c>
      <c r="F3880" s="12" t="s">
        <v>114</v>
      </c>
      <c r="G3880" s="12" t="s">
        <v>20</v>
      </c>
      <c r="H3880" s="12" t="s">
        <v>869</v>
      </c>
      <c r="I3880" s="12">
        <v>20</v>
      </c>
      <c r="J3880" s="12">
        <v>346.73</v>
      </c>
      <c r="K3880" s="12">
        <v>349.5</v>
      </c>
      <c r="L3880" s="12">
        <v>-6934.6</v>
      </c>
      <c r="M3880" s="12">
        <v>0</v>
      </c>
      <c r="N3880" s="12">
        <v>6934.6</v>
      </c>
      <c r="O3880" s="12">
        <v>0</v>
      </c>
      <c r="P3880" s="12">
        <v>55.4</v>
      </c>
      <c r="Q3880" s="12" t="s">
        <v>215</v>
      </c>
    </row>
    <row r="3881" spans="1:17" x14ac:dyDescent="0.3">
      <c r="A3881" s="12" t="s">
        <v>96</v>
      </c>
      <c r="B3881" s="12" t="s">
        <v>201</v>
      </c>
      <c r="C3881" s="12" t="s">
        <v>123</v>
      </c>
      <c r="D3881" s="12" t="s">
        <v>209</v>
      </c>
      <c r="E3881" s="12" t="s">
        <v>110</v>
      </c>
      <c r="F3881" s="12" t="s">
        <v>114</v>
      </c>
      <c r="G3881" s="12" t="s">
        <v>20</v>
      </c>
      <c r="H3881" s="12" t="s">
        <v>1002</v>
      </c>
      <c r="I3881" s="12">
        <v>-31</v>
      </c>
      <c r="J3881" s="12">
        <v>335.57</v>
      </c>
      <c r="K3881" s="12">
        <v>334.58</v>
      </c>
      <c r="L3881" s="12">
        <v>10402.67</v>
      </c>
      <c r="M3881" s="12">
        <v>0</v>
      </c>
      <c r="N3881" s="12">
        <v>-10664.57</v>
      </c>
      <c r="O3881" s="12">
        <v>-261.89999999999998</v>
      </c>
      <c r="P3881" s="12">
        <v>30.69</v>
      </c>
      <c r="Q3881" s="12" t="s">
        <v>3</v>
      </c>
    </row>
    <row r="3882" spans="1:17" x14ac:dyDescent="0.3">
      <c r="A3882" s="12" t="s">
        <v>96</v>
      </c>
      <c r="B3882" s="12" t="s">
        <v>201</v>
      </c>
      <c r="C3882" s="12" t="s">
        <v>213</v>
      </c>
      <c r="E3882" s="12" t="s">
        <v>110</v>
      </c>
      <c r="F3882" s="12" t="s">
        <v>114</v>
      </c>
      <c r="G3882" s="12" t="s">
        <v>20</v>
      </c>
      <c r="I3882" s="12">
        <v>0</v>
      </c>
      <c r="L3882" s="12">
        <v>-260.60000000000002</v>
      </c>
      <c r="M3882" s="12">
        <v>-1.3</v>
      </c>
      <c r="N3882" s="12">
        <v>0</v>
      </c>
      <c r="O3882" s="12">
        <v>-261.89999999999998</v>
      </c>
      <c r="P3882" s="12">
        <v>81.91</v>
      </c>
    </row>
    <row r="3883" spans="1:17" x14ac:dyDescent="0.3">
      <c r="A3883" s="12" t="s">
        <v>96</v>
      </c>
      <c r="B3883" s="12" t="s">
        <v>201</v>
      </c>
      <c r="C3883" s="12" t="s">
        <v>123</v>
      </c>
      <c r="D3883" s="12" t="s">
        <v>209</v>
      </c>
      <c r="E3883" s="12" t="s">
        <v>110</v>
      </c>
      <c r="F3883" s="12" t="s">
        <v>114</v>
      </c>
      <c r="G3883" s="12" t="s">
        <v>21</v>
      </c>
      <c r="H3883" s="12" t="s">
        <v>239</v>
      </c>
      <c r="I3883" s="12">
        <v>6</v>
      </c>
      <c r="J3883" s="12">
        <v>558.1</v>
      </c>
      <c r="K3883" s="12">
        <v>547.86</v>
      </c>
      <c r="L3883" s="12">
        <v>-3348.6</v>
      </c>
      <c r="M3883" s="12">
        <v>-1.3</v>
      </c>
      <c r="N3883" s="12">
        <v>3349.9</v>
      </c>
      <c r="O3883" s="12">
        <v>0</v>
      </c>
      <c r="P3883" s="12">
        <v>-61.44</v>
      </c>
      <c r="Q3883" s="12" t="s">
        <v>215</v>
      </c>
    </row>
    <row r="3884" spans="1:17" x14ac:dyDescent="0.3">
      <c r="A3884" s="12" t="s">
        <v>96</v>
      </c>
      <c r="B3884" s="12" t="s">
        <v>201</v>
      </c>
      <c r="C3884" s="12" t="s">
        <v>123</v>
      </c>
      <c r="D3884" s="12" t="s">
        <v>209</v>
      </c>
      <c r="E3884" s="12" t="s">
        <v>110</v>
      </c>
      <c r="F3884" s="12" t="s">
        <v>114</v>
      </c>
      <c r="G3884" s="12" t="s">
        <v>21</v>
      </c>
      <c r="H3884" s="12" t="s">
        <v>566</v>
      </c>
      <c r="I3884" s="12">
        <v>-6</v>
      </c>
      <c r="J3884" s="12">
        <v>616.99</v>
      </c>
      <c r="K3884" s="12">
        <v>629.64</v>
      </c>
      <c r="L3884" s="12">
        <v>3701.94</v>
      </c>
      <c r="M3884" s="12">
        <v>-1.3</v>
      </c>
      <c r="N3884" s="12">
        <v>-3349.9</v>
      </c>
      <c r="O3884" s="12">
        <v>350.74</v>
      </c>
      <c r="P3884" s="12">
        <v>-75.900000000000006</v>
      </c>
      <c r="Q3884" s="12" t="s">
        <v>3</v>
      </c>
    </row>
    <row r="3885" spans="1:17" x14ac:dyDescent="0.3">
      <c r="A3885" s="12" t="s">
        <v>96</v>
      </c>
      <c r="B3885" s="12" t="s">
        <v>201</v>
      </c>
      <c r="C3885" s="12" t="s">
        <v>213</v>
      </c>
      <c r="E3885" s="12" t="s">
        <v>110</v>
      </c>
      <c r="F3885" s="12" t="s">
        <v>114</v>
      </c>
      <c r="G3885" s="12" t="s">
        <v>21</v>
      </c>
      <c r="I3885" s="12">
        <v>0</v>
      </c>
      <c r="L3885" s="12">
        <v>353.34</v>
      </c>
      <c r="M3885" s="12">
        <v>-2.6</v>
      </c>
      <c r="N3885" s="12">
        <v>0</v>
      </c>
      <c r="O3885" s="12">
        <v>350.74</v>
      </c>
      <c r="P3885" s="12">
        <v>-137.34</v>
      </c>
    </row>
    <row r="3886" spans="1:17" x14ac:dyDescent="0.3">
      <c r="A3886" s="12" t="s">
        <v>96</v>
      </c>
      <c r="B3886" s="12" t="s">
        <v>201</v>
      </c>
      <c r="C3886" s="12" t="s">
        <v>123</v>
      </c>
      <c r="D3886" s="12" t="s">
        <v>209</v>
      </c>
      <c r="E3886" s="12" t="s">
        <v>110</v>
      </c>
      <c r="F3886" s="12" t="s">
        <v>114</v>
      </c>
      <c r="G3886" s="12" t="s">
        <v>22</v>
      </c>
      <c r="H3886" s="12" t="s">
        <v>240</v>
      </c>
      <c r="I3886" s="12">
        <v>66</v>
      </c>
      <c r="J3886" s="12">
        <v>52.97</v>
      </c>
      <c r="K3886" s="12">
        <v>52.6</v>
      </c>
      <c r="L3886" s="12">
        <v>-3496.02</v>
      </c>
      <c r="M3886" s="12">
        <v>-1.3</v>
      </c>
      <c r="N3886" s="12">
        <v>3497.32</v>
      </c>
      <c r="O3886" s="12">
        <v>0</v>
      </c>
      <c r="P3886" s="12">
        <v>-24.42</v>
      </c>
      <c r="Q3886" s="12" t="s">
        <v>215</v>
      </c>
    </row>
    <row r="3887" spans="1:17" x14ac:dyDescent="0.3">
      <c r="A3887" s="12" t="s">
        <v>96</v>
      </c>
      <c r="B3887" s="12" t="s">
        <v>201</v>
      </c>
      <c r="C3887" s="12" t="s">
        <v>123</v>
      </c>
      <c r="D3887" s="12" t="s">
        <v>209</v>
      </c>
      <c r="E3887" s="12" t="s">
        <v>110</v>
      </c>
      <c r="F3887" s="12" t="s">
        <v>114</v>
      </c>
      <c r="G3887" s="12" t="s">
        <v>22</v>
      </c>
      <c r="H3887" s="12" t="s">
        <v>567</v>
      </c>
      <c r="I3887" s="12">
        <v>-33</v>
      </c>
      <c r="J3887" s="12">
        <v>58.61</v>
      </c>
      <c r="K3887" s="12">
        <v>58.83</v>
      </c>
      <c r="L3887" s="12">
        <v>1934.13</v>
      </c>
      <c r="M3887" s="12">
        <v>-1.3</v>
      </c>
      <c r="N3887" s="12">
        <v>-1748.66</v>
      </c>
      <c r="O3887" s="12">
        <v>184.17</v>
      </c>
      <c r="P3887" s="12">
        <v>-7.26</v>
      </c>
      <c r="Q3887" s="12" t="s">
        <v>3</v>
      </c>
    </row>
    <row r="3888" spans="1:17" x14ac:dyDescent="0.3">
      <c r="A3888" s="12" t="s">
        <v>96</v>
      </c>
      <c r="B3888" s="12" t="s">
        <v>201</v>
      </c>
      <c r="C3888" s="12" t="s">
        <v>123</v>
      </c>
      <c r="D3888" s="12" t="s">
        <v>209</v>
      </c>
      <c r="E3888" s="12" t="s">
        <v>110</v>
      </c>
      <c r="F3888" s="12" t="s">
        <v>114</v>
      </c>
      <c r="G3888" s="12" t="s">
        <v>22</v>
      </c>
      <c r="H3888" s="12" t="s">
        <v>568</v>
      </c>
      <c r="I3888" s="12">
        <v>100</v>
      </c>
      <c r="J3888" s="12">
        <v>60.65</v>
      </c>
      <c r="K3888" s="12">
        <v>61.98</v>
      </c>
      <c r="L3888" s="12">
        <v>-6065</v>
      </c>
      <c r="M3888" s="12">
        <v>-1.3</v>
      </c>
      <c r="N3888" s="12">
        <v>6066.3</v>
      </c>
      <c r="O3888" s="12">
        <v>0</v>
      </c>
      <c r="P3888" s="12">
        <v>133</v>
      </c>
      <c r="Q3888" s="12" t="s">
        <v>215</v>
      </c>
    </row>
    <row r="3889" spans="1:17" x14ac:dyDescent="0.3">
      <c r="A3889" s="12" t="s">
        <v>96</v>
      </c>
      <c r="B3889" s="12" t="s">
        <v>201</v>
      </c>
      <c r="C3889" s="12" t="s">
        <v>123</v>
      </c>
      <c r="D3889" s="12" t="s">
        <v>209</v>
      </c>
      <c r="E3889" s="12" t="s">
        <v>110</v>
      </c>
      <c r="F3889" s="12" t="s">
        <v>114</v>
      </c>
      <c r="G3889" s="12" t="s">
        <v>22</v>
      </c>
      <c r="H3889" s="12" t="s">
        <v>569</v>
      </c>
      <c r="I3889" s="12">
        <v>-50</v>
      </c>
      <c r="J3889" s="12">
        <v>60.79</v>
      </c>
      <c r="K3889" s="12">
        <v>61.98</v>
      </c>
      <c r="L3889" s="12">
        <v>3039.5</v>
      </c>
      <c r="M3889" s="12">
        <v>-1.3</v>
      </c>
      <c r="N3889" s="12">
        <v>-2779.931</v>
      </c>
      <c r="O3889" s="12">
        <v>258.26900000000001</v>
      </c>
      <c r="P3889" s="12">
        <v>-59.5</v>
      </c>
      <c r="Q3889" s="12" t="s">
        <v>3</v>
      </c>
    </row>
    <row r="3890" spans="1:17" x14ac:dyDescent="0.3">
      <c r="A3890" s="12" t="s">
        <v>96</v>
      </c>
      <c r="B3890" s="12" t="s">
        <v>201</v>
      </c>
      <c r="C3890" s="12" t="s">
        <v>123</v>
      </c>
      <c r="D3890" s="12" t="s">
        <v>209</v>
      </c>
      <c r="E3890" s="12" t="s">
        <v>110</v>
      </c>
      <c r="F3890" s="12" t="s">
        <v>114</v>
      </c>
      <c r="G3890" s="12" t="s">
        <v>22</v>
      </c>
      <c r="H3890" s="12" t="s">
        <v>1003</v>
      </c>
      <c r="I3890" s="12">
        <v>-40</v>
      </c>
      <c r="J3890" s="12">
        <v>81.349999999999994</v>
      </c>
      <c r="K3890" s="12">
        <v>82.41</v>
      </c>
      <c r="L3890" s="12">
        <v>3254</v>
      </c>
      <c r="M3890" s="12">
        <v>0</v>
      </c>
      <c r="N3890" s="12">
        <v>-2426.52</v>
      </c>
      <c r="O3890" s="12">
        <v>827.48</v>
      </c>
      <c r="P3890" s="12">
        <v>-42.4</v>
      </c>
      <c r="Q3890" s="12" t="s">
        <v>3</v>
      </c>
    </row>
    <row r="3891" spans="1:17" x14ac:dyDescent="0.3">
      <c r="A3891" s="12" t="s">
        <v>96</v>
      </c>
      <c r="B3891" s="12" t="s">
        <v>201</v>
      </c>
      <c r="C3891" s="12" t="s">
        <v>213</v>
      </c>
      <c r="E3891" s="12" t="s">
        <v>110</v>
      </c>
      <c r="F3891" s="12" t="s">
        <v>114</v>
      </c>
      <c r="G3891" s="12" t="s">
        <v>22</v>
      </c>
      <c r="I3891" s="12">
        <v>43</v>
      </c>
      <c r="L3891" s="12">
        <v>-1333.39</v>
      </c>
      <c r="M3891" s="12">
        <v>-5.2</v>
      </c>
      <c r="N3891" s="12">
        <v>2608.509</v>
      </c>
      <c r="O3891" s="12">
        <v>1269.9190000000001</v>
      </c>
      <c r="P3891" s="12">
        <v>-0.57999999999999996</v>
      </c>
    </row>
    <row r="3892" spans="1:17" x14ac:dyDescent="0.3">
      <c r="A3892" s="12" t="s">
        <v>96</v>
      </c>
      <c r="B3892" s="12" t="s">
        <v>201</v>
      </c>
      <c r="C3892" s="12" t="s">
        <v>123</v>
      </c>
      <c r="D3892" s="12" t="s">
        <v>209</v>
      </c>
      <c r="E3892" s="12" t="s">
        <v>110</v>
      </c>
      <c r="F3892" s="12" t="s">
        <v>114</v>
      </c>
      <c r="G3892" s="12" t="s">
        <v>37</v>
      </c>
      <c r="H3892" s="12" t="s">
        <v>570</v>
      </c>
      <c r="I3892" s="12">
        <v>20</v>
      </c>
      <c r="J3892" s="12">
        <v>184.78</v>
      </c>
      <c r="K3892" s="12">
        <v>186.16</v>
      </c>
      <c r="L3892" s="12">
        <v>-3695.6</v>
      </c>
      <c r="M3892" s="12">
        <v>-1.3</v>
      </c>
      <c r="N3892" s="12">
        <v>3696.9</v>
      </c>
      <c r="O3892" s="12">
        <v>0</v>
      </c>
      <c r="P3892" s="12">
        <v>27.6</v>
      </c>
      <c r="Q3892" s="12" t="s">
        <v>215</v>
      </c>
    </row>
    <row r="3893" spans="1:17" x14ac:dyDescent="0.3">
      <c r="A3893" s="12" t="s">
        <v>96</v>
      </c>
      <c r="B3893" s="12" t="s">
        <v>201</v>
      </c>
      <c r="C3893" s="12" t="s">
        <v>123</v>
      </c>
      <c r="D3893" s="12" t="s">
        <v>209</v>
      </c>
      <c r="E3893" s="12" t="s">
        <v>110</v>
      </c>
      <c r="F3893" s="12" t="s">
        <v>114</v>
      </c>
      <c r="G3893" s="12" t="s">
        <v>37</v>
      </c>
      <c r="H3893" s="12" t="s">
        <v>726</v>
      </c>
      <c r="I3893" s="12">
        <v>10</v>
      </c>
      <c r="J3893" s="12">
        <v>166.98</v>
      </c>
      <c r="K3893" s="12">
        <v>167.13</v>
      </c>
      <c r="L3893" s="12">
        <v>-1669.8</v>
      </c>
      <c r="M3893" s="12">
        <v>-1.3</v>
      </c>
      <c r="N3893" s="12">
        <v>1671.1</v>
      </c>
      <c r="O3893" s="12">
        <v>0</v>
      </c>
      <c r="P3893" s="12">
        <v>1.5</v>
      </c>
      <c r="Q3893" s="12" t="s">
        <v>215</v>
      </c>
    </row>
    <row r="3894" spans="1:17" x14ac:dyDescent="0.3">
      <c r="A3894" s="12" t="s">
        <v>96</v>
      </c>
      <c r="B3894" s="12" t="s">
        <v>201</v>
      </c>
      <c r="C3894" s="12" t="s">
        <v>123</v>
      </c>
      <c r="D3894" s="12" t="s">
        <v>209</v>
      </c>
      <c r="E3894" s="12" t="s">
        <v>110</v>
      </c>
      <c r="F3894" s="12" t="s">
        <v>114</v>
      </c>
      <c r="G3894" s="12" t="s">
        <v>37</v>
      </c>
      <c r="H3894" s="12" t="s">
        <v>870</v>
      </c>
      <c r="I3894" s="12">
        <v>-15</v>
      </c>
      <c r="J3894" s="12">
        <v>171</v>
      </c>
      <c r="K3894" s="12">
        <v>173.92</v>
      </c>
      <c r="L3894" s="12">
        <v>2565</v>
      </c>
      <c r="M3894" s="12">
        <v>0</v>
      </c>
      <c r="N3894" s="12">
        <v>-2772.6750000000002</v>
      </c>
      <c r="O3894" s="12">
        <v>-207.67500000000001</v>
      </c>
      <c r="P3894" s="12">
        <v>-43.8</v>
      </c>
      <c r="Q3894" s="12" t="s">
        <v>3</v>
      </c>
    </row>
    <row r="3895" spans="1:17" x14ac:dyDescent="0.3">
      <c r="A3895" s="12" t="s">
        <v>96</v>
      </c>
      <c r="B3895" s="12" t="s">
        <v>201</v>
      </c>
      <c r="C3895" s="12" t="s">
        <v>123</v>
      </c>
      <c r="D3895" s="12" t="s">
        <v>209</v>
      </c>
      <c r="E3895" s="12" t="s">
        <v>110</v>
      </c>
      <c r="F3895" s="12" t="s">
        <v>114</v>
      </c>
      <c r="G3895" s="12" t="s">
        <v>37</v>
      </c>
      <c r="H3895" s="12" t="s">
        <v>1004</v>
      </c>
      <c r="I3895" s="12">
        <v>-15</v>
      </c>
      <c r="J3895" s="12">
        <v>183</v>
      </c>
      <c r="K3895" s="12">
        <v>182.83</v>
      </c>
      <c r="L3895" s="12">
        <v>2745</v>
      </c>
      <c r="M3895" s="12">
        <v>0</v>
      </c>
      <c r="N3895" s="12">
        <v>-2595.3249999999998</v>
      </c>
      <c r="O3895" s="12">
        <v>149.67500000000001</v>
      </c>
      <c r="P3895" s="12">
        <v>2.5499999999999998</v>
      </c>
      <c r="Q3895" s="12" t="s">
        <v>3</v>
      </c>
    </row>
    <row r="3896" spans="1:17" x14ac:dyDescent="0.3">
      <c r="A3896" s="12" t="s">
        <v>96</v>
      </c>
      <c r="B3896" s="12" t="s">
        <v>201</v>
      </c>
      <c r="C3896" s="12" t="s">
        <v>213</v>
      </c>
      <c r="E3896" s="12" t="s">
        <v>110</v>
      </c>
      <c r="F3896" s="12" t="s">
        <v>114</v>
      </c>
      <c r="G3896" s="12" t="s">
        <v>37</v>
      </c>
      <c r="I3896" s="12">
        <v>0</v>
      </c>
      <c r="L3896" s="12">
        <v>-55.4</v>
      </c>
      <c r="M3896" s="12">
        <v>-2.6</v>
      </c>
      <c r="N3896" s="12">
        <v>0</v>
      </c>
      <c r="O3896" s="12">
        <v>-58</v>
      </c>
      <c r="P3896" s="12">
        <v>-12.15</v>
      </c>
    </row>
    <row r="3897" spans="1:17" x14ac:dyDescent="0.3">
      <c r="A3897" s="12" t="s">
        <v>96</v>
      </c>
      <c r="B3897" s="12" t="s">
        <v>201</v>
      </c>
      <c r="C3897" s="12" t="s">
        <v>123</v>
      </c>
      <c r="D3897" s="12" t="s">
        <v>209</v>
      </c>
      <c r="E3897" s="12" t="s">
        <v>110</v>
      </c>
      <c r="F3897" s="12" t="s">
        <v>114</v>
      </c>
      <c r="G3897" s="12" t="s">
        <v>23</v>
      </c>
      <c r="H3897" s="12" t="s">
        <v>241</v>
      </c>
      <c r="I3897" s="12">
        <v>13</v>
      </c>
      <c r="J3897" s="12">
        <v>589.87</v>
      </c>
      <c r="K3897" s="12">
        <v>586.82000000000005</v>
      </c>
      <c r="L3897" s="12">
        <v>-7668.31</v>
      </c>
      <c r="M3897" s="12">
        <v>-1.3</v>
      </c>
      <c r="N3897" s="12">
        <v>7669.61</v>
      </c>
      <c r="O3897" s="12">
        <v>0</v>
      </c>
      <c r="P3897" s="12">
        <v>-39.65</v>
      </c>
      <c r="Q3897" s="12" t="s">
        <v>215</v>
      </c>
    </row>
    <row r="3898" spans="1:17" x14ac:dyDescent="0.3">
      <c r="A3898" s="12" t="s">
        <v>96</v>
      </c>
      <c r="B3898" s="12" t="s">
        <v>201</v>
      </c>
      <c r="C3898" s="12" t="s">
        <v>123</v>
      </c>
      <c r="D3898" s="12" t="s">
        <v>209</v>
      </c>
      <c r="E3898" s="12" t="s">
        <v>110</v>
      </c>
      <c r="F3898" s="12" t="s">
        <v>114</v>
      </c>
      <c r="G3898" s="12" t="s">
        <v>23</v>
      </c>
      <c r="H3898" s="12" t="s">
        <v>571</v>
      </c>
      <c r="I3898" s="12">
        <v>-13</v>
      </c>
      <c r="J3898" s="12">
        <v>631.71</v>
      </c>
      <c r="K3898" s="12">
        <v>638.27</v>
      </c>
      <c r="L3898" s="12">
        <v>8212.23</v>
      </c>
      <c r="M3898" s="12">
        <v>-1.3</v>
      </c>
      <c r="N3898" s="12">
        <v>-7669.61</v>
      </c>
      <c r="O3898" s="12">
        <v>541.32000000000005</v>
      </c>
      <c r="P3898" s="12">
        <v>-85.28</v>
      </c>
      <c r="Q3898" s="12" t="s">
        <v>3</v>
      </c>
    </row>
    <row r="3899" spans="1:17" x14ac:dyDescent="0.3">
      <c r="A3899" s="12" t="s">
        <v>96</v>
      </c>
      <c r="B3899" s="12" t="s">
        <v>201</v>
      </c>
      <c r="C3899" s="12" t="s">
        <v>213</v>
      </c>
      <c r="E3899" s="12" t="s">
        <v>110</v>
      </c>
      <c r="F3899" s="12" t="s">
        <v>114</v>
      </c>
      <c r="G3899" s="12" t="s">
        <v>23</v>
      </c>
      <c r="I3899" s="12">
        <v>0</v>
      </c>
      <c r="L3899" s="12">
        <v>543.91999999999996</v>
      </c>
      <c r="M3899" s="12">
        <v>-2.6</v>
      </c>
      <c r="N3899" s="12">
        <v>0</v>
      </c>
      <c r="O3899" s="12">
        <v>541.32000000000005</v>
      </c>
      <c r="P3899" s="12">
        <v>-124.93</v>
      </c>
    </row>
    <row r="3900" spans="1:17" x14ac:dyDescent="0.3">
      <c r="A3900" s="12" t="s">
        <v>96</v>
      </c>
      <c r="B3900" s="12" t="s">
        <v>201</v>
      </c>
      <c r="C3900" s="12" t="s">
        <v>123</v>
      </c>
      <c r="D3900" s="12" t="s">
        <v>209</v>
      </c>
      <c r="E3900" s="12" t="s">
        <v>110</v>
      </c>
      <c r="F3900" s="12" t="s">
        <v>114</v>
      </c>
      <c r="G3900" s="12" t="s">
        <v>24</v>
      </c>
      <c r="H3900" s="12" t="s">
        <v>242</v>
      </c>
      <c r="I3900" s="12">
        <v>45</v>
      </c>
      <c r="J3900" s="12">
        <v>74.47</v>
      </c>
      <c r="K3900" s="12">
        <v>75.72</v>
      </c>
      <c r="L3900" s="12">
        <v>-3351.15</v>
      </c>
      <c r="M3900" s="12">
        <v>-1.3</v>
      </c>
      <c r="N3900" s="12">
        <v>3352.45</v>
      </c>
      <c r="O3900" s="12">
        <v>0</v>
      </c>
      <c r="P3900" s="12">
        <v>56.25</v>
      </c>
      <c r="Q3900" s="12" t="s">
        <v>211</v>
      </c>
    </row>
    <row r="3901" spans="1:17" x14ac:dyDescent="0.3">
      <c r="A3901" s="12" t="s">
        <v>96</v>
      </c>
      <c r="B3901" s="12" t="s">
        <v>201</v>
      </c>
      <c r="C3901" s="12" t="s">
        <v>123</v>
      </c>
      <c r="D3901" s="12" t="s">
        <v>209</v>
      </c>
      <c r="E3901" s="12" t="s">
        <v>110</v>
      </c>
      <c r="F3901" s="12" t="s">
        <v>114</v>
      </c>
      <c r="G3901" s="12" t="s">
        <v>24</v>
      </c>
      <c r="H3901" s="12" t="s">
        <v>572</v>
      </c>
      <c r="I3901" s="12">
        <v>-20</v>
      </c>
      <c r="J3901" s="12">
        <v>86.69</v>
      </c>
      <c r="K3901" s="12">
        <v>86.49</v>
      </c>
      <c r="L3901" s="12">
        <v>1733.8</v>
      </c>
      <c r="M3901" s="12">
        <v>-1.3</v>
      </c>
      <c r="N3901" s="12">
        <v>-1490.2125000000001</v>
      </c>
      <c r="O3901" s="12">
        <v>242.28749999999999</v>
      </c>
      <c r="P3901" s="12">
        <v>4</v>
      </c>
      <c r="Q3901" s="12" t="s">
        <v>3</v>
      </c>
    </row>
    <row r="3902" spans="1:17" x14ac:dyDescent="0.3">
      <c r="A3902" s="12" t="s">
        <v>96</v>
      </c>
      <c r="B3902" s="12" t="s">
        <v>201</v>
      </c>
      <c r="C3902" s="12" t="s">
        <v>123</v>
      </c>
      <c r="D3902" s="12" t="s">
        <v>209</v>
      </c>
      <c r="E3902" s="12" t="s">
        <v>110</v>
      </c>
      <c r="F3902" s="12" t="s">
        <v>114</v>
      </c>
      <c r="G3902" s="12" t="s">
        <v>24</v>
      </c>
      <c r="H3902" s="12" t="s">
        <v>573</v>
      </c>
      <c r="I3902" s="12">
        <v>25</v>
      </c>
      <c r="J3902" s="12">
        <v>86.79</v>
      </c>
      <c r="K3902" s="12">
        <v>86.74</v>
      </c>
      <c r="L3902" s="12">
        <v>-2169.75</v>
      </c>
      <c r="M3902" s="12">
        <v>-1.3</v>
      </c>
      <c r="N3902" s="12">
        <v>2171.0500000000002</v>
      </c>
      <c r="O3902" s="12">
        <v>0</v>
      </c>
      <c r="P3902" s="12">
        <v>-1.25</v>
      </c>
      <c r="Q3902" s="12" t="s">
        <v>215</v>
      </c>
    </row>
    <row r="3903" spans="1:17" x14ac:dyDescent="0.3">
      <c r="A3903" s="12" t="s">
        <v>96</v>
      </c>
      <c r="B3903" s="12" t="s">
        <v>201</v>
      </c>
      <c r="C3903" s="12" t="s">
        <v>213</v>
      </c>
      <c r="E3903" s="12" t="s">
        <v>110</v>
      </c>
      <c r="F3903" s="12" t="s">
        <v>114</v>
      </c>
      <c r="G3903" s="12" t="s">
        <v>24</v>
      </c>
      <c r="I3903" s="12">
        <v>50</v>
      </c>
      <c r="L3903" s="12">
        <v>-3787.1</v>
      </c>
      <c r="M3903" s="12">
        <v>-3.9</v>
      </c>
      <c r="N3903" s="12">
        <v>4033.2874999999999</v>
      </c>
      <c r="O3903" s="12">
        <v>242.28749999999999</v>
      </c>
      <c r="P3903" s="12">
        <v>59</v>
      </c>
    </row>
    <row r="3904" spans="1:17" x14ac:dyDescent="0.3">
      <c r="A3904" s="12" t="s">
        <v>96</v>
      </c>
      <c r="B3904" s="12" t="s">
        <v>201</v>
      </c>
      <c r="C3904" s="12" t="s">
        <v>123</v>
      </c>
      <c r="D3904" s="12" t="s">
        <v>209</v>
      </c>
      <c r="E3904" s="12" t="s">
        <v>110</v>
      </c>
      <c r="F3904" s="12" t="s">
        <v>114</v>
      </c>
      <c r="G3904" s="12" t="s">
        <v>70</v>
      </c>
      <c r="H3904" s="12" t="s">
        <v>871</v>
      </c>
      <c r="I3904" s="12">
        <v>25</v>
      </c>
      <c r="J3904" s="12">
        <v>195.59</v>
      </c>
      <c r="K3904" s="12">
        <v>196.91</v>
      </c>
      <c r="L3904" s="12">
        <v>-4889.75</v>
      </c>
      <c r="M3904" s="12">
        <v>0</v>
      </c>
      <c r="N3904" s="12">
        <v>4889.75</v>
      </c>
      <c r="O3904" s="12">
        <v>0</v>
      </c>
      <c r="P3904" s="12">
        <v>33</v>
      </c>
      <c r="Q3904" s="12" t="s">
        <v>215</v>
      </c>
    </row>
    <row r="3905" spans="1:17" x14ac:dyDescent="0.3">
      <c r="A3905" s="12" t="s">
        <v>96</v>
      </c>
      <c r="B3905" s="12" t="s">
        <v>201</v>
      </c>
      <c r="C3905" s="12" t="s">
        <v>123</v>
      </c>
      <c r="D3905" s="12" t="s">
        <v>209</v>
      </c>
      <c r="E3905" s="12" t="s">
        <v>110</v>
      </c>
      <c r="F3905" s="12" t="s">
        <v>114</v>
      </c>
      <c r="G3905" s="12" t="s">
        <v>70</v>
      </c>
      <c r="H3905" s="12" t="s">
        <v>1005</v>
      </c>
      <c r="I3905" s="12">
        <v>-15</v>
      </c>
      <c r="J3905" s="12">
        <v>205.62</v>
      </c>
      <c r="K3905" s="12">
        <v>207.45</v>
      </c>
      <c r="L3905" s="12">
        <v>3084.3</v>
      </c>
      <c r="M3905" s="12">
        <v>0</v>
      </c>
      <c r="N3905" s="12">
        <v>-2933.85</v>
      </c>
      <c r="O3905" s="12">
        <v>150.44999999999999</v>
      </c>
      <c r="P3905" s="12">
        <v>-27.45</v>
      </c>
      <c r="Q3905" s="12" t="s">
        <v>3</v>
      </c>
    </row>
    <row r="3906" spans="1:17" x14ac:dyDescent="0.3">
      <c r="A3906" s="12" t="s">
        <v>96</v>
      </c>
      <c r="B3906" s="12" t="s">
        <v>201</v>
      </c>
      <c r="C3906" s="12" t="s">
        <v>123</v>
      </c>
      <c r="D3906" s="12" t="s">
        <v>209</v>
      </c>
      <c r="E3906" s="12" t="s">
        <v>110</v>
      </c>
      <c r="F3906" s="12" t="s">
        <v>114</v>
      </c>
      <c r="G3906" s="12" t="s">
        <v>70</v>
      </c>
      <c r="H3906" s="12" t="s">
        <v>1006</v>
      </c>
      <c r="I3906" s="12">
        <v>100</v>
      </c>
      <c r="J3906" s="12">
        <v>206.08500000000001</v>
      </c>
      <c r="K3906" s="12">
        <v>204.94</v>
      </c>
      <c r="L3906" s="12">
        <v>-20608.5</v>
      </c>
      <c r="M3906" s="12">
        <v>0</v>
      </c>
      <c r="N3906" s="12">
        <v>20608.5</v>
      </c>
      <c r="O3906" s="12">
        <v>0</v>
      </c>
      <c r="P3906" s="12">
        <v>-114.5</v>
      </c>
      <c r="Q3906" s="12" t="s">
        <v>215</v>
      </c>
    </row>
    <row r="3907" spans="1:17" x14ac:dyDescent="0.3">
      <c r="A3907" s="12" t="s">
        <v>96</v>
      </c>
      <c r="B3907" s="12" t="s">
        <v>201</v>
      </c>
      <c r="C3907" s="12" t="s">
        <v>123</v>
      </c>
      <c r="D3907" s="12" t="s">
        <v>209</v>
      </c>
      <c r="E3907" s="12" t="s">
        <v>110</v>
      </c>
      <c r="F3907" s="12" t="s">
        <v>114</v>
      </c>
      <c r="G3907" s="12" t="s">
        <v>70</v>
      </c>
      <c r="H3907" s="12" t="s">
        <v>1007</v>
      </c>
      <c r="I3907" s="12">
        <v>-55</v>
      </c>
      <c r="J3907" s="12">
        <v>205.77</v>
      </c>
      <c r="K3907" s="12">
        <v>204.94</v>
      </c>
      <c r="L3907" s="12">
        <v>11317.35</v>
      </c>
      <c r="M3907" s="12">
        <v>0</v>
      </c>
      <c r="N3907" s="12">
        <v>-11229.725</v>
      </c>
      <c r="O3907" s="12">
        <v>87.625</v>
      </c>
      <c r="P3907" s="12">
        <v>45.65</v>
      </c>
      <c r="Q3907" s="12" t="s">
        <v>230</v>
      </c>
    </row>
    <row r="3908" spans="1:17" x14ac:dyDescent="0.3">
      <c r="A3908" s="12" t="s">
        <v>96</v>
      </c>
      <c r="B3908" s="12" t="s">
        <v>201</v>
      </c>
      <c r="C3908" s="12" t="s">
        <v>213</v>
      </c>
      <c r="E3908" s="12" t="s">
        <v>110</v>
      </c>
      <c r="F3908" s="12" t="s">
        <v>114</v>
      </c>
      <c r="G3908" s="12" t="s">
        <v>70</v>
      </c>
      <c r="I3908" s="12">
        <v>55</v>
      </c>
      <c r="L3908" s="12">
        <v>-11096.6</v>
      </c>
      <c r="M3908" s="12">
        <v>0</v>
      </c>
      <c r="N3908" s="12">
        <v>11334.674999999999</v>
      </c>
      <c r="O3908" s="12">
        <v>238.07499999999999</v>
      </c>
      <c r="P3908" s="12">
        <v>-63.3</v>
      </c>
    </row>
    <row r="3909" spans="1:17" x14ac:dyDescent="0.3">
      <c r="A3909" s="12" t="s">
        <v>96</v>
      </c>
      <c r="B3909" s="12" t="s">
        <v>201</v>
      </c>
      <c r="C3909" s="12" t="s">
        <v>123</v>
      </c>
      <c r="D3909" s="12" t="s">
        <v>209</v>
      </c>
      <c r="E3909" s="12" t="s">
        <v>110</v>
      </c>
      <c r="F3909" s="12" t="s">
        <v>114</v>
      </c>
      <c r="G3909" s="12" t="s">
        <v>59</v>
      </c>
      <c r="H3909" s="12" t="s">
        <v>793</v>
      </c>
      <c r="I3909" s="12">
        <v>100</v>
      </c>
      <c r="J3909" s="12">
        <v>63.17</v>
      </c>
      <c r="K3909" s="12">
        <v>63.1</v>
      </c>
      <c r="L3909" s="12">
        <v>-6317</v>
      </c>
      <c r="M3909" s="12">
        <v>0</v>
      </c>
      <c r="N3909" s="12">
        <v>6317</v>
      </c>
      <c r="O3909" s="12">
        <v>0</v>
      </c>
      <c r="P3909" s="12">
        <v>-7</v>
      </c>
      <c r="Q3909" s="12" t="s">
        <v>211</v>
      </c>
    </row>
    <row r="3910" spans="1:17" x14ac:dyDescent="0.3">
      <c r="A3910" s="12" t="s">
        <v>96</v>
      </c>
      <c r="B3910" s="12" t="s">
        <v>201</v>
      </c>
      <c r="C3910" s="12" t="s">
        <v>123</v>
      </c>
      <c r="D3910" s="12" t="s">
        <v>209</v>
      </c>
      <c r="E3910" s="12" t="s">
        <v>110</v>
      </c>
      <c r="F3910" s="12" t="s">
        <v>114</v>
      </c>
      <c r="G3910" s="12" t="s">
        <v>59</v>
      </c>
      <c r="H3910" s="12" t="s">
        <v>872</v>
      </c>
      <c r="I3910" s="12">
        <v>-30</v>
      </c>
      <c r="J3910" s="12">
        <v>63.91</v>
      </c>
      <c r="K3910" s="12">
        <v>63.92</v>
      </c>
      <c r="L3910" s="12">
        <v>1917.3</v>
      </c>
      <c r="M3910" s="12">
        <v>0</v>
      </c>
      <c r="N3910" s="12">
        <v>-1895.1</v>
      </c>
      <c r="O3910" s="12">
        <v>22.2</v>
      </c>
      <c r="P3910" s="12">
        <v>-0.3</v>
      </c>
      <c r="Q3910" s="12" t="s">
        <v>3</v>
      </c>
    </row>
    <row r="3911" spans="1:17" x14ac:dyDescent="0.3">
      <c r="A3911" s="12" t="s">
        <v>96</v>
      </c>
      <c r="B3911" s="12" t="s">
        <v>201</v>
      </c>
      <c r="C3911" s="12" t="s">
        <v>123</v>
      </c>
      <c r="D3911" s="12" t="s">
        <v>209</v>
      </c>
      <c r="E3911" s="12" t="s">
        <v>110</v>
      </c>
      <c r="F3911" s="12" t="s">
        <v>114</v>
      </c>
      <c r="G3911" s="12" t="s">
        <v>59</v>
      </c>
      <c r="H3911" s="12" t="s">
        <v>873</v>
      </c>
      <c r="I3911" s="12">
        <v>-70</v>
      </c>
      <c r="J3911" s="12">
        <v>62.39</v>
      </c>
      <c r="K3911" s="12">
        <v>62.77</v>
      </c>
      <c r="L3911" s="12">
        <v>4367.3</v>
      </c>
      <c r="M3911" s="12">
        <v>0</v>
      </c>
      <c r="N3911" s="12">
        <v>-4421.8999999999996</v>
      </c>
      <c r="O3911" s="12">
        <v>-54.6</v>
      </c>
      <c r="P3911" s="12">
        <v>-26.6</v>
      </c>
      <c r="Q3911" s="12" t="s">
        <v>3</v>
      </c>
    </row>
    <row r="3912" spans="1:17" x14ac:dyDescent="0.3">
      <c r="A3912" s="12" t="s">
        <v>96</v>
      </c>
      <c r="B3912" s="12" t="s">
        <v>201</v>
      </c>
      <c r="C3912" s="12" t="s">
        <v>213</v>
      </c>
      <c r="E3912" s="12" t="s">
        <v>110</v>
      </c>
      <c r="F3912" s="12" t="s">
        <v>114</v>
      </c>
      <c r="G3912" s="12" t="s">
        <v>59</v>
      </c>
      <c r="I3912" s="12">
        <v>0</v>
      </c>
      <c r="L3912" s="12">
        <v>-32.4</v>
      </c>
      <c r="M3912" s="12">
        <v>0</v>
      </c>
      <c r="N3912" s="12">
        <v>0</v>
      </c>
      <c r="O3912" s="12">
        <v>-32.4</v>
      </c>
      <c r="P3912" s="12">
        <v>-33.9</v>
      </c>
    </row>
    <row r="3913" spans="1:17" x14ac:dyDescent="0.3">
      <c r="A3913" s="12" t="s">
        <v>96</v>
      </c>
      <c r="B3913" s="12" t="s">
        <v>201</v>
      </c>
      <c r="C3913" s="12" t="s">
        <v>123</v>
      </c>
      <c r="D3913" s="12" t="s">
        <v>209</v>
      </c>
      <c r="E3913" s="12" t="s">
        <v>110</v>
      </c>
      <c r="F3913" s="12" t="s">
        <v>114</v>
      </c>
      <c r="G3913" s="12" t="s">
        <v>49</v>
      </c>
      <c r="H3913" s="12" t="s">
        <v>644</v>
      </c>
      <c r="I3913" s="12">
        <v>5</v>
      </c>
      <c r="J3913" s="12">
        <v>784.38</v>
      </c>
      <c r="K3913" s="12">
        <v>777.59</v>
      </c>
      <c r="L3913" s="12">
        <v>-3921.9</v>
      </c>
      <c r="M3913" s="12">
        <v>-1.3</v>
      </c>
      <c r="N3913" s="12">
        <v>3923.2</v>
      </c>
      <c r="O3913" s="12">
        <v>0</v>
      </c>
      <c r="P3913" s="12">
        <v>-33.950000000000003</v>
      </c>
      <c r="Q3913" s="12" t="s">
        <v>215</v>
      </c>
    </row>
    <row r="3914" spans="1:17" x14ac:dyDescent="0.3">
      <c r="A3914" s="12" t="s">
        <v>96</v>
      </c>
      <c r="B3914" s="12" t="s">
        <v>201</v>
      </c>
      <c r="C3914" s="12" t="s">
        <v>123</v>
      </c>
      <c r="D3914" s="12" t="s">
        <v>209</v>
      </c>
      <c r="E3914" s="12" t="s">
        <v>110</v>
      </c>
      <c r="F3914" s="12" t="s">
        <v>114</v>
      </c>
      <c r="G3914" s="12" t="s">
        <v>49</v>
      </c>
      <c r="H3914" s="12" t="s">
        <v>727</v>
      </c>
      <c r="I3914" s="12">
        <v>2</v>
      </c>
      <c r="J3914" s="12">
        <v>761.65</v>
      </c>
      <c r="K3914" s="12">
        <v>761.98</v>
      </c>
      <c r="L3914" s="12">
        <v>-1523.3</v>
      </c>
      <c r="M3914" s="12">
        <v>-1.3</v>
      </c>
      <c r="N3914" s="12">
        <v>1524.6</v>
      </c>
      <c r="O3914" s="12">
        <v>0</v>
      </c>
      <c r="P3914" s="12">
        <v>0.66</v>
      </c>
      <c r="Q3914" s="12" t="s">
        <v>215</v>
      </c>
    </row>
    <row r="3915" spans="1:17" x14ac:dyDescent="0.3">
      <c r="A3915" s="12" t="s">
        <v>96</v>
      </c>
      <c r="B3915" s="12" t="s">
        <v>201</v>
      </c>
      <c r="C3915" s="12" t="s">
        <v>123</v>
      </c>
      <c r="D3915" s="12" t="s">
        <v>209</v>
      </c>
      <c r="E3915" s="12" t="s">
        <v>110</v>
      </c>
      <c r="F3915" s="12" t="s">
        <v>114</v>
      </c>
      <c r="G3915" s="12" t="s">
        <v>49</v>
      </c>
      <c r="H3915" s="12" t="s">
        <v>728</v>
      </c>
      <c r="I3915" s="12">
        <v>-3</v>
      </c>
      <c r="J3915" s="12">
        <v>734.35500000000002</v>
      </c>
      <c r="K3915" s="12">
        <v>737.2</v>
      </c>
      <c r="L3915" s="12">
        <v>2203.0650000000001</v>
      </c>
      <c r="M3915" s="12">
        <v>-1.3</v>
      </c>
      <c r="N3915" s="12">
        <v>-2353.92</v>
      </c>
      <c r="O3915" s="12">
        <v>-152.155</v>
      </c>
      <c r="P3915" s="12">
        <v>-8.5350000000000001</v>
      </c>
      <c r="Q3915" s="12" t="s">
        <v>3</v>
      </c>
    </row>
    <row r="3916" spans="1:17" x14ac:dyDescent="0.3">
      <c r="A3916" s="12" t="s">
        <v>96</v>
      </c>
      <c r="B3916" s="12" t="s">
        <v>201</v>
      </c>
      <c r="C3916" s="12" t="s">
        <v>123</v>
      </c>
      <c r="D3916" s="12" t="s">
        <v>209</v>
      </c>
      <c r="E3916" s="12" t="s">
        <v>110</v>
      </c>
      <c r="F3916" s="12" t="s">
        <v>114</v>
      </c>
      <c r="G3916" s="12" t="s">
        <v>49</v>
      </c>
      <c r="H3916" s="12" t="s">
        <v>794</v>
      </c>
      <c r="I3916" s="12">
        <v>6</v>
      </c>
      <c r="J3916" s="12">
        <v>752.25</v>
      </c>
      <c r="K3916" s="12">
        <v>755.91</v>
      </c>
      <c r="L3916" s="12">
        <v>-4513.5</v>
      </c>
      <c r="M3916" s="12">
        <v>0</v>
      </c>
      <c r="N3916" s="12">
        <v>4513.5</v>
      </c>
      <c r="O3916" s="12">
        <v>0</v>
      </c>
      <c r="P3916" s="12">
        <v>21.96</v>
      </c>
      <c r="Q3916" s="12" t="s">
        <v>215</v>
      </c>
    </row>
    <row r="3917" spans="1:17" x14ac:dyDescent="0.3">
      <c r="A3917" s="12" t="s">
        <v>96</v>
      </c>
      <c r="B3917" s="12" t="s">
        <v>201</v>
      </c>
      <c r="C3917" s="12" t="s">
        <v>213</v>
      </c>
      <c r="E3917" s="12" t="s">
        <v>110</v>
      </c>
      <c r="F3917" s="12" t="s">
        <v>114</v>
      </c>
      <c r="G3917" s="12" t="s">
        <v>49</v>
      </c>
      <c r="I3917" s="12">
        <v>10</v>
      </c>
      <c r="L3917" s="12">
        <v>-7755.6350000000002</v>
      </c>
      <c r="M3917" s="12">
        <v>-3.9</v>
      </c>
      <c r="N3917" s="12">
        <v>7607.38</v>
      </c>
      <c r="O3917" s="12">
        <v>-152.155</v>
      </c>
      <c r="P3917" s="12">
        <v>-19.864999999999998</v>
      </c>
    </row>
    <row r="3918" spans="1:17" x14ac:dyDescent="0.3">
      <c r="A3918" s="12" t="s">
        <v>96</v>
      </c>
      <c r="B3918" s="12" t="s">
        <v>201</v>
      </c>
      <c r="C3918" s="12" t="s">
        <v>123</v>
      </c>
      <c r="D3918" s="12" t="s">
        <v>209</v>
      </c>
      <c r="E3918" s="12" t="s">
        <v>110</v>
      </c>
      <c r="F3918" s="12" t="s">
        <v>114</v>
      </c>
      <c r="G3918" s="12" t="s">
        <v>25</v>
      </c>
      <c r="H3918" s="12" t="s">
        <v>243</v>
      </c>
      <c r="I3918" s="12">
        <v>7</v>
      </c>
      <c r="J3918" s="12">
        <v>498.11</v>
      </c>
      <c r="K3918" s="12">
        <v>496</v>
      </c>
      <c r="L3918" s="12">
        <v>-3486.77</v>
      </c>
      <c r="M3918" s="12">
        <v>-1.3</v>
      </c>
      <c r="N3918" s="12">
        <v>3488.07</v>
      </c>
      <c r="O3918" s="12">
        <v>0</v>
      </c>
      <c r="P3918" s="12">
        <v>-14.77</v>
      </c>
      <c r="Q3918" s="12" t="s">
        <v>215</v>
      </c>
    </row>
    <row r="3919" spans="1:17" x14ac:dyDescent="0.3">
      <c r="A3919" s="12" t="s">
        <v>96</v>
      </c>
      <c r="B3919" s="12" t="s">
        <v>201</v>
      </c>
      <c r="C3919" s="12" t="s">
        <v>123</v>
      </c>
      <c r="D3919" s="12" t="s">
        <v>209</v>
      </c>
      <c r="E3919" s="12" t="s">
        <v>110</v>
      </c>
      <c r="F3919" s="12" t="s">
        <v>114</v>
      </c>
      <c r="G3919" s="12" t="s">
        <v>25</v>
      </c>
      <c r="H3919" s="12" t="s">
        <v>244</v>
      </c>
      <c r="I3919" s="12">
        <v>-7</v>
      </c>
      <c r="J3919" s="12">
        <v>487.61</v>
      </c>
      <c r="K3919" s="12">
        <v>491.48</v>
      </c>
      <c r="L3919" s="12">
        <v>3413.27</v>
      </c>
      <c r="M3919" s="12">
        <v>-1.3</v>
      </c>
      <c r="N3919" s="12">
        <v>-3488.07</v>
      </c>
      <c r="O3919" s="12">
        <v>-76.099999999999994</v>
      </c>
      <c r="P3919" s="12">
        <v>-27.09</v>
      </c>
      <c r="Q3919" s="12" t="s">
        <v>3</v>
      </c>
    </row>
    <row r="3920" spans="1:17" x14ac:dyDescent="0.3">
      <c r="A3920" s="12" t="s">
        <v>96</v>
      </c>
      <c r="B3920" s="12" t="s">
        <v>201</v>
      </c>
      <c r="C3920" s="12" t="s">
        <v>123</v>
      </c>
      <c r="D3920" s="12" t="s">
        <v>209</v>
      </c>
      <c r="E3920" s="12" t="s">
        <v>110</v>
      </c>
      <c r="F3920" s="12" t="s">
        <v>114</v>
      </c>
      <c r="G3920" s="12" t="s">
        <v>25</v>
      </c>
      <c r="H3920" s="12" t="s">
        <v>245</v>
      </c>
      <c r="I3920" s="12">
        <v>8</v>
      </c>
      <c r="J3920" s="12">
        <v>478.12</v>
      </c>
      <c r="K3920" s="12">
        <v>481.4</v>
      </c>
      <c r="L3920" s="12">
        <v>-3824.96</v>
      </c>
      <c r="M3920" s="12">
        <v>-1.3</v>
      </c>
      <c r="N3920" s="12">
        <v>3826.26</v>
      </c>
      <c r="O3920" s="12">
        <v>0</v>
      </c>
      <c r="P3920" s="12">
        <v>26.24</v>
      </c>
      <c r="Q3920" s="12" t="s">
        <v>215</v>
      </c>
    </row>
    <row r="3921" spans="1:17" x14ac:dyDescent="0.3">
      <c r="A3921" s="12" t="s">
        <v>96</v>
      </c>
      <c r="B3921" s="12" t="s">
        <v>201</v>
      </c>
      <c r="C3921" s="12" t="s">
        <v>123</v>
      </c>
      <c r="D3921" s="12" t="s">
        <v>209</v>
      </c>
      <c r="E3921" s="12" t="s">
        <v>110</v>
      </c>
      <c r="F3921" s="12" t="s">
        <v>114</v>
      </c>
      <c r="G3921" s="12" t="s">
        <v>25</v>
      </c>
      <c r="H3921" s="12" t="s">
        <v>645</v>
      </c>
      <c r="I3921" s="12">
        <v>-100</v>
      </c>
      <c r="J3921" s="12">
        <v>453.22</v>
      </c>
      <c r="K3921" s="12">
        <v>450.79</v>
      </c>
      <c r="L3921" s="12">
        <v>45322</v>
      </c>
      <c r="M3921" s="12">
        <v>-1.3</v>
      </c>
      <c r="N3921" s="12">
        <v>-45522.5</v>
      </c>
      <c r="O3921" s="12">
        <v>-201.8</v>
      </c>
      <c r="P3921" s="12">
        <v>243</v>
      </c>
      <c r="Q3921" s="12" t="s">
        <v>646</v>
      </c>
    </row>
    <row r="3922" spans="1:17" x14ac:dyDescent="0.3">
      <c r="A3922" s="12" t="s">
        <v>96</v>
      </c>
      <c r="B3922" s="12" t="s">
        <v>201</v>
      </c>
      <c r="C3922" s="12" t="s">
        <v>123</v>
      </c>
      <c r="D3922" s="12" t="s">
        <v>209</v>
      </c>
      <c r="E3922" s="12" t="s">
        <v>110</v>
      </c>
      <c r="F3922" s="12" t="s">
        <v>114</v>
      </c>
      <c r="G3922" s="12" t="s">
        <v>25</v>
      </c>
      <c r="H3922" s="12" t="s">
        <v>647</v>
      </c>
      <c r="I3922" s="12">
        <v>92</v>
      </c>
      <c r="J3922" s="12">
        <v>452.9</v>
      </c>
      <c r="K3922" s="12">
        <v>450.79</v>
      </c>
      <c r="L3922" s="12">
        <v>-41666.800000000003</v>
      </c>
      <c r="M3922" s="12">
        <v>-1.3</v>
      </c>
      <c r="N3922" s="12">
        <v>41696.239999999998</v>
      </c>
      <c r="O3922" s="12">
        <v>28.14</v>
      </c>
      <c r="P3922" s="12">
        <v>-194.12</v>
      </c>
      <c r="Q3922" s="12" t="s">
        <v>230</v>
      </c>
    </row>
    <row r="3923" spans="1:17" x14ac:dyDescent="0.3">
      <c r="A3923" s="12" t="s">
        <v>96</v>
      </c>
      <c r="B3923" s="12" t="s">
        <v>201</v>
      </c>
      <c r="C3923" s="12" t="s">
        <v>213</v>
      </c>
      <c r="E3923" s="12" t="s">
        <v>110</v>
      </c>
      <c r="F3923" s="12" t="s">
        <v>114</v>
      </c>
      <c r="G3923" s="12" t="s">
        <v>25</v>
      </c>
      <c r="I3923" s="12">
        <v>0</v>
      </c>
      <c r="L3923" s="12">
        <v>-243.26</v>
      </c>
      <c r="M3923" s="12">
        <v>-6.5</v>
      </c>
      <c r="N3923" s="12">
        <v>0</v>
      </c>
      <c r="O3923" s="12">
        <v>-249.76</v>
      </c>
      <c r="P3923" s="12">
        <v>33.26</v>
      </c>
    </row>
    <row r="3924" spans="1:17" x14ac:dyDescent="0.3">
      <c r="A3924" s="12" t="s">
        <v>96</v>
      </c>
      <c r="B3924" s="12" t="s">
        <v>201</v>
      </c>
      <c r="C3924" s="12" t="s">
        <v>123</v>
      </c>
      <c r="D3924" s="12" t="s">
        <v>209</v>
      </c>
      <c r="E3924" s="12" t="s">
        <v>110</v>
      </c>
      <c r="F3924" s="12" t="s">
        <v>114</v>
      </c>
      <c r="G3924" s="12" t="s">
        <v>26</v>
      </c>
      <c r="H3924" s="12" t="s">
        <v>246</v>
      </c>
      <c r="I3924" s="12">
        <v>9</v>
      </c>
      <c r="J3924" s="12">
        <v>375.64</v>
      </c>
      <c r="K3924" s="12">
        <v>374.49</v>
      </c>
      <c r="L3924" s="12">
        <v>-3380.76</v>
      </c>
      <c r="M3924" s="12">
        <v>-1.3</v>
      </c>
      <c r="N3924" s="12">
        <v>3382.06</v>
      </c>
      <c r="O3924" s="12">
        <v>0</v>
      </c>
      <c r="P3924" s="12">
        <v>-10.35</v>
      </c>
      <c r="Q3924" s="12" t="s">
        <v>215</v>
      </c>
    </row>
    <row r="3925" spans="1:17" x14ac:dyDescent="0.3">
      <c r="A3925" s="12" t="s">
        <v>96</v>
      </c>
      <c r="B3925" s="12" t="s">
        <v>201</v>
      </c>
      <c r="C3925" s="12" t="s">
        <v>123</v>
      </c>
      <c r="D3925" s="12" t="s">
        <v>209</v>
      </c>
      <c r="E3925" s="12" t="s">
        <v>110</v>
      </c>
      <c r="F3925" s="12" t="s">
        <v>114</v>
      </c>
      <c r="G3925" s="12" t="s">
        <v>26</v>
      </c>
      <c r="H3925" s="12" t="s">
        <v>574</v>
      </c>
      <c r="I3925" s="12">
        <v>-4</v>
      </c>
      <c r="J3925" s="12">
        <v>403.32</v>
      </c>
      <c r="K3925" s="12">
        <v>401.09</v>
      </c>
      <c r="L3925" s="12">
        <v>1613.28</v>
      </c>
      <c r="M3925" s="12">
        <v>-1.3</v>
      </c>
      <c r="N3925" s="12">
        <v>-1503.137778</v>
      </c>
      <c r="O3925" s="12">
        <v>108.84222200000001</v>
      </c>
      <c r="P3925" s="12">
        <v>8.92</v>
      </c>
      <c r="Q3925" s="12" t="s">
        <v>3</v>
      </c>
    </row>
    <row r="3926" spans="1:17" x14ac:dyDescent="0.3">
      <c r="A3926" s="12" t="s">
        <v>96</v>
      </c>
      <c r="B3926" s="12" t="s">
        <v>201</v>
      </c>
      <c r="C3926" s="12" t="s">
        <v>123</v>
      </c>
      <c r="D3926" s="12" t="s">
        <v>209</v>
      </c>
      <c r="E3926" s="12" t="s">
        <v>110</v>
      </c>
      <c r="F3926" s="12" t="s">
        <v>114</v>
      </c>
      <c r="G3926" s="12" t="s">
        <v>26</v>
      </c>
      <c r="H3926" s="12" t="s">
        <v>575</v>
      </c>
      <c r="I3926" s="12">
        <v>5</v>
      </c>
      <c r="J3926" s="12">
        <v>373.34</v>
      </c>
      <c r="K3926" s="12">
        <v>373.24</v>
      </c>
      <c r="L3926" s="12">
        <v>-1866.7</v>
      </c>
      <c r="M3926" s="12">
        <v>-1.3</v>
      </c>
      <c r="N3926" s="12">
        <v>1868</v>
      </c>
      <c r="O3926" s="12">
        <v>0</v>
      </c>
      <c r="P3926" s="12">
        <v>-0.5</v>
      </c>
      <c r="Q3926" s="12" t="s">
        <v>215</v>
      </c>
    </row>
    <row r="3927" spans="1:17" x14ac:dyDescent="0.3">
      <c r="A3927" s="12" t="s">
        <v>96</v>
      </c>
      <c r="B3927" s="12" t="s">
        <v>201</v>
      </c>
      <c r="C3927" s="12" t="s">
        <v>123</v>
      </c>
      <c r="D3927" s="12" t="s">
        <v>209</v>
      </c>
      <c r="E3927" s="12" t="s">
        <v>110</v>
      </c>
      <c r="F3927" s="12" t="s">
        <v>114</v>
      </c>
      <c r="G3927" s="12" t="s">
        <v>26</v>
      </c>
      <c r="H3927" s="12" t="s">
        <v>729</v>
      </c>
      <c r="I3927" s="12">
        <v>-5</v>
      </c>
      <c r="J3927" s="12">
        <v>400.15</v>
      </c>
      <c r="K3927" s="12">
        <v>391.57</v>
      </c>
      <c r="L3927" s="12">
        <v>2000.75</v>
      </c>
      <c r="M3927" s="12">
        <v>-1.3</v>
      </c>
      <c r="N3927" s="12">
        <v>-1878.9222219999999</v>
      </c>
      <c r="O3927" s="12">
        <v>120.527778</v>
      </c>
      <c r="P3927" s="12">
        <v>42.9</v>
      </c>
      <c r="Q3927" s="12" t="s">
        <v>3</v>
      </c>
    </row>
    <row r="3928" spans="1:17" x14ac:dyDescent="0.3">
      <c r="A3928" s="12" t="s">
        <v>96</v>
      </c>
      <c r="B3928" s="12" t="s">
        <v>201</v>
      </c>
      <c r="C3928" s="12" t="s">
        <v>123</v>
      </c>
      <c r="D3928" s="12" t="s">
        <v>209</v>
      </c>
      <c r="E3928" s="12" t="s">
        <v>110</v>
      </c>
      <c r="F3928" s="12" t="s">
        <v>114</v>
      </c>
      <c r="G3928" s="12" t="s">
        <v>26</v>
      </c>
      <c r="H3928" s="12" t="s">
        <v>795</v>
      </c>
      <c r="I3928" s="12">
        <v>15</v>
      </c>
      <c r="J3928" s="12">
        <v>397.93</v>
      </c>
      <c r="K3928" s="12">
        <v>402.1</v>
      </c>
      <c r="L3928" s="12">
        <v>-5968.95</v>
      </c>
      <c r="M3928" s="12">
        <v>0</v>
      </c>
      <c r="N3928" s="12">
        <v>5968.95</v>
      </c>
      <c r="O3928" s="12">
        <v>0</v>
      </c>
      <c r="P3928" s="12">
        <v>62.55</v>
      </c>
      <c r="Q3928" s="12" t="s">
        <v>211</v>
      </c>
    </row>
    <row r="3929" spans="1:17" x14ac:dyDescent="0.3">
      <c r="A3929" s="12" t="s">
        <v>96</v>
      </c>
      <c r="B3929" s="12" t="s">
        <v>201</v>
      </c>
      <c r="C3929" s="12" t="s">
        <v>123</v>
      </c>
      <c r="D3929" s="12" t="s">
        <v>209</v>
      </c>
      <c r="E3929" s="12" t="s">
        <v>110</v>
      </c>
      <c r="F3929" s="12" t="s">
        <v>114</v>
      </c>
      <c r="G3929" s="12" t="s">
        <v>26</v>
      </c>
      <c r="H3929" s="12" t="s">
        <v>874</v>
      </c>
      <c r="I3929" s="12">
        <v>-20</v>
      </c>
      <c r="J3929" s="12">
        <v>406.88</v>
      </c>
      <c r="K3929" s="12">
        <v>410.11</v>
      </c>
      <c r="L3929" s="12">
        <v>8137.6</v>
      </c>
      <c r="M3929" s="12">
        <v>0</v>
      </c>
      <c r="N3929" s="12">
        <v>-7836.95</v>
      </c>
      <c r="O3929" s="12">
        <v>300.64999999999998</v>
      </c>
      <c r="P3929" s="12">
        <v>-64.599999999999994</v>
      </c>
      <c r="Q3929" s="12" t="s">
        <v>230</v>
      </c>
    </row>
    <row r="3930" spans="1:17" x14ac:dyDescent="0.3">
      <c r="A3930" s="12" t="s">
        <v>96</v>
      </c>
      <c r="B3930" s="12" t="s">
        <v>201</v>
      </c>
      <c r="C3930" s="12" t="s">
        <v>123</v>
      </c>
      <c r="D3930" s="12" t="s">
        <v>209</v>
      </c>
      <c r="E3930" s="12" t="s">
        <v>110</v>
      </c>
      <c r="F3930" s="12" t="s">
        <v>114</v>
      </c>
      <c r="G3930" s="12" t="s">
        <v>26</v>
      </c>
      <c r="H3930" s="12" t="s">
        <v>1008</v>
      </c>
      <c r="I3930" s="12">
        <v>10</v>
      </c>
      <c r="J3930" s="12">
        <v>441.55</v>
      </c>
      <c r="K3930" s="12">
        <v>433.81</v>
      </c>
      <c r="L3930" s="12">
        <v>-4415.5</v>
      </c>
      <c r="M3930" s="12">
        <v>0</v>
      </c>
      <c r="N3930" s="12">
        <v>4415.5</v>
      </c>
      <c r="O3930" s="12">
        <v>0</v>
      </c>
      <c r="P3930" s="12">
        <v>-77.400000000000006</v>
      </c>
      <c r="Q3930" s="12" t="s">
        <v>215</v>
      </c>
    </row>
    <row r="3931" spans="1:17" x14ac:dyDescent="0.3">
      <c r="A3931" s="12" t="s">
        <v>96</v>
      </c>
      <c r="B3931" s="12" t="s">
        <v>201</v>
      </c>
      <c r="C3931" s="12" t="s">
        <v>123</v>
      </c>
      <c r="D3931" s="12" t="s">
        <v>209</v>
      </c>
      <c r="E3931" s="12" t="s">
        <v>110</v>
      </c>
      <c r="F3931" s="12" t="s">
        <v>114</v>
      </c>
      <c r="G3931" s="12" t="s">
        <v>26</v>
      </c>
      <c r="H3931" s="12" t="s">
        <v>1071</v>
      </c>
      <c r="I3931" s="12">
        <v>-5</v>
      </c>
      <c r="J3931" s="12">
        <v>480.28</v>
      </c>
      <c r="K3931" s="12">
        <v>479.38</v>
      </c>
      <c r="L3931" s="12">
        <v>2401.4</v>
      </c>
      <c r="M3931" s="12">
        <v>0</v>
      </c>
      <c r="N3931" s="12">
        <v>-2207.75</v>
      </c>
      <c r="O3931" s="12">
        <v>193.65</v>
      </c>
      <c r="P3931" s="12">
        <v>4.5</v>
      </c>
      <c r="Q3931" s="12" t="s">
        <v>3</v>
      </c>
    </row>
    <row r="3932" spans="1:17" x14ac:dyDescent="0.3">
      <c r="A3932" s="12" t="s">
        <v>96</v>
      </c>
      <c r="B3932" s="12" t="s">
        <v>201</v>
      </c>
      <c r="C3932" s="12" t="s">
        <v>213</v>
      </c>
      <c r="E3932" s="12" t="s">
        <v>110</v>
      </c>
      <c r="F3932" s="12" t="s">
        <v>114</v>
      </c>
      <c r="G3932" s="12" t="s">
        <v>26</v>
      </c>
      <c r="I3932" s="12">
        <v>5</v>
      </c>
      <c r="L3932" s="12">
        <v>-1478.88</v>
      </c>
      <c r="M3932" s="12">
        <v>-5.2</v>
      </c>
      <c r="N3932" s="12">
        <v>2207.75</v>
      </c>
      <c r="O3932" s="12">
        <v>723.67</v>
      </c>
      <c r="P3932" s="12">
        <v>-33.979999999999997</v>
      </c>
    </row>
    <row r="3933" spans="1:17" x14ac:dyDescent="0.3">
      <c r="A3933" s="12" t="s">
        <v>96</v>
      </c>
      <c r="B3933" s="12" t="s">
        <v>201</v>
      </c>
      <c r="C3933" s="12" t="s">
        <v>123</v>
      </c>
      <c r="D3933" s="12" t="s">
        <v>209</v>
      </c>
      <c r="E3933" s="12" t="s">
        <v>110</v>
      </c>
      <c r="F3933" s="12" t="s">
        <v>114</v>
      </c>
      <c r="G3933" s="12" t="s">
        <v>38</v>
      </c>
      <c r="H3933" s="12" t="s">
        <v>576</v>
      </c>
      <c r="I3933" s="12">
        <v>8</v>
      </c>
      <c r="J3933" s="12">
        <v>443.53</v>
      </c>
      <c r="K3933" s="12">
        <v>444.81</v>
      </c>
      <c r="L3933" s="12">
        <v>-3548.24</v>
      </c>
      <c r="M3933" s="12">
        <v>-1.3</v>
      </c>
      <c r="N3933" s="12">
        <v>3549.54</v>
      </c>
      <c r="O3933" s="12">
        <v>0</v>
      </c>
      <c r="P3933" s="12">
        <v>10.24</v>
      </c>
      <c r="Q3933" s="12" t="s">
        <v>215</v>
      </c>
    </row>
    <row r="3934" spans="1:17" x14ac:dyDescent="0.3">
      <c r="A3934" s="12" t="s">
        <v>96</v>
      </c>
      <c r="B3934" s="12" t="s">
        <v>201</v>
      </c>
      <c r="C3934" s="12" t="s">
        <v>123</v>
      </c>
      <c r="D3934" s="12" t="s">
        <v>209</v>
      </c>
      <c r="E3934" s="12" t="s">
        <v>110</v>
      </c>
      <c r="F3934" s="12" t="s">
        <v>114</v>
      </c>
      <c r="G3934" s="12" t="s">
        <v>38</v>
      </c>
      <c r="H3934" s="12" t="s">
        <v>577</v>
      </c>
      <c r="I3934" s="12">
        <v>-8</v>
      </c>
      <c r="J3934" s="12">
        <v>440</v>
      </c>
      <c r="K3934" s="12">
        <v>447.58</v>
      </c>
      <c r="L3934" s="12">
        <v>3520</v>
      </c>
      <c r="M3934" s="12">
        <v>-1.3</v>
      </c>
      <c r="N3934" s="12">
        <v>-3549.54</v>
      </c>
      <c r="O3934" s="12">
        <v>-30.84</v>
      </c>
      <c r="P3934" s="12">
        <v>-60.64</v>
      </c>
      <c r="Q3934" s="12" t="s">
        <v>3</v>
      </c>
    </row>
    <row r="3935" spans="1:17" x14ac:dyDescent="0.3">
      <c r="A3935" s="12" t="s">
        <v>96</v>
      </c>
      <c r="B3935" s="12" t="s">
        <v>201</v>
      </c>
      <c r="C3935" s="12" t="s">
        <v>213</v>
      </c>
      <c r="E3935" s="12" t="s">
        <v>110</v>
      </c>
      <c r="F3935" s="12" t="s">
        <v>114</v>
      </c>
      <c r="G3935" s="12" t="s">
        <v>38</v>
      </c>
      <c r="I3935" s="12">
        <v>0</v>
      </c>
      <c r="L3935" s="12">
        <v>-28.24</v>
      </c>
      <c r="M3935" s="12">
        <v>-2.6</v>
      </c>
      <c r="N3935" s="12">
        <v>0</v>
      </c>
      <c r="O3935" s="12">
        <v>-30.84</v>
      </c>
      <c r="P3935" s="12">
        <v>-50.4</v>
      </c>
    </row>
    <row r="3936" spans="1:17" x14ac:dyDescent="0.3">
      <c r="A3936" s="12" t="s">
        <v>96</v>
      </c>
      <c r="B3936" s="12" t="s">
        <v>201</v>
      </c>
      <c r="C3936" s="12" t="s">
        <v>123</v>
      </c>
      <c r="D3936" s="12" t="s">
        <v>209</v>
      </c>
      <c r="E3936" s="12" t="s">
        <v>110</v>
      </c>
      <c r="F3936" s="12" t="s">
        <v>114</v>
      </c>
      <c r="G3936" s="12" t="s">
        <v>27</v>
      </c>
      <c r="H3936" s="12" t="s">
        <v>247</v>
      </c>
      <c r="I3936" s="12">
        <v>21</v>
      </c>
      <c r="J3936" s="12">
        <v>342.34</v>
      </c>
      <c r="K3936" s="12">
        <v>346.29</v>
      </c>
      <c r="L3936" s="12">
        <v>-7189.14</v>
      </c>
      <c r="M3936" s="12">
        <v>-1.3</v>
      </c>
      <c r="N3936" s="12">
        <v>7190.44</v>
      </c>
      <c r="O3936" s="12">
        <v>0</v>
      </c>
      <c r="P3936" s="12">
        <v>82.95</v>
      </c>
      <c r="Q3936" s="12" t="s">
        <v>215</v>
      </c>
    </row>
    <row r="3937" spans="1:17" x14ac:dyDescent="0.3">
      <c r="A3937" s="12" t="s">
        <v>96</v>
      </c>
      <c r="B3937" s="12" t="s">
        <v>201</v>
      </c>
      <c r="C3937" s="12" t="s">
        <v>123</v>
      </c>
      <c r="D3937" s="12" t="s">
        <v>209</v>
      </c>
      <c r="E3937" s="12" t="s">
        <v>110</v>
      </c>
      <c r="F3937" s="12" t="s">
        <v>114</v>
      </c>
      <c r="G3937" s="12" t="s">
        <v>27</v>
      </c>
      <c r="H3937" s="12" t="s">
        <v>578</v>
      </c>
      <c r="I3937" s="12">
        <v>-10</v>
      </c>
      <c r="J3937" s="12">
        <v>471.65</v>
      </c>
      <c r="K3937" s="12">
        <v>474.99</v>
      </c>
      <c r="L3937" s="12">
        <v>4716.5</v>
      </c>
      <c r="M3937" s="12">
        <v>-1.3</v>
      </c>
      <c r="N3937" s="12">
        <v>-3424.0190480000001</v>
      </c>
      <c r="O3937" s="12">
        <v>1291.1809519999999</v>
      </c>
      <c r="P3937" s="12">
        <v>-33.4</v>
      </c>
      <c r="Q3937" s="12" t="s">
        <v>3</v>
      </c>
    </row>
    <row r="3938" spans="1:17" x14ac:dyDescent="0.3">
      <c r="A3938" s="12" t="s">
        <v>96</v>
      </c>
      <c r="B3938" s="12" t="s">
        <v>201</v>
      </c>
      <c r="C3938" s="12" t="s">
        <v>123</v>
      </c>
      <c r="D3938" s="12" t="s">
        <v>209</v>
      </c>
      <c r="E3938" s="12" t="s">
        <v>110</v>
      </c>
      <c r="F3938" s="12" t="s">
        <v>114</v>
      </c>
      <c r="G3938" s="12" t="s">
        <v>27</v>
      </c>
      <c r="H3938" s="12" t="s">
        <v>730</v>
      </c>
      <c r="I3938" s="12">
        <v>3</v>
      </c>
      <c r="J3938" s="12">
        <v>520.80999999999995</v>
      </c>
      <c r="K3938" s="12">
        <v>519.83000000000004</v>
      </c>
      <c r="L3938" s="12">
        <v>-1562.43</v>
      </c>
      <c r="M3938" s="12">
        <v>-1.3</v>
      </c>
      <c r="N3938" s="12">
        <v>1563.73</v>
      </c>
      <c r="O3938" s="12">
        <v>0</v>
      </c>
      <c r="P3938" s="12">
        <v>-2.94</v>
      </c>
      <c r="Q3938" s="12" t="s">
        <v>215</v>
      </c>
    </row>
    <row r="3939" spans="1:17" x14ac:dyDescent="0.3">
      <c r="A3939" s="12" t="s">
        <v>96</v>
      </c>
      <c r="B3939" s="12" t="s">
        <v>201</v>
      </c>
      <c r="C3939" s="12" t="s">
        <v>123</v>
      </c>
      <c r="D3939" s="12" t="s">
        <v>209</v>
      </c>
      <c r="E3939" s="12" t="s">
        <v>110</v>
      </c>
      <c r="F3939" s="12" t="s">
        <v>114</v>
      </c>
      <c r="G3939" s="12" t="s">
        <v>27</v>
      </c>
      <c r="H3939" s="12" t="s">
        <v>796</v>
      </c>
      <c r="I3939" s="12">
        <v>30</v>
      </c>
      <c r="J3939" s="12">
        <v>474.83</v>
      </c>
      <c r="K3939" s="12">
        <v>476.2</v>
      </c>
      <c r="L3939" s="12">
        <v>-14244.9</v>
      </c>
      <c r="M3939" s="12">
        <v>0</v>
      </c>
      <c r="N3939" s="12">
        <v>14244.9</v>
      </c>
      <c r="O3939" s="12">
        <v>0</v>
      </c>
      <c r="P3939" s="12">
        <v>41.1</v>
      </c>
      <c r="Q3939" s="12" t="s">
        <v>215</v>
      </c>
    </row>
    <row r="3940" spans="1:17" x14ac:dyDescent="0.3">
      <c r="A3940" s="12" t="s">
        <v>96</v>
      </c>
      <c r="B3940" s="12" t="s">
        <v>201</v>
      </c>
      <c r="C3940" s="12" t="s">
        <v>123</v>
      </c>
      <c r="D3940" s="12" t="s">
        <v>209</v>
      </c>
      <c r="E3940" s="12" t="s">
        <v>110</v>
      </c>
      <c r="F3940" s="12" t="s">
        <v>114</v>
      </c>
      <c r="G3940" s="12" t="s">
        <v>27</v>
      </c>
      <c r="H3940" s="12" t="s">
        <v>875</v>
      </c>
      <c r="I3940" s="12">
        <v>-10</v>
      </c>
      <c r="J3940" s="12">
        <v>497.97500000000002</v>
      </c>
      <c r="K3940" s="12">
        <v>506.63</v>
      </c>
      <c r="L3940" s="12">
        <v>4979.75</v>
      </c>
      <c r="M3940" s="12">
        <v>0</v>
      </c>
      <c r="N3940" s="12">
        <v>-3424.0190469999998</v>
      </c>
      <c r="O3940" s="12">
        <v>1555.730953</v>
      </c>
      <c r="P3940" s="12">
        <v>-86.55</v>
      </c>
      <c r="Q3940" s="12" t="s">
        <v>3</v>
      </c>
    </row>
    <row r="3941" spans="1:17" x14ac:dyDescent="0.3">
      <c r="A3941" s="12" t="s">
        <v>96</v>
      </c>
      <c r="B3941" s="12" t="s">
        <v>201</v>
      </c>
      <c r="C3941" s="12" t="s">
        <v>123</v>
      </c>
      <c r="D3941" s="12" t="s">
        <v>209</v>
      </c>
      <c r="E3941" s="12" t="s">
        <v>110</v>
      </c>
      <c r="F3941" s="12" t="s">
        <v>114</v>
      </c>
      <c r="G3941" s="12" t="s">
        <v>27</v>
      </c>
      <c r="H3941" s="12" t="s">
        <v>876</v>
      </c>
      <c r="I3941" s="12">
        <v>-14</v>
      </c>
      <c r="J3941" s="12">
        <v>504</v>
      </c>
      <c r="K3941" s="12">
        <v>506.63</v>
      </c>
      <c r="L3941" s="12">
        <v>7056</v>
      </c>
      <c r="M3941" s="12">
        <v>0</v>
      </c>
      <c r="N3941" s="12">
        <v>-6654.4319050000004</v>
      </c>
      <c r="O3941" s="12">
        <v>401.56809500000003</v>
      </c>
      <c r="P3941" s="12">
        <v>-36.82</v>
      </c>
      <c r="Q3941" s="12" t="s">
        <v>3</v>
      </c>
    </row>
    <row r="3942" spans="1:17" x14ac:dyDescent="0.3">
      <c r="A3942" s="12" t="s">
        <v>96</v>
      </c>
      <c r="B3942" s="12" t="s">
        <v>201</v>
      </c>
      <c r="C3942" s="12" t="s">
        <v>123</v>
      </c>
      <c r="D3942" s="12" t="s">
        <v>209</v>
      </c>
      <c r="E3942" s="12" t="s">
        <v>110</v>
      </c>
      <c r="F3942" s="12" t="s">
        <v>114</v>
      </c>
      <c r="G3942" s="12" t="s">
        <v>27</v>
      </c>
      <c r="H3942" s="12" t="s">
        <v>877</v>
      </c>
      <c r="I3942" s="12">
        <v>10</v>
      </c>
      <c r="J3942" s="12">
        <v>496.9</v>
      </c>
      <c r="K3942" s="12">
        <v>499.49</v>
      </c>
      <c r="L3942" s="12">
        <v>-4969</v>
      </c>
      <c r="M3942" s="12">
        <v>0</v>
      </c>
      <c r="N3942" s="12">
        <v>4969</v>
      </c>
      <c r="O3942" s="12">
        <v>0</v>
      </c>
      <c r="P3942" s="12">
        <v>25.9</v>
      </c>
      <c r="Q3942" s="12" t="s">
        <v>215</v>
      </c>
    </row>
    <row r="3943" spans="1:17" x14ac:dyDescent="0.3">
      <c r="A3943" s="12" t="s">
        <v>96</v>
      </c>
      <c r="B3943" s="12" t="s">
        <v>201</v>
      </c>
      <c r="C3943" s="12" t="s">
        <v>123</v>
      </c>
      <c r="D3943" s="12" t="s">
        <v>209</v>
      </c>
      <c r="E3943" s="12" t="s">
        <v>110</v>
      </c>
      <c r="F3943" s="12" t="s">
        <v>114</v>
      </c>
      <c r="G3943" s="12" t="s">
        <v>27</v>
      </c>
      <c r="H3943" s="12" t="s">
        <v>1009</v>
      </c>
      <c r="I3943" s="12">
        <v>-15</v>
      </c>
      <c r="J3943" s="12">
        <v>474.77</v>
      </c>
      <c r="K3943" s="12">
        <v>474.83</v>
      </c>
      <c r="L3943" s="12">
        <v>7121.55</v>
      </c>
      <c r="M3943" s="12">
        <v>0</v>
      </c>
      <c r="N3943" s="12">
        <v>-7122.45</v>
      </c>
      <c r="O3943" s="12">
        <v>-0.9</v>
      </c>
      <c r="P3943" s="12">
        <v>-0.9</v>
      </c>
      <c r="Q3943" s="12" t="s">
        <v>3</v>
      </c>
    </row>
    <row r="3944" spans="1:17" x14ac:dyDescent="0.3">
      <c r="A3944" s="12" t="s">
        <v>96</v>
      </c>
      <c r="B3944" s="12" t="s">
        <v>201</v>
      </c>
      <c r="C3944" s="12" t="s">
        <v>213</v>
      </c>
      <c r="E3944" s="12" t="s">
        <v>110</v>
      </c>
      <c r="F3944" s="12" t="s">
        <v>114</v>
      </c>
      <c r="G3944" s="12" t="s">
        <v>27</v>
      </c>
      <c r="I3944" s="12">
        <v>15</v>
      </c>
      <c r="L3944" s="12">
        <v>-4091.67</v>
      </c>
      <c r="M3944" s="12">
        <v>-3.9</v>
      </c>
      <c r="N3944" s="12">
        <v>7343.15</v>
      </c>
      <c r="O3944" s="12">
        <v>3247.58</v>
      </c>
      <c r="P3944" s="12">
        <v>-10.66</v>
      </c>
    </row>
    <row r="3945" spans="1:17" x14ac:dyDescent="0.3">
      <c r="A3945" s="12" t="s">
        <v>96</v>
      </c>
      <c r="B3945" s="12" t="s">
        <v>201</v>
      </c>
      <c r="C3945" s="12" t="s">
        <v>123</v>
      </c>
      <c r="D3945" s="12" t="s">
        <v>209</v>
      </c>
      <c r="E3945" s="12" t="s">
        <v>110</v>
      </c>
      <c r="F3945" s="12" t="s">
        <v>114</v>
      </c>
      <c r="G3945" s="12" t="s">
        <v>28</v>
      </c>
      <c r="H3945" s="12" t="s">
        <v>248</v>
      </c>
      <c r="I3945" s="12">
        <v>49</v>
      </c>
      <c r="J3945" s="12">
        <v>367.44</v>
      </c>
      <c r="K3945" s="12">
        <v>370.6</v>
      </c>
      <c r="L3945" s="12">
        <v>-18004.560000000001</v>
      </c>
      <c r="M3945" s="12">
        <v>-1.3</v>
      </c>
      <c r="N3945" s="12">
        <v>18005.86</v>
      </c>
      <c r="O3945" s="12">
        <v>0</v>
      </c>
      <c r="P3945" s="12">
        <v>154.84</v>
      </c>
      <c r="Q3945" s="12" t="s">
        <v>215</v>
      </c>
    </row>
    <row r="3946" spans="1:17" x14ac:dyDescent="0.3">
      <c r="A3946" s="12" t="s">
        <v>96</v>
      </c>
      <c r="B3946" s="12" t="s">
        <v>201</v>
      </c>
      <c r="C3946" s="12" t="s">
        <v>123</v>
      </c>
      <c r="D3946" s="12" t="s">
        <v>209</v>
      </c>
      <c r="E3946" s="12" t="s">
        <v>110</v>
      </c>
      <c r="F3946" s="12" t="s">
        <v>114</v>
      </c>
      <c r="G3946" s="12" t="s">
        <v>28</v>
      </c>
      <c r="H3946" s="12" t="s">
        <v>648</v>
      </c>
      <c r="I3946" s="12">
        <v>-15</v>
      </c>
      <c r="J3946" s="12">
        <v>418.77</v>
      </c>
      <c r="K3946" s="12">
        <v>425.22</v>
      </c>
      <c r="L3946" s="12">
        <v>6281.55</v>
      </c>
      <c r="M3946" s="12">
        <v>-1.3</v>
      </c>
      <c r="N3946" s="12">
        <v>-5511.9979590000003</v>
      </c>
      <c r="O3946" s="12">
        <v>768.25204099999996</v>
      </c>
      <c r="P3946" s="12">
        <v>-96.75</v>
      </c>
      <c r="Q3946" s="12" t="s">
        <v>3</v>
      </c>
    </row>
    <row r="3947" spans="1:17" x14ac:dyDescent="0.3">
      <c r="A3947" s="12" t="s">
        <v>96</v>
      </c>
      <c r="B3947" s="12" t="s">
        <v>201</v>
      </c>
      <c r="C3947" s="12" t="s">
        <v>123</v>
      </c>
      <c r="D3947" s="12" t="s">
        <v>209</v>
      </c>
      <c r="E3947" s="12" t="s">
        <v>110</v>
      </c>
      <c r="F3947" s="12" t="s">
        <v>114</v>
      </c>
      <c r="G3947" s="12" t="s">
        <v>28</v>
      </c>
      <c r="H3947" s="12" t="s">
        <v>797</v>
      </c>
      <c r="I3947" s="12">
        <v>15</v>
      </c>
      <c r="J3947" s="12">
        <v>413.36</v>
      </c>
      <c r="K3947" s="12">
        <v>414.74</v>
      </c>
      <c r="L3947" s="12">
        <v>-6200.4</v>
      </c>
      <c r="M3947" s="12">
        <v>0</v>
      </c>
      <c r="N3947" s="12">
        <v>6200.4</v>
      </c>
      <c r="O3947" s="12">
        <v>0</v>
      </c>
      <c r="P3947" s="12">
        <v>20.7</v>
      </c>
      <c r="Q3947" s="12" t="s">
        <v>215</v>
      </c>
    </row>
    <row r="3948" spans="1:17" x14ac:dyDescent="0.3">
      <c r="A3948" s="12" t="s">
        <v>96</v>
      </c>
      <c r="B3948" s="12" t="s">
        <v>201</v>
      </c>
      <c r="C3948" s="12" t="s">
        <v>123</v>
      </c>
      <c r="D3948" s="12" t="s">
        <v>209</v>
      </c>
      <c r="E3948" s="12" t="s">
        <v>110</v>
      </c>
      <c r="F3948" s="12" t="s">
        <v>114</v>
      </c>
      <c r="G3948" s="12" t="s">
        <v>28</v>
      </c>
      <c r="H3948" s="12" t="s">
        <v>1010</v>
      </c>
      <c r="I3948" s="12">
        <v>12</v>
      </c>
      <c r="J3948" s="12">
        <v>440.82</v>
      </c>
      <c r="K3948" s="12">
        <v>440.37</v>
      </c>
      <c r="L3948" s="12">
        <v>-5289.84</v>
      </c>
      <c r="M3948" s="12">
        <v>0</v>
      </c>
      <c r="N3948" s="12">
        <v>5289.84</v>
      </c>
      <c r="O3948" s="12">
        <v>0</v>
      </c>
      <c r="P3948" s="12">
        <v>-5.4</v>
      </c>
      <c r="Q3948" s="12" t="s">
        <v>215</v>
      </c>
    </row>
    <row r="3949" spans="1:17" x14ac:dyDescent="0.3">
      <c r="A3949" s="12" t="s">
        <v>96</v>
      </c>
      <c r="B3949" s="12" t="s">
        <v>201</v>
      </c>
      <c r="C3949" s="12" t="s">
        <v>213</v>
      </c>
      <c r="E3949" s="12" t="s">
        <v>110</v>
      </c>
      <c r="F3949" s="12" t="s">
        <v>114</v>
      </c>
      <c r="G3949" s="12" t="s">
        <v>28</v>
      </c>
      <c r="I3949" s="12">
        <v>61</v>
      </c>
      <c r="L3949" s="12">
        <v>-23213.25</v>
      </c>
      <c r="M3949" s="12">
        <v>-2.6</v>
      </c>
      <c r="N3949" s="12">
        <v>23984.102040999998</v>
      </c>
      <c r="O3949" s="12">
        <v>768.25204099999996</v>
      </c>
      <c r="P3949" s="12">
        <v>73.39</v>
      </c>
    </row>
    <row r="3950" spans="1:17" x14ac:dyDescent="0.3">
      <c r="A3950" s="12" t="s">
        <v>96</v>
      </c>
      <c r="B3950" s="12" t="s">
        <v>201</v>
      </c>
      <c r="C3950" s="12" t="s">
        <v>123</v>
      </c>
      <c r="D3950" s="12" t="s">
        <v>209</v>
      </c>
      <c r="E3950" s="12" t="s">
        <v>110</v>
      </c>
      <c r="F3950" s="12" t="s">
        <v>114</v>
      </c>
      <c r="G3950" s="12" t="s">
        <v>55</v>
      </c>
      <c r="H3950" s="12" t="s">
        <v>731</v>
      </c>
      <c r="I3950" s="12">
        <v>50</v>
      </c>
      <c r="J3950" s="12">
        <v>122.52</v>
      </c>
      <c r="K3950" s="12">
        <v>116.33</v>
      </c>
      <c r="L3950" s="12">
        <v>-6126</v>
      </c>
      <c r="M3950" s="12">
        <v>-1.3</v>
      </c>
      <c r="N3950" s="12">
        <v>6127.3</v>
      </c>
      <c r="O3950" s="12">
        <v>0</v>
      </c>
      <c r="P3950" s="12">
        <v>-309.5</v>
      </c>
      <c r="Q3950" s="12" t="s">
        <v>211</v>
      </c>
    </row>
    <row r="3951" spans="1:17" x14ac:dyDescent="0.3">
      <c r="A3951" s="12" t="s">
        <v>96</v>
      </c>
      <c r="B3951" s="12" t="s">
        <v>201</v>
      </c>
      <c r="C3951" s="12" t="s">
        <v>123</v>
      </c>
      <c r="D3951" s="12" t="s">
        <v>209</v>
      </c>
      <c r="E3951" s="12" t="s">
        <v>110</v>
      </c>
      <c r="F3951" s="12" t="s">
        <v>114</v>
      </c>
      <c r="G3951" s="12" t="s">
        <v>55</v>
      </c>
      <c r="H3951" s="12" t="s">
        <v>798</v>
      </c>
      <c r="I3951" s="12">
        <v>30</v>
      </c>
      <c r="J3951" s="12">
        <v>119.764</v>
      </c>
      <c r="K3951" s="12">
        <v>121.24</v>
      </c>
      <c r="L3951" s="12">
        <v>-3592.92</v>
      </c>
      <c r="M3951" s="12">
        <v>0</v>
      </c>
      <c r="N3951" s="12">
        <v>3592.92</v>
      </c>
      <c r="O3951" s="12">
        <v>0</v>
      </c>
      <c r="P3951" s="12">
        <v>44.28</v>
      </c>
      <c r="Q3951" s="12" t="s">
        <v>215</v>
      </c>
    </row>
    <row r="3952" spans="1:17" x14ac:dyDescent="0.3">
      <c r="A3952" s="12" t="s">
        <v>96</v>
      </c>
      <c r="B3952" s="12" t="s">
        <v>201</v>
      </c>
      <c r="C3952" s="12" t="s">
        <v>123</v>
      </c>
      <c r="D3952" s="12" t="s">
        <v>209</v>
      </c>
      <c r="E3952" s="12" t="s">
        <v>110</v>
      </c>
      <c r="F3952" s="12" t="s">
        <v>114</v>
      </c>
      <c r="G3952" s="12" t="s">
        <v>55</v>
      </c>
      <c r="H3952" s="12" t="s">
        <v>1072</v>
      </c>
      <c r="I3952" s="12">
        <v>-40</v>
      </c>
      <c r="J3952" s="12">
        <v>97.77</v>
      </c>
      <c r="K3952" s="12">
        <v>97.86</v>
      </c>
      <c r="L3952" s="12">
        <v>3910.8</v>
      </c>
      <c r="M3952" s="12">
        <v>0</v>
      </c>
      <c r="N3952" s="12">
        <v>-4902.1000000000004</v>
      </c>
      <c r="O3952" s="12">
        <v>-991.3</v>
      </c>
      <c r="P3952" s="12">
        <v>-3.6</v>
      </c>
      <c r="Q3952" s="12" t="s">
        <v>3</v>
      </c>
    </row>
    <row r="3953" spans="1:17" x14ac:dyDescent="0.3">
      <c r="A3953" s="12" t="s">
        <v>96</v>
      </c>
      <c r="B3953" s="12" t="s">
        <v>201</v>
      </c>
      <c r="C3953" s="12" t="s">
        <v>213</v>
      </c>
      <c r="E3953" s="12" t="s">
        <v>110</v>
      </c>
      <c r="F3953" s="12" t="s">
        <v>114</v>
      </c>
      <c r="G3953" s="12" t="s">
        <v>55</v>
      </c>
      <c r="I3953" s="12">
        <v>40</v>
      </c>
      <c r="L3953" s="12">
        <v>-5808.12</v>
      </c>
      <c r="M3953" s="12">
        <v>-1.3</v>
      </c>
      <c r="N3953" s="12">
        <v>4818.12</v>
      </c>
      <c r="O3953" s="12">
        <v>-991.3</v>
      </c>
      <c r="P3953" s="12">
        <v>-268.82</v>
      </c>
    </row>
    <row r="3954" spans="1:17" x14ac:dyDescent="0.3">
      <c r="A3954" s="12" t="s">
        <v>96</v>
      </c>
      <c r="B3954" s="12" t="s">
        <v>201</v>
      </c>
      <c r="C3954" s="12" t="s">
        <v>123</v>
      </c>
      <c r="D3954" s="12" t="s">
        <v>209</v>
      </c>
      <c r="E3954" s="12" t="s">
        <v>110</v>
      </c>
      <c r="F3954" s="12" t="s">
        <v>114</v>
      </c>
      <c r="G3954" s="12" t="s">
        <v>50</v>
      </c>
      <c r="H3954" s="12" t="s">
        <v>649</v>
      </c>
      <c r="I3954" s="12">
        <v>5</v>
      </c>
      <c r="J3954" s="12">
        <v>740.2</v>
      </c>
      <c r="K3954" s="12">
        <v>741.06</v>
      </c>
      <c r="L3954" s="12">
        <v>-3701</v>
      </c>
      <c r="M3954" s="12">
        <v>-1.3</v>
      </c>
      <c r="N3954" s="12">
        <v>3702.3</v>
      </c>
      <c r="O3954" s="12">
        <v>0</v>
      </c>
      <c r="P3954" s="12">
        <v>4.3</v>
      </c>
      <c r="Q3954" s="12" t="s">
        <v>215</v>
      </c>
    </row>
    <row r="3955" spans="1:17" x14ac:dyDescent="0.3">
      <c r="A3955" s="12" t="s">
        <v>96</v>
      </c>
      <c r="B3955" s="12" t="s">
        <v>201</v>
      </c>
      <c r="C3955" s="12" t="s">
        <v>123</v>
      </c>
      <c r="D3955" s="12" t="s">
        <v>209</v>
      </c>
      <c r="E3955" s="12" t="s">
        <v>110</v>
      </c>
      <c r="F3955" s="12" t="s">
        <v>114</v>
      </c>
      <c r="G3955" s="12" t="s">
        <v>50</v>
      </c>
      <c r="H3955" s="12" t="s">
        <v>732</v>
      </c>
      <c r="I3955" s="12">
        <v>2</v>
      </c>
      <c r="J3955" s="12">
        <v>769.55</v>
      </c>
      <c r="K3955" s="12">
        <v>769.19</v>
      </c>
      <c r="L3955" s="12">
        <v>-1539.1</v>
      </c>
      <c r="M3955" s="12">
        <v>-1.3</v>
      </c>
      <c r="N3955" s="12">
        <v>1540.4</v>
      </c>
      <c r="O3955" s="12">
        <v>0</v>
      </c>
      <c r="P3955" s="12">
        <v>-0.72</v>
      </c>
      <c r="Q3955" s="12" t="s">
        <v>215</v>
      </c>
    </row>
    <row r="3956" spans="1:17" x14ac:dyDescent="0.3">
      <c r="A3956" s="12" t="s">
        <v>96</v>
      </c>
      <c r="B3956" s="12" t="s">
        <v>201</v>
      </c>
      <c r="C3956" s="12" t="s">
        <v>123</v>
      </c>
      <c r="D3956" s="12" t="s">
        <v>209</v>
      </c>
      <c r="E3956" s="12" t="s">
        <v>110</v>
      </c>
      <c r="F3956" s="12" t="s">
        <v>114</v>
      </c>
      <c r="G3956" s="12" t="s">
        <v>50</v>
      </c>
      <c r="H3956" s="12" t="s">
        <v>799</v>
      </c>
      <c r="I3956" s="12">
        <v>5</v>
      </c>
      <c r="J3956" s="12">
        <v>727</v>
      </c>
      <c r="K3956" s="12">
        <v>730.12</v>
      </c>
      <c r="L3956" s="12">
        <v>-3635</v>
      </c>
      <c r="M3956" s="12">
        <v>0</v>
      </c>
      <c r="N3956" s="12">
        <v>3635</v>
      </c>
      <c r="O3956" s="12">
        <v>0</v>
      </c>
      <c r="P3956" s="12">
        <v>15.6</v>
      </c>
      <c r="Q3956" s="12" t="s">
        <v>211</v>
      </c>
    </row>
    <row r="3957" spans="1:17" x14ac:dyDescent="0.3">
      <c r="A3957" s="12" t="s">
        <v>96</v>
      </c>
      <c r="B3957" s="12" t="s">
        <v>201</v>
      </c>
      <c r="C3957" s="12" t="s">
        <v>123</v>
      </c>
      <c r="D3957" s="12" t="s">
        <v>209</v>
      </c>
      <c r="E3957" s="12" t="s">
        <v>110</v>
      </c>
      <c r="F3957" s="12" t="s">
        <v>114</v>
      </c>
      <c r="G3957" s="12" t="s">
        <v>50</v>
      </c>
      <c r="H3957" s="12" t="s">
        <v>878</v>
      </c>
      <c r="I3957" s="12">
        <v>-5</v>
      </c>
      <c r="J3957" s="12">
        <v>728.74</v>
      </c>
      <c r="K3957" s="12">
        <v>725.5</v>
      </c>
      <c r="L3957" s="12">
        <v>3643.7</v>
      </c>
      <c r="M3957" s="12">
        <v>0</v>
      </c>
      <c r="N3957" s="12">
        <v>-3702.3</v>
      </c>
      <c r="O3957" s="12">
        <v>-58.6</v>
      </c>
      <c r="P3957" s="12">
        <v>16.2</v>
      </c>
      <c r="Q3957" s="12" t="s">
        <v>3</v>
      </c>
    </row>
    <row r="3958" spans="1:17" x14ac:dyDescent="0.3">
      <c r="A3958" s="12" t="s">
        <v>96</v>
      </c>
      <c r="B3958" s="12" t="s">
        <v>201</v>
      </c>
      <c r="C3958" s="12" t="s">
        <v>123</v>
      </c>
      <c r="D3958" s="12" t="s">
        <v>209</v>
      </c>
      <c r="E3958" s="12" t="s">
        <v>110</v>
      </c>
      <c r="F3958" s="12" t="s">
        <v>114</v>
      </c>
      <c r="G3958" s="12" t="s">
        <v>50</v>
      </c>
      <c r="H3958" s="12" t="s">
        <v>1011</v>
      </c>
      <c r="I3958" s="12">
        <v>-7</v>
      </c>
      <c r="J3958" s="12">
        <v>747.78</v>
      </c>
      <c r="K3958" s="12">
        <v>744.01</v>
      </c>
      <c r="L3958" s="12">
        <v>5234.46</v>
      </c>
      <c r="M3958" s="12">
        <v>0</v>
      </c>
      <c r="N3958" s="12">
        <v>-5175.3999999999996</v>
      </c>
      <c r="O3958" s="12">
        <v>59.06</v>
      </c>
      <c r="P3958" s="12">
        <v>26.39</v>
      </c>
      <c r="Q3958" s="12" t="s">
        <v>3</v>
      </c>
    </row>
    <row r="3959" spans="1:17" x14ac:dyDescent="0.3">
      <c r="A3959" s="12" t="s">
        <v>96</v>
      </c>
      <c r="B3959" s="12" t="s">
        <v>201</v>
      </c>
      <c r="C3959" s="12" t="s">
        <v>213</v>
      </c>
      <c r="E3959" s="12" t="s">
        <v>110</v>
      </c>
      <c r="F3959" s="12" t="s">
        <v>114</v>
      </c>
      <c r="G3959" s="12" t="s">
        <v>50</v>
      </c>
      <c r="I3959" s="12">
        <v>0</v>
      </c>
      <c r="L3959" s="12">
        <v>3.06</v>
      </c>
      <c r="M3959" s="12">
        <v>-2.6</v>
      </c>
      <c r="N3959" s="12">
        <v>0</v>
      </c>
      <c r="O3959" s="12">
        <v>0.46</v>
      </c>
      <c r="P3959" s="12">
        <v>61.77</v>
      </c>
    </row>
    <row r="3960" spans="1:17" x14ac:dyDescent="0.3">
      <c r="A3960" s="12" t="s">
        <v>96</v>
      </c>
      <c r="B3960" s="12" t="s">
        <v>201</v>
      </c>
      <c r="C3960" s="12" t="s">
        <v>123</v>
      </c>
      <c r="D3960" s="12" t="s">
        <v>209</v>
      </c>
      <c r="E3960" s="12" t="s">
        <v>110</v>
      </c>
      <c r="F3960" s="12" t="s">
        <v>114</v>
      </c>
      <c r="G3960" s="12" t="s">
        <v>71</v>
      </c>
      <c r="H3960" s="12" t="s">
        <v>879</v>
      </c>
      <c r="I3960" s="12">
        <v>100</v>
      </c>
      <c r="J3960" s="12">
        <v>126</v>
      </c>
      <c r="K3960" s="12">
        <v>126.57</v>
      </c>
      <c r="L3960" s="12">
        <v>-12600</v>
      </c>
      <c r="M3960" s="12">
        <v>0</v>
      </c>
      <c r="N3960" s="12">
        <v>12600</v>
      </c>
      <c r="O3960" s="12">
        <v>0</v>
      </c>
      <c r="P3960" s="12">
        <v>57</v>
      </c>
      <c r="Q3960" s="12" t="s">
        <v>215</v>
      </c>
    </row>
    <row r="3961" spans="1:17" x14ac:dyDescent="0.3">
      <c r="A3961" s="12" t="s">
        <v>96</v>
      </c>
      <c r="B3961" s="12" t="s">
        <v>201</v>
      </c>
      <c r="C3961" s="12" t="s">
        <v>123</v>
      </c>
      <c r="D3961" s="12" t="s">
        <v>209</v>
      </c>
      <c r="E3961" s="12" t="s">
        <v>110</v>
      </c>
      <c r="F3961" s="12" t="s">
        <v>114</v>
      </c>
      <c r="G3961" s="12" t="s">
        <v>71</v>
      </c>
      <c r="H3961" s="12" t="s">
        <v>1073</v>
      </c>
      <c r="I3961" s="12">
        <v>-50</v>
      </c>
      <c r="J3961" s="12">
        <v>124.78</v>
      </c>
      <c r="K3961" s="12">
        <v>128.30000000000001</v>
      </c>
      <c r="L3961" s="12">
        <v>6239</v>
      </c>
      <c r="M3961" s="12">
        <v>0</v>
      </c>
      <c r="N3961" s="12">
        <v>-6300</v>
      </c>
      <c r="O3961" s="12">
        <v>-61</v>
      </c>
      <c r="P3961" s="12">
        <v>-176</v>
      </c>
      <c r="Q3961" s="12" t="s">
        <v>3</v>
      </c>
    </row>
    <row r="3962" spans="1:17" x14ac:dyDescent="0.3">
      <c r="A3962" s="12" t="s">
        <v>96</v>
      </c>
      <c r="B3962" s="12" t="s">
        <v>201</v>
      </c>
      <c r="C3962" s="12" t="s">
        <v>123</v>
      </c>
      <c r="D3962" s="12" t="s">
        <v>209</v>
      </c>
      <c r="E3962" s="12" t="s">
        <v>110</v>
      </c>
      <c r="F3962" s="12" t="s">
        <v>114</v>
      </c>
      <c r="G3962" s="12" t="s">
        <v>71</v>
      </c>
      <c r="H3962" s="12" t="s">
        <v>1074</v>
      </c>
      <c r="I3962" s="12">
        <v>-50</v>
      </c>
      <c r="J3962" s="12">
        <v>127.84</v>
      </c>
      <c r="K3962" s="12">
        <v>125.61</v>
      </c>
      <c r="L3962" s="12">
        <v>6392</v>
      </c>
      <c r="M3962" s="12">
        <v>0</v>
      </c>
      <c r="N3962" s="12">
        <v>-6300</v>
      </c>
      <c r="O3962" s="12">
        <v>92</v>
      </c>
      <c r="P3962" s="12">
        <v>111.5</v>
      </c>
      <c r="Q3962" s="12" t="s">
        <v>3</v>
      </c>
    </row>
    <row r="3963" spans="1:17" x14ac:dyDescent="0.3">
      <c r="A3963" s="12" t="s">
        <v>96</v>
      </c>
      <c r="B3963" s="12" t="s">
        <v>201</v>
      </c>
      <c r="C3963" s="12" t="s">
        <v>213</v>
      </c>
      <c r="E3963" s="12" t="s">
        <v>110</v>
      </c>
      <c r="F3963" s="12" t="s">
        <v>114</v>
      </c>
      <c r="G3963" s="12" t="s">
        <v>71</v>
      </c>
      <c r="I3963" s="12">
        <v>0</v>
      </c>
      <c r="L3963" s="12">
        <v>31</v>
      </c>
      <c r="M3963" s="12">
        <v>0</v>
      </c>
      <c r="N3963" s="12">
        <v>0</v>
      </c>
      <c r="O3963" s="12">
        <v>31</v>
      </c>
      <c r="P3963" s="12">
        <v>-7.5</v>
      </c>
    </row>
    <row r="3964" spans="1:17" x14ac:dyDescent="0.3">
      <c r="A3964" s="12" t="s">
        <v>96</v>
      </c>
      <c r="B3964" s="12" t="s">
        <v>201</v>
      </c>
      <c r="C3964" s="12" t="s">
        <v>123</v>
      </c>
      <c r="D3964" s="12" t="s">
        <v>209</v>
      </c>
      <c r="E3964" s="12" t="s">
        <v>110</v>
      </c>
      <c r="F3964" s="12" t="s">
        <v>114</v>
      </c>
      <c r="G3964" s="12" t="s">
        <v>56</v>
      </c>
      <c r="H3964" s="12" t="s">
        <v>733</v>
      </c>
      <c r="I3964" s="12">
        <v>30</v>
      </c>
      <c r="J3964" s="12">
        <v>125.1</v>
      </c>
      <c r="K3964" s="12">
        <v>126.46</v>
      </c>
      <c r="L3964" s="12">
        <v>-3753</v>
      </c>
      <c r="M3964" s="12">
        <v>-1.3</v>
      </c>
      <c r="N3964" s="12">
        <v>3754.3</v>
      </c>
      <c r="O3964" s="12">
        <v>0</v>
      </c>
      <c r="P3964" s="12">
        <v>40.799999999999997</v>
      </c>
      <c r="Q3964" s="12" t="s">
        <v>215</v>
      </c>
    </row>
    <row r="3965" spans="1:17" x14ac:dyDescent="0.3">
      <c r="A3965" s="12" t="s">
        <v>96</v>
      </c>
      <c r="B3965" s="12" t="s">
        <v>201</v>
      </c>
      <c r="C3965" s="12" t="s">
        <v>123</v>
      </c>
      <c r="D3965" s="12" t="s">
        <v>209</v>
      </c>
      <c r="E3965" s="12" t="s">
        <v>110</v>
      </c>
      <c r="F3965" s="12" t="s">
        <v>114</v>
      </c>
      <c r="G3965" s="12" t="s">
        <v>56</v>
      </c>
      <c r="H3965" s="12" t="s">
        <v>734</v>
      </c>
      <c r="I3965" s="12">
        <v>5</v>
      </c>
      <c r="J3965" s="12">
        <v>124.92</v>
      </c>
      <c r="K3965" s="12">
        <v>124.93</v>
      </c>
      <c r="L3965" s="12">
        <v>-624.6</v>
      </c>
      <c r="M3965" s="12">
        <v>-1.3</v>
      </c>
      <c r="N3965" s="12">
        <v>625.9</v>
      </c>
      <c r="O3965" s="12">
        <v>0</v>
      </c>
      <c r="P3965" s="12">
        <v>0.05</v>
      </c>
      <c r="Q3965" s="12" t="s">
        <v>215</v>
      </c>
    </row>
    <row r="3966" spans="1:17" x14ac:dyDescent="0.3">
      <c r="A3966" s="12" t="s">
        <v>96</v>
      </c>
      <c r="B3966" s="12" t="s">
        <v>201</v>
      </c>
      <c r="C3966" s="12" t="s">
        <v>123</v>
      </c>
      <c r="D3966" s="12" t="s">
        <v>209</v>
      </c>
      <c r="E3966" s="12" t="s">
        <v>110</v>
      </c>
      <c r="F3966" s="12" t="s">
        <v>114</v>
      </c>
      <c r="G3966" s="12" t="s">
        <v>56</v>
      </c>
      <c r="H3966" s="12" t="s">
        <v>800</v>
      </c>
      <c r="I3966" s="12">
        <v>15</v>
      </c>
      <c r="J3966" s="12">
        <v>129.78</v>
      </c>
      <c r="K3966" s="12">
        <v>128.41999999999999</v>
      </c>
      <c r="L3966" s="12">
        <v>-1946.7</v>
      </c>
      <c r="M3966" s="12">
        <v>0</v>
      </c>
      <c r="N3966" s="12">
        <v>1946.7</v>
      </c>
      <c r="O3966" s="12">
        <v>0</v>
      </c>
      <c r="P3966" s="12">
        <v>-20.399999999999999</v>
      </c>
      <c r="Q3966" s="12" t="s">
        <v>215</v>
      </c>
    </row>
    <row r="3967" spans="1:17" x14ac:dyDescent="0.3">
      <c r="A3967" s="12" t="s">
        <v>96</v>
      </c>
      <c r="B3967" s="12" t="s">
        <v>201</v>
      </c>
      <c r="C3967" s="12" t="s">
        <v>123</v>
      </c>
      <c r="D3967" s="12" t="s">
        <v>209</v>
      </c>
      <c r="E3967" s="12" t="s">
        <v>110</v>
      </c>
      <c r="F3967" s="12" t="s">
        <v>114</v>
      </c>
      <c r="G3967" s="12" t="s">
        <v>56</v>
      </c>
      <c r="H3967" s="12" t="s">
        <v>1075</v>
      </c>
      <c r="I3967" s="12">
        <v>-50</v>
      </c>
      <c r="J3967" s="12">
        <v>120.93</v>
      </c>
      <c r="K3967" s="12">
        <v>119.23</v>
      </c>
      <c r="L3967" s="12">
        <v>6046.5</v>
      </c>
      <c r="M3967" s="12">
        <v>0</v>
      </c>
      <c r="N3967" s="12">
        <v>-6326.9</v>
      </c>
      <c r="O3967" s="12">
        <v>-280.39999999999998</v>
      </c>
      <c r="P3967" s="12">
        <v>85</v>
      </c>
      <c r="Q3967" s="12" t="s">
        <v>3</v>
      </c>
    </row>
    <row r="3968" spans="1:17" x14ac:dyDescent="0.3">
      <c r="A3968" s="12" t="s">
        <v>96</v>
      </c>
      <c r="B3968" s="12" t="s">
        <v>201</v>
      </c>
      <c r="C3968" s="12" t="s">
        <v>213</v>
      </c>
      <c r="E3968" s="12" t="s">
        <v>110</v>
      </c>
      <c r="F3968" s="12" t="s">
        <v>114</v>
      </c>
      <c r="G3968" s="12" t="s">
        <v>56</v>
      </c>
      <c r="I3968" s="12">
        <v>0</v>
      </c>
      <c r="L3968" s="12">
        <v>-277.8</v>
      </c>
      <c r="M3968" s="12">
        <v>-2.6</v>
      </c>
      <c r="N3968" s="12">
        <v>0</v>
      </c>
      <c r="O3968" s="12">
        <v>-280.39999999999998</v>
      </c>
      <c r="P3968" s="12">
        <v>105.45</v>
      </c>
    </row>
    <row r="3969" spans="1:17" x14ac:dyDescent="0.3">
      <c r="A3969" s="12" t="s">
        <v>96</v>
      </c>
      <c r="B3969" s="12" t="s">
        <v>201</v>
      </c>
      <c r="C3969" s="12" t="s">
        <v>123</v>
      </c>
      <c r="D3969" s="12" t="s">
        <v>209</v>
      </c>
      <c r="E3969" s="12" t="s">
        <v>110</v>
      </c>
      <c r="F3969" s="12" t="s">
        <v>114</v>
      </c>
      <c r="G3969" s="12" t="s">
        <v>72</v>
      </c>
      <c r="H3969" s="12" t="s">
        <v>880</v>
      </c>
      <c r="I3969" s="12">
        <v>18</v>
      </c>
      <c r="J3969" s="12">
        <v>266.54000000000002</v>
      </c>
      <c r="K3969" s="12">
        <v>268.85000000000002</v>
      </c>
      <c r="L3969" s="12">
        <v>-4797.72</v>
      </c>
      <c r="M3969" s="12">
        <v>0</v>
      </c>
      <c r="N3969" s="12">
        <v>4797.72</v>
      </c>
      <c r="O3969" s="12">
        <v>0</v>
      </c>
      <c r="P3969" s="12">
        <v>41.58</v>
      </c>
      <c r="Q3969" s="12" t="s">
        <v>215</v>
      </c>
    </row>
    <row r="3970" spans="1:17" x14ac:dyDescent="0.3">
      <c r="A3970" s="12" t="s">
        <v>96</v>
      </c>
      <c r="B3970" s="12" t="s">
        <v>201</v>
      </c>
      <c r="C3970" s="12" t="s">
        <v>123</v>
      </c>
      <c r="D3970" s="12" t="s">
        <v>209</v>
      </c>
      <c r="E3970" s="12" t="s">
        <v>110</v>
      </c>
      <c r="F3970" s="12" t="s">
        <v>114</v>
      </c>
      <c r="G3970" s="12" t="s">
        <v>72</v>
      </c>
      <c r="H3970" s="12" t="s">
        <v>1012</v>
      </c>
      <c r="I3970" s="12">
        <v>-18</v>
      </c>
      <c r="J3970" s="12">
        <v>272.19</v>
      </c>
      <c r="K3970" s="12">
        <v>269.29000000000002</v>
      </c>
      <c r="L3970" s="12">
        <v>4899.42</v>
      </c>
      <c r="M3970" s="12">
        <v>0</v>
      </c>
      <c r="N3970" s="12">
        <v>-4797.72</v>
      </c>
      <c r="O3970" s="12">
        <v>101.7</v>
      </c>
      <c r="P3970" s="12">
        <v>52.2</v>
      </c>
      <c r="Q3970" s="12" t="s">
        <v>3</v>
      </c>
    </row>
    <row r="3971" spans="1:17" x14ac:dyDescent="0.3">
      <c r="A3971" s="12" t="s">
        <v>96</v>
      </c>
      <c r="B3971" s="12" t="s">
        <v>201</v>
      </c>
      <c r="C3971" s="12" t="s">
        <v>213</v>
      </c>
      <c r="E3971" s="12" t="s">
        <v>110</v>
      </c>
      <c r="F3971" s="12" t="s">
        <v>114</v>
      </c>
      <c r="G3971" s="12" t="s">
        <v>72</v>
      </c>
      <c r="I3971" s="12">
        <v>0</v>
      </c>
      <c r="L3971" s="12">
        <v>101.7</v>
      </c>
      <c r="M3971" s="12">
        <v>0</v>
      </c>
      <c r="N3971" s="12">
        <v>0</v>
      </c>
      <c r="O3971" s="12">
        <v>101.7</v>
      </c>
      <c r="P3971" s="12">
        <v>93.78</v>
      </c>
    </row>
    <row r="3972" spans="1:17" x14ac:dyDescent="0.3">
      <c r="A3972" s="12" t="s">
        <v>96</v>
      </c>
      <c r="B3972" s="12" t="s">
        <v>201</v>
      </c>
      <c r="C3972" s="12" t="s">
        <v>123</v>
      </c>
      <c r="D3972" s="12" t="s">
        <v>209</v>
      </c>
      <c r="E3972" s="12" t="s">
        <v>110</v>
      </c>
      <c r="F3972" s="12" t="s">
        <v>114</v>
      </c>
      <c r="G3972" s="12" t="s">
        <v>57</v>
      </c>
      <c r="H3972" s="12" t="s">
        <v>735</v>
      </c>
      <c r="I3972" s="12">
        <v>30</v>
      </c>
      <c r="J3972" s="12">
        <v>121.91</v>
      </c>
      <c r="K3972" s="12">
        <v>119.88</v>
      </c>
      <c r="L3972" s="12">
        <v>-3657.3</v>
      </c>
      <c r="M3972" s="12">
        <v>-1.3</v>
      </c>
      <c r="N3972" s="12">
        <v>3658.6</v>
      </c>
      <c r="O3972" s="12">
        <v>0</v>
      </c>
      <c r="P3972" s="12">
        <v>-60.9</v>
      </c>
      <c r="Q3972" s="12" t="s">
        <v>215</v>
      </c>
    </row>
    <row r="3973" spans="1:17" x14ac:dyDescent="0.3">
      <c r="A3973" s="12" t="s">
        <v>96</v>
      </c>
      <c r="B3973" s="12" t="s">
        <v>201</v>
      </c>
      <c r="C3973" s="12" t="s">
        <v>123</v>
      </c>
      <c r="D3973" s="12" t="s">
        <v>209</v>
      </c>
      <c r="E3973" s="12" t="s">
        <v>110</v>
      </c>
      <c r="F3973" s="12" t="s">
        <v>114</v>
      </c>
      <c r="G3973" s="12" t="s">
        <v>57</v>
      </c>
      <c r="H3973" s="12" t="s">
        <v>736</v>
      </c>
      <c r="I3973" s="12">
        <v>15</v>
      </c>
      <c r="J3973" s="12">
        <v>115.84</v>
      </c>
      <c r="K3973" s="12">
        <v>116.49</v>
      </c>
      <c r="L3973" s="12">
        <v>-1737.6</v>
      </c>
      <c r="M3973" s="12">
        <v>-1.3</v>
      </c>
      <c r="N3973" s="12">
        <v>1738.9</v>
      </c>
      <c r="O3973" s="12">
        <v>0</v>
      </c>
      <c r="P3973" s="12">
        <v>9.75</v>
      </c>
      <c r="Q3973" s="12" t="s">
        <v>215</v>
      </c>
    </row>
    <row r="3974" spans="1:17" x14ac:dyDescent="0.3">
      <c r="A3974" s="12" t="s">
        <v>96</v>
      </c>
      <c r="B3974" s="12" t="s">
        <v>201</v>
      </c>
      <c r="C3974" s="12" t="s">
        <v>123</v>
      </c>
      <c r="D3974" s="12" t="s">
        <v>209</v>
      </c>
      <c r="E3974" s="12" t="s">
        <v>110</v>
      </c>
      <c r="F3974" s="12" t="s">
        <v>114</v>
      </c>
      <c r="G3974" s="12" t="s">
        <v>57</v>
      </c>
      <c r="H3974" s="12" t="s">
        <v>801</v>
      </c>
      <c r="I3974" s="12">
        <v>20</v>
      </c>
      <c r="J3974" s="12">
        <v>124.788</v>
      </c>
      <c r="K3974" s="12">
        <v>124.63</v>
      </c>
      <c r="L3974" s="12">
        <v>-2495.7600000000002</v>
      </c>
      <c r="M3974" s="12">
        <v>0</v>
      </c>
      <c r="N3974" s="12">
        <v>2495.7600000000002</v>
      </c>
      <c r="O3974" s="12">
        <v>0</v>
      </c>
      <c r="P3974" s="12">
        <v>-3.16</v>
      </c>
      <c r="Q3974" s="12" t="s">
        <v>215</v>
      </c>
    </row>
    <row r="3975" spans="1:17" x14ac:dyDescent="0.3">
      <c r="A3975" s="12" t="s">
        <v>96</v>
      </c>
      <c r="B3975" s="12" t="s">
        <v>201</v>
      </c>
      <c r="C3975" s="12" t="s">
        <v>123</v>
      </c>
      <c r="D3975" s="12" t="s">
        <v>209</v>
      </c>
      <c r="E3975" s="12" t="s">
        <v>110</v>
      </c>
      <c r="F3975" s="12" t="s">
        <v>114</v>
      </c>
      <c r="G3975" s="12" t="s">
        <v>57</v>
      </c>
      <c r="H3975" s="12" t="s">
        <v>881</v>
      </c>
      <c r="I3975" s="12">
        <v>-65</v>
      </c>
      <c r="J3975" s="12">
        <v>121.38</v>
      </c>
      <c r="K3975" s="12">
        <v>122.63</v>
      </c>
      <c r="L3975" s="12">
        <v>7889.7</v>
      </c>
      <c r="M3975" s="12">
        <v>0</v>
      </c>
      <c r="N3975" s="12">
        <v>-7893.26</v>
      </c>
      <c r="O3975" s="12">
        <v>-3.56</v>
      </c>
      <c r="P3975" s="12">
        <v>-81.25</v>
      </c>
      <c r="Q3975" s="12" t="s">
        <v>3</v>
      </c>
    </row>
    <row r="3976" spans="1:17" x14ac:dyDescent="0.3">
      <c r="A3976" s="12" t="s">
        <v>96</v>
      </c>
      <c r="B3976" s="12" t="s">
        <v>201</v>
      </c>
      <c r="C3976" s="12" t="s">
        <v>213</v>
      </c>
      <c r="E3976" s="12" t="s">
        <v>110</v>
      </c>
      <c r="F3976" s="12" t="s">
        <v>114</v>
      </c>
      <c r="G3976" s="12" t="s">
        <v>57</v>
      </c>
      <c r="I3976" s="12">
        <v>0</v>
      </c>
      <c r="L3976" s="12">
        <v>-0.96</v>
      </c>
      <c r="M3976" s="12">
        <v>-2.6</v>
      </c>
      <c r="N3976" s="12">
        <v>0</v>
      </c>
      <c r="O3976" s="12">
        <v>-3.56</v>
      </c>
      <c r="P3976" s="12">
        <v>-135.56</v>
      </c>
    </row>
    <row r="3977" spans="1:17" x14ac:dyDescent="0.3">
      <c r="A3977" s="12" t="s">
        <v>96</v>
      </c>
      <c r="B3977" s="12" t="s">
        <v>201</v>
      </c>
      <c r="C3977" s="12" t="s">
        <v>123</v>
      </c>
      <c r="D3977" s="12" t="s">
        <v>209</v>
      </c>
      <c r="E3977" s="12" t="s">
        <v>110</v>
      </c>
      <c r="F3977" s="12" t="s">
        <v>114</v>
      </c>
      <c r="G3977" s="12" t="s">
        <v>29</v>
      </c>
      <c r="H3977" s="12" t="s">
        <v>249</v>
      </c>
      <c r="I3977" s="12">
        <v>12</v>
      </c>
      <c r="J3977" s="12">
        <v>284.39</v>
      </c>
      <c r="K3977" s="12">
        <v>283.3</v>
      </c>
      <c r="L3977" s="12">
        <v>-3412.68</v>
      </c>
      <c r="M3977" s="12">
        <v>-1.3</v>
      </c>
      <c r="N3977" s="12">
        <v>3413.98</v>
      </c>
      <c r="O3977" s="12">
        <v>0</v>
      </c>
      <c r="P3977" s="12">
        <v>-13.08</v>
      </c>
      <c r="Q3977" s="12" t="s">
        <v>215</v>
      </c>
    </row>
    <row r="3978" spans="1:17" x14ac:dyDescent="0.3">
      <c r="A3978" s="12" t="s">
        <v>96</v>
      </c>
      <c r="B3978" s="12" t="s">
        <v>201</v>
      </c>
      <c r="C3978" s="12" t="s">
        <v>123</v>
      </c>
      <c r="D3978" s="12" t="s">
        <v>209</v>
      </c>
      <c r="E3978" s="12" t="s">
        <v>110</v>
      </c>
      <c r="F3978" s="12" t="s">
        <v>114</v>
      </c>
      <c r="G3978" s="12" t="s">
        <v>29</v>
      </c>
      <c r="H3978" s="12" t="s">
        <v>579</v>
      </c>
      <c r="I3978" s="12">
        <v>6</v>
      </c>
      <c r="J3978" s="12">
        <v>265.07</v>
      </c>
      <c r="K3978" s="12">
        <v>267.82</v>
      </c>
      <c r="L3978" s="12">
        <v>-1590.42</v>
      </c>
      <c r="M3978" s="12">
        <v>-1.3</v>
      </c>
      <c r="N3978" s="12">
        <v>1591.72</v>
      </c>
      <c r="O3978" s="12">
        <v>0</v>
      </c>
      <c r="P3978" s="12">
        <v>16.5</v>
      </c>
      <c r="Q3978" s="12" t="s">
        <v>211</v>
      </c>
    </row>
    <row r="3979" spans="1:17" x14ac:dyDescent="0.3">
      <c r="A3979" s="12" t="s">
        <v>96</v>
      </c>
      <c r="B3979" s="12" t="s">
        <v>201</v>
      </c>
      <c r="C3979" s="12" t="s">
        <v>123</v>
      </c>
      <c r="D3979" s="12" t="s">
        <v>209</v>
      </c>
      <c r="E3979" s="12" t="s">
        <v>110</v>
      </c>
      <c r="F3979" s="12" t="s">
        <v>114</v>
      </c>
      <c r="G3979" s="12" t="s">
        <v>29</v>
      </c>
      <c r="H3979" s="12" t="s">
        <v>650</v>
      </c>
      <c r="I3979" s="12">
        <v>-18</v>
      </c>
      <c r="J3979" s="12">
        <v>300</v>
      </c>
      <c r="K3979" s="12">
        <v>291.13</v>
      </c>
      <c r="L3979" s="12">
        <v>5400</v>
      </c>
      <c r="M3979" s="12">
        <v>-1.3</v>
      </c>
      <c r="N3979" s="12">
        <v>-5005.7</v>
      </c>
      <c r="O3979" s="12">
        <v>393</v>
      </c>
      <c r="P3979" s="12">
        <v>159.66</v>
      </c>
      <c r="Q3979" s="12" t="s">
        <v>3</v>
      </c>
    </row>
    <row r="3980" spans="1:17" x14ac:dyDescent="0.3">
      <c r="A3980" s="12" t="s">
        <v>96</v>
      </c>
      <c r="B3980" s="12" t="s">
        <v>201</v>
      </c>
      <c r="C3980" s="12" t="s">
        <v>123</v>
      </c>
      <c r="D3980" s="12" t="s">
        <v>209</v>
      </c>
      <c r="E3980" s="12" t="s">
        <v>110</v>
      </c>
      <c r="F3980" s="12" t="s">
        <v>114</v>
      </c>
      <c r="G3980" s="12" t="s">
        <v>29</v>
      </c>
      <c r="H3980" s="12" t="s">
        <v>651</v>
      </c>
      <c r="I3980" s="12">
        <v>15</v>
      </c>
      <c r="J3980" s="12">
        <v>283.22000000000003</v>
      </c>
      <c r="K3980" s="12">
        <v>280.58</v>
      </c>
      <c r="L3980" s="12">
        <v>-4248.3</v>
      </c>
      <c r="M3980" s="12">
        <v>-1.3</v>
      </c>
      <c r="N3980" s="12">
        <v>4249.6000000000004</v>
      </c>
      <c r="O3980" s="12">
        <v>0</v>
      </c>
      <c r="P3980" s="12">
        <v>-39.6</v>
      </c>
      <c r="Q3980" s="12" t="s">
        <v>215</v>
      </c>
    </row>
    <row r="3981" spans="1:17" x14ac:dyDescent="0.3">
      <c r="A3981" s="12" t="s">
        <v>96</v>
      </c>
      <c r="B3981" s="12" t="s">
        <v>201</v>
      </c>
      <c r="C3981" s="12" t="s">
        <v>123</v>
      </c>
      <c r="D3981" s="12" t="s">
        <v>209</v>
      </c>
      <c r="E3981" s="12" t="s">
        <v>110</v>
      </c>
      <c r="F3981" s="12" t="s">
        <v>114</v>
      </c>
      <c r="G3981" s="12" t="s">
        <v>29</v>
      </c>
      <c r="H3981" s="12" t="s">
        <v>802</v>
      </c>
      <c r="I3981" s="12">
        <v>15</v>
      </c>
      <c r="J3981" s="12">
        <v>297.58</v>
      </c>
      <c r="K3981" s="12">
        <v>297.47000000000003</v>
      </c>
      <c r="L3981" s="12">
        <v>-4463.7</v>
      </c>
      <c r="M3981" s="12">
        <v>0</v>
      </c>
      <c r="N3981" s="12">
        <v>4463.7</v>
      </c>
      <c r="O3981" s="12">
        <v>0</v>
      </c>
      <c r="P3981" s="12">
        <v>-1.65</v>
      </c>
      <c r="Q3981" s="12" t="s">
        <v>215</v>
      </c>
    </row>
    <row r="3982" spans="1:17" x14ac:dyDescent="0.3">
      <c r="A3982" s="12" t="s">
        <v>96</v>
      </c>
      <c r="B3982" s="12" t="s">
        <v>201</v>
      </c>
      <c r="C3982" s="12" t="s">
        <v>123</v>
      </c>
      <c r="D3982" s="12" t="s">
        <v>209</v>
      </c>
      <c r="E3982" s="12" t="s">
        <v>110</v>
      </c>
      <c r="F3982" s="12" t="s">
        <v>114</v>
      </c>
      <c r="G3982" s="12" t="s">
        <v>29</v>
      </c>
      <c r="H3982" s="12" t="s">
        <v>882</v>
      </c>
      <c r="I3982" s="12">
        <v>-15</v>
      </c>
      <c r="J3982" s="12">
        <v>319</v>
      </c>
      <c r="K3982" s="12">
        <v>319.79000000000002</v>
      </c>
      <c r="L3982" s="12">
        <v>4785</v>
      </c>
      <c r="M3982" s="12">
        <v>0</v>
      </c>
      <c r="N3982" s="12">
        <v>-4249.6000000000004</v>
      </c>
      <c r="O3982" s="12">
        <v>535.4</v>
      </c>
      <c r="P3982" s="12">
        <v>-11.85</v>
      </c>
      <c r="Q3982" s="12" t="s">
        <v>3</v>
      </c>
    </row>
    <row r="3983" spans="1:17" x14ac:dyDescent="0.3">
      <c r="A3983" s="12" t="s">
        <v>96</v>
      </c>
      <c r="B3983" s="12" t="s">
        <v>201</v>
      </c>
      <c r="C3983" s="12" t="s">
        <v>213</v>
      </c>
      <c r="E3983" s="12" t="s">
        <v>110</v>
      </c>
      <c r="F3983" s="12" t="s">
        <v>114</v>
      </c>
      <c r="G3983" s="12" t="s">
        <v>29</v>
      </c>
      <c r="I3983" s="12">
        <v>15</v>
      </c>
      <c r="L3983" s="12">
        <v>-3530.1</v>
      </c>
      <c r="M3983" s="12">
        <v>-5.2</v>
      </c>
      <c r="N3983" s="12">
        <v>4463.7</v>
      </c>
      <c r="O3983" s="12">
        <v>928.4</v>
      </c>
      <c r="P3983" s="12">
        <v>109.98</v>
      </c>
    </row>
    <row r="3984" spans="1:17" x14ac:dyDescent="0.3">
      <c r="A3984" s="12" t="s">
        <v>96</v>
      </c>
      <c r="B3984" s="12" t="s">
        <v>201</v>
      </c>
      <c r="C3984" s="12" t="s">
        <v>123</v>
      </c>
      <c r="D3984" s="12" t="s">
        <v>209</v>
      </c>
      <c r="E3984" s="12" t="s">
        <v>110</v>
      </c>
      <c r="F3984" s="12" t="s">
        <v>114</v>
      </c>
      <c r="G3984" s="12" t="s">
        <v>73</v>
      </c>
      <c r="H3984" s="12" t="s">
        <v>883</v>
      </c>
      <c r="I3984" s="12">
        <v>20</v>
      </c>
      <c r="J3984" s="12">
        <v>137.78</v>
      </c>
      <c r="K3984" s="12">
        <v>137.38999999999999</v>
      </c>
      <c r="L3984" s="12">
        <v>-2755.6</v>
      </c>
      <c r="M3984" s="12">
        <v>0</v>
      </c>
      <c r="N3984" s="12">
        <v>2755.6</v>
      </c>
      <c r="O3984" s="12">
        <v>0</v>
      </c>
      <c r="P3984" s="12">
        <v>-7.8</v>
      </c>
      <c r="Q3984" s="12" t="s">
        <v>215</v>
      </c>
    </row>
    <row r="3985" spans="1:17" x14ac:dyDescent="0.3">
      <c r="A3985" s="12" t="s">
        <v>96</v>
      </c>
      <c r="B3985" s="12" t="s">
        <v>201</v>
      </c>
      <c r="C3985" s="12" t="s">
        <v>123</v>
      </c>
      <c r="D3985" s="12" t="s">
        <v>209</v>
      </c>
      <c r="E3985" s="12" t="s">
        <v>110</v>
      </c>
      <c r="F3985" s="12" t="s">
        <v>114</v>
      </c>
      <c r="G3985" s="12" t="s">
        <v>73</v>
      </c>
      <c r="H3985" s="12" t="s">
        <v>1013</v>
      </c>
      <c r="I3985" s="12">
        <v>-20</v>
      </c>
      <c r="J3985" s="12">
        <v>136.24</v>
      </c>
      <c r="K3985" s="12">
        <v>135.94999999999999</v>
      </c>
      <c r="L3985" s="12">
        <v>2724.8</v>
      </c>
      <c r="M3985" s="12">
        <v>0</v>
      </c>
      <c r="N3985" s="12">
        <v>-2755.6</v>
      </c>
      <c r="O3985" s="12">
        <v>-30.8</v>
      </c>
      <c r="P3985" s="12">
        <v>5.8</v>
      </c>
      <c r="Q3985" s="12" t="s">
        <v>3</v>
      </c>
    </row>
    <row r="3986" spans="1:17" x14ac:dyDescent="0.3">
      <c r="A3986" s="12" t="s">
        <v>96</v>
      </c>
      <c r="B3986" s="12" t="s">
        <v>201</v>
      </c>
      <c r="C3986" s="12" t="s">
        <v>213</v>
      </c>
      <c r="E3986" s="12" t="s">
        <v>110</v>
      </c>
      <c r="F3986" s="12" t="s">
        <v>114</v>
      </c>
      <c r="G3986" s="12" t="s">
        <v>73</v>
      </c>
      <c r="I3986" s="12">
        <v>0</v>
      </c>
      <c r="L3986" s="12">
        <v>-30.8</v>
      </c>
      <c r="M3986" s="12">
        <v>0</v>
      </c>
      <c r="N3986" s="12">
        <v>0</v>
      </c>
      <c r="O3986" s="12">
        <v>-30.8</v>
      </c>
      <c r="P3986" s="12">
        <v>-2</v>
      </c>
    </row>
    <row r="3987" spans="1:17" x14ac:dyDescent="0.3">
      <c r="A3987" s="12" t="s">
        <v>96</v>
      </c>
      <c r="B3987" s="12" t="s">
        <v>201</v>
      </c>
      <c r="C3987" s="12" t="s">
        <v>123</v>
      </c>
      <c r="D3987" s="12" t="s">
        <v>209</v>
      </c>
      <c r="E3987" s="12" t="s">
        <v>110</v>
      </c>
      <c r="F3987" s="12" t="s">
        <v>114</v>
      </c>
      <c r="G3987" s="12" t="s">
        <v>74</v>
      </c>
      <c r="H3987" s="12" t="s">
        <v>884</v>
      </c>
      <c r="I3987" s="12">
        <v>20</v>
      </c>
      <c r="J3987" s="12">
        <v>271.81</v>
      </c>
      <c r="K3987" s="12">
        <v>275.93</v>
      </c>
      <c r="L3987" s="12">
        <v>-5436.2</v>
      </c>
      <c r="M3987" s="12">
        <v>0</v>
      </c>
      <c r="N3987" s="12">
        <v>5436.2</v>
      </c>
      <c r="O3987" s="12">
        <v>0</v>
      </c>
      <c r="P3987" s="12">
        <v>82.4</v>
      </c>
      <c r="Q3987" s="12" t="s">
        <v>215</v>
      </c>
    </row>
    <row r="3988" spans="1:17" x14ac:dyDescent="0.3">
      <c r="A3988" s="12" t="s">
        <v>96</v>
      </c>
      <c r="B3988" s="12" t="s">
        <v>201</v>
      </c>
      <c r="C3988" s="12" t="s">
        <v>123</v>
      </c>
      <c r="D3988" s="12" t="s">
        <v>209</v>
      </c>
      <c r="E3988" s="12" t="s">
        <v>110</v>
      </c>
      <c r="F3988" s="12" t="s">
        <v>114</v>
      </c>
      <c r="G3988" s="12" t="s">
        <v>74</v>
      </c>
      <c r="H3988" s="12" t="s">
        <v>885</v>
      </c>
      <c r="I3988" s="12">
        <v>-10</v>
      </c>
      <c r="J3988" s="12">
        <v>281</v>
      </c>
      <c r="K3988" s="12">
        <v>281.2</v>
      </c>
      <c r="L3988" s="12">
        <v>2810</v>
      </c>
      <c r="M3988" s="12">
        <v>0</v>
      </c>
      <c r="N3988" s="12">
        <v>-2718.1</v>
      </c>
      <c r="O3988" s="12">
        <v>91.9</v>
      </c>
      <c r="P3988" s="12">
        <v>-2</v>
      </c>
      <c r="Q3988" s="12" t="s">
        <v>3</v>
      </c>
    </row>
    <row r="3989" spans="1:17" x14ac:dyDescent="0.3">
      <c r="A3989" s="12" t="s">
        <v>96</v>
      </c>
      <c r="B3989" s="12" t="s">
        <v>201</v>
      </c>
      <c r="C3989" s="12" t="s">
        <v>123</v>
      </c>
      <c r="D3989" s="12" t="s">
        <v>209</v>
      </c>
      <c r="E3989" s="12" t="s">
        <v>110</v>
      </c>
      <c r="F3989" s="12" t="s">
        <v>114</v>
      </c>
      <c r="G3989" s="12" t="s">
        <v>74</v>
      </c>
      <c r="H3989" s="12" t="s">
        <v>1014</v>
      </c>
      <c r="I3989" s="12">
        <v>-10</v>
      </c>
      <c r="J3989" s="12">
        <v>254.75</v>
      </c>
      <c r="K3989" s="12">
        <v>254.66</v>
      </c>
      <c r="L3989" s="12">
        <v>2547.5</v>
      </c>
      <c r="M3989" s="12">
        <v>0</v>
      </c>
      <c r="N3989" s="12">
        <v>-2718.1</v>
      </c>
      <c r="O3989" s="12">
        <v>-170.6</v>
      </c>
      <c r="P3989" s="12">
        <v>0.9</v>
      </c>
      <c r="Q3989" s="12" t="s">
        <v>3</v>
      </c>
    </row>
    <row r="3990" spans="1:17" x14ac:dyDescent="0.3">
      <c r="A3990" s="12" t="s">
        <v>96</v>
      </c>
      <c r="B3990" s="12" t="s">
        <v>201</v>
      </c>
      <c r="C3990" s="12" t="s">
        <v>213</v>
      </c>
      <c r="E3990" s="12" t="s">
        <v>110</v>
      </c>
      <c r="F3990" s="12" t="s">
        <v>114</v>
      </c>
      <c r="G3990" s="12" t="s">
        <v>74</v>
      </c>
      <c r="I3990" s="12">
        <v>0</v>
      </c>
      <c r="L3990" s="12">
        <v>-78.7</v>
      </c>
      <c r="M3990" s="12">
        <v>0</v>
      </c>
      <c r="N3990" s="12">
        <v>0</v>
      </c>
      <c r="O3990" s="12">
        <v>-78.7</v>
      </c>
      <c r="P3990" s="12">
        <v>81.3</v>
      </c>
    </row>
    <row r="3991" spans="1:17" x14ac:dyDescent="0.3">
      <c r="A3991" s="12" t="s">
        <v>96</v>
      </c>
      <c r="B3991" s="12" t="s">
        <v>201</v>
      </c>
      <c r="C3991" s="12" t="s">
        <v>123</v>
      </c>
      <c r="D3991" s="12" t="s">
        <v>209</v>
      </c>
      <c r="E3991" s="12" t="s">
        <v>110</v>
      </c>
      <c r="F3991" s="12" t="s">
        <v>114</v>
      </c>
      <c r="G3991" s="12" t="s">
        <v>39</v>
      </c>
      <c r="H3991" s="12" t="s">
        <v>580</v>
      </c>
      <c r="I3991" s="12">
        <v>20</v>
      </c>
      <c r="J3991" s="12">
        <v>141.51</v>
      </c>
      <c r="K3991" s="12">
        <v>141.69</v>
      </c>
      <c r="L3991" s="12">
        <v>-2830.2</v>
      </c>
      <c r="M3991" s="12">
        <v>-1.3</v>
      </c>
      <c r="N3991" s="12">
        <v>2831.5</v>
      </c>
      <c r="O3991" s="12">
        <v>0</v>
      </c>
      <c r="P3991" s="12">
        <v>3.6</v>
      </c>
      <c r="Q3991" s="12" t="s">
        <v>215</v>
      </c>
    </row>
    <row r="3992" spans="1:17" x14ac:dyDescent="0.3">
      <c r="A3992" s="12" t="s">
        <v>96</v>
      </c>
      <c r="B3992" s="12" t="s">
        <v>201</v>
      </c>
      <c r="C3992" s="12" t="s">
        <v>123</v>
      </c>
      <c r="D3992" s="12" t="s">
        <v>209</v>
      </c>
      <c r="E3992" s="12" t="s">
        <v>110</v>
      </c>
      <c r="F3992" s="12" t="s">
        <v>114</v>
      </c>
      <c r="G3992" s="12" t="s">
        <v>39</v>
      </c>
      <c r="H3992" s="12" t="s">
        <v>652</v>
      </c>
      <c r="I3992" s="12">
        <v>15</v>
      </c>
      <c r="J3992" s="12">
        <v>167.18</v>
      </c>
      <c r="K3992" s="12">
        <v>166.56</v>
      </c>
      <c r="L3992" s="12">
        <v>-2507.6999999999998</v>
      </c>
      <c r="M3992" s="12">
        <v>-1.3</v>
      </c>
      <c r="N3992" s="12">
        <v>2509</v>
      </c>
      <c r="O3992" s="12">
        <v>0</v>
      </c>
      <c r="P3992" s="12">
        <v>-9.3000000000000007</v>
      </c>
      <c r="Q3992" s="12" t="s">
        <v>211</v>
      </c>
    </row>
    <row r="3993" spans="1:17" x14ac:dyDescent="0.3">
      <c r="A3993" s="12" t="s">
        <v>96</v>
      </c>
      <c r="B3993" s="12" t="s">
        <v>201</v>
      </c>
      <c r="C3993" s="12" t="s">
        <v>123</v>
      </c>
      <c r="D3993" s="12" t="s">
        <v>209</v>
      </c>
      <c r="E3993" s="12" t="s">
        <v>110</v>
      </c>
      <c r="F3993" s="12" t="s">
        <v>114</v>
      </c>
      <c r="G3993" s="12" t="s">
        <v>39</v>
      </c>
      <c r="H3993" s="12" t="s">
        <v>803</v>
      </c>
      <c r="I3993" s="12">
        <v>-15</v>
      </c>
      <c r="J3993" s="12">
        <v>166</v>
      </c>
      <c r="K3993" s="12">
        <v>164.11</v>
      </c>
      <c r="L3993" s="12">
        <v>2490</v>
      </c>
      <c r="M3993" s="12">
        <v>-1.3</v>
      </c>
      <c r="N3993" s="12">
        <v>-2123.625</v>
      </c>
      <c r="O3993" s="12">
        <v>365.07499999999999</v>
      </c>
      <c r="P3993" s="12">
        <v>28.35</v>
      </c>
      <c r="Q3993" s="12" t="s">
        <v>3</v>
      </c>
    </row>
    <row r="3994" spans="1:17" x14ac:dyDescent="0.3">
      <c r="A3994" s="12" t="s">
        <v>96</v>
      </c>
      <c r="B3994" s="12" t="s">
        <v>201</v>
      </c>
      <c r="C3994" s="12" t="s">
        <v>123</v>
      </c>
      <c r="D3994" s="12" t="s">
        <v>209</v>
      </c>
      <c r="E3994" s="12" t="s">
        <v>110</v>
      </c>
      <c r="F3994" s="12" t="s">
        <v>114</v>
      </c>
      <c r="G3994" s="12" t="s">
        <v>39</v>
      </c>
      <c r="H3994" s="12" t="s">
        <v>804</v>
      </c>
      <c r="I3994" s="12">
        <v>30</v>
      </c>
      <c r="J3994" s="12">
        <v>181.74</v>
      </c>
      <c r="K3994" s="12">
        <v>182.08</v>
      </c>
      <c r="L3994" s="12">
        <v>-5452.2</v>
      </c>
      <c r="M3994" s="12">
        <v>0</v>
      </c>
      <c r="N3994" s="12">
        <v>5452.2</v>
      </c>
      <c r="O3994" s="12">
        <v>0</v>
      </c>
      <c r="P3994" s="12">
        <v>10.199999999999999</v>
      </c>
      <c r="Q3994" s="12" t="s">
        <v>215</v>
      </c>
    </row>
    <row r="3995" spans="1:17" x14ac:dyDescent="0.3">
      <c r="A3995" s="12" t="s">
        <v>96</v>
      </c>
      <c r="B3995" s="12" t="s">
        <v>201</v>
      </c>
      <c r="C3995" s="12" t="s">
        <v>123</v>
      </c>
      <c r="D3995" s="12" t="s">
        <v>209</v>
      </c>
      <c r="E3995" s="12" t="s">
        <v>110</v>
      </c>
      <c r="F3995" s="12" t="s">
        <v>114</v>
      </c>
      <c r="G3995" s="12" t="s">
        <v>39</v>
      </c>
      <c r="H3995" s="12" t="s">
        <v>886</v>
      </c>
      <c r="I3995" s="12">
        <v>20</v>
      </c>
      <c r="J3995" s="12">
        <v>217.76499999999999</v>
      </c>
      <c r="K3995" s="12">
        <v>215.47</v>
      </c>
      <c r="L3995" s="12">
        <v>-4355.3</v>
      </c>
      <c r="M3995" s="12">
        <v>0</v>
      </c>
      <c r="N3995" s="12">
        <v>4355.3</v>
      </c>
      <c r="O3995" s="12">
        <v>0</v>
      </c>
      <c r="P3995" s="12">
        <v>-45.9</v>
      </c>
      <c r="Q3995" s="12" t="s">
        <v>215</v>
      </c>
    </row>
    <row r="3996" spans="1:17" x14ac:dyDescent="0.3">
      <c r="A3996" s="12" t="s">
        <v>96</v>
      </c>
      <c r="B3996" s="12" t="s">
        <v>201</v>
      </c>
      <c r="C3996" s="12" t="s">
        <v>123</v>
      </c>
      <c r="D3996" s="12" t="s">
        <v>209</v>
      </c>
      <c r="E3996" s="12" t="s">
        <v>110</v>
      </c>
      <c r="F3996" s="12" t="s">
        <v>114</v>
      </c>
      <c r="G3996" s="12" t="s">
        <v>39</v>
      </c>
      <c r="H3996" s="12" t="s">
        <v>1015</v>
      </c>
      <c r="I3996" s="12">
        <v>-35</v>
      </c>
      <c r="J3996" s="12">
        <v>175.88</v>
      </c>
      <c r="K3996" s="12">
        <v>180.95</v>
      </c>
      <c r="L3996" s="12">
        <v>6155.8</v>
      </c>
      <c r="M3996" s="12">
        <v>0</v>
      </c>
      <c r="N3996" s="12">
        <v>-5942.9750000000004</v>
      </c>
      <c r="O3996" s="12">
        <v>212.82499999999999</v>
      </c>
      <c r="P3996" s="12">
        <v>-177.45</v>
      </c>
      <c r="Q3996" s="12" t="s">
        <v>3</v>
      </c>
    </row>
    <row r="3997" spans="1:17" x14ac:dyDescent="0.3">
      <c r="A3997" s="12" t="s">
        <v>96</v>
      </c>
      <c r="B3997" s="12" t="s">
        <v>201</v>
      </c>
      <c r="C3997" s="12" t="s">
        <v>213</v>
      </c>
      <c r="E3997" s="12" t="s">
        <v>110</v>
      </c>
      <c r="F3997" s="12" t="s">
        <v>114</v>
      </c>
      <c r="G3997" s="12" t="s">
        <v>39</v>
      </c>
      <c r="I3997" s="12">
        <v>35</v>
      </c>
      <c r="L3997" s="12">
        <v>-6499.6</v>
      </c>
      <c r="M3997" s="12">
        <v>-3.9</v>
      </c>
      <c r="N3997" s="12">
        <v>7081.4</v>
      </c>
      <c r="O3997" s="12">
        <v>577.9</v>
      </c>
      <c r="P3997" s="12">
        <v>-190.5</v>
      </c>
    </row>
    <row r="3998" spans="1:17" x14ac:dyDescent="0.3">
      <c r="A3998" s="12" t="s">
        <v>96</v>
      </c>
      <c r="B3998" s="12" t="s">
        <v>201</v>
      </c>
      <c r="C3998" s="12" t="s">
        <v>123</v>
      </c>
      <c r="D3998" s="12" t="s">
        <v>209</v>
      </c>
      <c r="E3998" s="12" t="s">
        <v>110</v>
      </c>
      <c r="F3998" s="12" t="s">
        <v>114</v>
      </c>
      <c r="G3998" s="12" t="s">
        <v>82</v>
      </c>
      <c r="H3998" s="12" t="s">
        <v>1016</v>
      </c>
      <c r="I3998" s="12">
        <v>30</v>
      </c>
      <c r="J3998" s="12">
        <v>486.9</v>
      </c>
      <c r="K3998" s="12">
        <v>481.77</v>
      </c>
      <c r="L3998" s="12">
        <v>-14607</v>
      </c>
      <c r="M3998" s="12">
        <v>0</v>
      </c>
      <c r="N3998" s="12">
        <v>14607</v>
      </c>
      <c r="O3998" s="12">
        <v>0</v>
      </c>
      <c r="P3998" s="12">
        <v>-153.9</v>
      </c>
      <c r="Q3998" s="12" t="s">
        <v>215</v>
      </c>
    </row>
    <row r="3999" spans="1:17" x14ac:dyDescent="0.3">
      <c r="A3999" s="12" t="s">
        <v>96</v>
      </c>
      <c r="B3999" s="12" t="s">
        <v>201</v>
      </c>
      <c r="C3999" s="12" t="s">
        <v>123</v>
      </c>
      <c r="D3999" s="12" t="s">
        <v>209</v>
      </c>
      <c r="E3999" s="12" t="s">
        <v>110</v>
      </c>
      <c r="F3999" s="12" t="s">
        <v>114</v>
      </c>
      <c r="G3999" s="12" t="s">
        <v>82</v>
      </c>
      <c r="H3999" s="12" t="s">
        <v>1076</v>
      </c>
      <c r="I3999" s="12">
        <v>100</v>
      </c>
      <c r="J3999" s="12">
        <v>470.67</v>
      </c>
      <c r="K3999" s="12">
        <v>476.27</v>
      </c>
      <c r="L3999" s="12">
        <v>-47067</v>
      </c>
      <c r="M3999" s="12">
        <v>0</v>
      </c>
      <c r="N3999" s="12">
        <v>47067</v>
      </c>
      <c r="O3999" s="12">
        <v>0</v>
      </c>
      <c r="P3999" s="12">
        <v>560</v>
      </c>
      <c r="Q3999" s="12" t="s">
        <v>215</v>
      </c>
    </row>
    <row r="4000" spans="1:17" x14ac:dyDescent="0.3">
      <c r="A4000" s="12" t="s">
        <v>96</v>
      </c>
      <c r="B4000" s="12" t="s">
        <v>201</v>
      </c>
      <c r="C4000" s="12" t="s">
        <v>213</v>
      </c>
      <c r="E4000" s="12" t="s">
        <v>110</v>
      </c>
      <c r="F4000" s="12" t="s">
        <v>114</v>
      </c>
      <c r="G4000" s="12" t="s">
        <v>82</v>
      </c>
      <c r="I4000" s="12">
        <v>130</v>
      </c>
      <c r="L4000" s="12">
        <v>-61674</v>
      </c>
      <c r="M4000" s="12">
        <v>0</v>
      </c>
      <c r="N4000" s="12">
        <v>61674</v>
      </c>
      <c r="O4000" s="12">
        <v>0</v>
      </c>
      <c r="P4000" s="12">
        <v>406.1</v>
      </c>
    </row>
    <row r="4001" spans="1:17" x14ac:dyDescent="0.3">
      <c r="A4001" s="12" t="s">
        <v>96</v>
      </c>
      <c r="B4001" s="12" t="s">
        <v>201</v>
      </c>
      <c r="C4001" s="12" t="s">
        <v>123</v>
      </c>
      <c r="D4001" s="12" t="s">
        <v>209</v>
      </c>
      <c r="E4001" s="12" t="s">
        <v>110</v>
      </c>
      <c r="F4001" s="12" t="s">
        <v>114</v>
      </c>
      <c r="G4001" s="12" t="s">
        <v>75</v>
      </c>
      <c r="H4001" s="12" t="s">
        <v>887</v>
      </c>
      <c r="I4001" s="12">
        <v>3</v>
      </c>
      <c r="J4001" s="12">
        <v>993.2</v>
      </c>
      <c r="K4001" s="12">
        <v>1000.79</v>
      </c>
      <c r="L4001" s="12">
        <v>-2979.6</v>
      </c>
      <c r="M4001" s="12">
        <v>0</v>
      </c>
      <c r="N4001" s="12">
        <v>2979.6</v>
      </c>
      <c r="O4001" s="12">
        <v>0</v>
      </c>
      <c r="P4001" s="12">
        <v>22.77</v>
      </c>
      <c r="Q4001" s="12" t="s">
        <v>215</v>
      </c>
    </row>
    <row r="4002" spans="1:17" x14ac:dyDescent="0.3">
      <c r="A4002" s="12" t="s">
        <v>96</v>
      </c>
      <c r="B4002" s="12" t="s">
        <v>201</v>
      </c>
      <c r="C4002" s="12" t="s">
        <v>123</v>
      </c>
      <c r="D4002" s="12" t="s">
        <v>209</v>
      </c>
      <c r="E4002" s="12" t="s">
        <v>110</v>
      </c>
      <c r="F4002" s="12" t="s">
        <v>114</v>
      </c>
      <c r="G4002" s="12" t="s">
        <v>75</v>
      </c>
      <c r="H4002" s="12" t="s">
        <v>888</v>
      </c>
      <c r="I4002" s="12">
        <v>2</v>
      </c>
      <c r="J4002" s="12">
        <v>993.2</v>
      </c>
      <c r="K4002" s="12">
        <v>1001.73</v>
      </c>
      <c r="L4002" s="12">
        <v>-1986.4</v>
      </c>
      <c r="M4002" s="12">
        <v>0</v>
      </c>
      <c r="N4002" s="12">
        <v>1986.4</v>
      </c>
      <c r="O4002" s="12">
        <v>0</v>
      </c>
      <c r="P4002" s="12">
        <v>17.059999999999999</v>
      </c>
      <c r="Q4002" s="12" t="s">
        <v>215</v>
      </c>
    </row>
    <row r="4003" spans="1:17" x14ac:dyDescent="0.3">
      <c r="A4003" s="12" t="s">
        <v>96</v>
      </c>
      <c r="B4003" s="12" t="s">
        <v>201</v>
      </c>
      <c r="C4003" s="12" t="s">
        <v>123</v>
      </c>
      <c r="D4003" s="12" t="s">
        <v>209</v>
      </c>
      <c r="E4003" s="12" t="s">
        <v>110</v>
      </c>
      <c r="F4003" s="12" t="s">
        <v>114</v>
      </c>
      <c r="G4003" s="12" t="s">
        <v>75</v>
      </c>
      <c r="H4003" s="12" t="s">
        <v>1017</v>
      </c>
      <c r="I4003" s="12">
        <v>-5</v>
      </c>
      <c r="J4003" s="12">
        <v>1080.1500000000001</v>
      </c>
      <c r="K4003" s="12">
        <v>1064.19</v>
      </c>
      <c r="L4003" s="12">
        <v>5400.75</v>
      </c>
      <c r="M4003" s="12">
        <v>0</v>
      </c>
      <c r="N4003" s="12">
        <v>-4966</v>
      </c>
      <c r="O4003" s="12">
        <v>434.75</v>
      </c>
      <c r="P4003" s="12">
        <v>79.8</v>
      </c>
      <c r="Q4003" s="12" t="s">
        <v>3</v>
      </c>
    </row>
    <row r="4004" spans="1:17" x14ac:dyDescent="0.3">
      <c r="A4004" s="12" t="s">
        <v>96</v>
      </c>
      <c r="B4004" s="12" t="s">
        <v>201</v>
      </c>
      <c r="C4004" s="12" t="s">
        <v>213</v>
      </c>
      <c r="E4004" s="12" t="s">
        <v>110</v>
      </c>
      <c r="F4004" s="12" t="s">
        <v>114</v>
      </c>
      <c r="G4004" s="12" t="s">
        <v>75</v>
      </c>
      <c r="I4004" s="12">
        <v>0</v>
      </c>
      <c r="L4004" s="12">
        <v>434.75</v>
      </c>
      <c r="M4004" s="12">
        <v>0</v>
      </c>
      <c r="N4004" s="12">
        <v>0</v>
      </c>
      <c r="O4004" s="12">
        <v>434.75</v>
      </c>
      <c r="P4004" s="12">
        <v>119.63</v>
      </c>
    </row>
    <row r="4005" spans="1:17" x14ac:dyDescent="0.3">
      <c r="A4005" s="12" t="s">
        <v>96</v>
      </c>
      <c r="B4005" s="12" t="s">
        <v>201</v>
      </c>
      <c r="C4005" s="12" t="s">
        <v>123</v>
      </c>
      <c r="D4005" s="12" t="s">
        <v>209</v>
      </c>
      <c r="E4005" s="12" t="s">
        <v>110</v>
      </c>
      <c r="F4005" s="12" t="s">
        <v>114</v>
      </c>
      <c r="G4005" s="12" t="s">
        <v>30</v>
      </c>
      <c r="H4005" s="12" t="s">
        <v>250</v>
      </c>
      <c r="I4005" s="12">
        <v>1</v>
      </c>
      <c r="J4005" s="12">
        <v>134.71</v>
      </c>
      <c r="K4005" s="12">
        <v>135.27000000000001</v>
      </c>
      <c r="L4005" s="12">
        <v>-134.71</v>
      </c>
      <c r="M4005" s="12">
        <v>-1.3</v>
      </c>
      <c r="N4005" s="12">
        <v>136.01</v>
      </c>
      <c r="O4005" s="12">
        <v>0</v>
      </c>
      <c r="P4005" s="12">
        <v>0.56000000000000005</v>
      </c>
      <c r="Q4005" s="12" t="s">
        <v>215</v>
      </c>
    </row>
    <row r="4006" spans="1:17" x14ac:dyDescent="0.3">
      <c r="A4006" s="12" t="s">
        <v>96</v>
      </c>
      <c r="B4006" s="12" t="s">
        <v>201</v>
      </c>
      <c r="C4006" s="12" t="s">
        <v>123</v>
      </c>
      <c r="D4006" s="12" t="s">
        <v>209</v>
      </c>
      <c r="E4006" s="12" t="s">
        <v>110</v>
      </c>
      <c r="F4006" s="12" t="s">
        <v>114</v>
      </c>
      <c r="G4006" s="12" t="s">
        <v>30</v>
      </c>
      <c r="H4006" s="12" t="s">
        <v>251</v>
      </c>
      <c r="I4006" s="12">
        <v>25</v>
      </c>
      <c r="J4006" s="12">
        <v>135.11000000000001</v>
      </c>
      <c r="K4006" s="12">
        <v>134.5</v>
      </c>
      <c r="L4006" s="12">
        <v>-3377.75</v>
      </c>
      <c r="M4006" s="12">
        <v>-1.3</v>
      </c>
      <c r="N4006" s="12">
        <v>3379.05</v>
      </c>
      <c r="O4006" s="12">
        <v>0</v>
      </c>
      <c r="P4006" s="12">
        <v>-15.25</v>
      </c>
      <c r="Q4006" s="12" t="s">
        <v>211</v>
      </c>
    </row>
    <row r="4007" spans="1:17" x14ac:dyDescent="0.3">
      <c r="A4007" s="12" t="s">
        <v>96</v>
      </c>
      <c r="B4007" s="12" t="s">
        <v>201</v>
      </c>
      <c r="C4007" s="12" t="s">
        <v>123</v>
      </c>
      <c r="D4007" s="12" t="s">
        <v>209</v>
      </c>
      <c r="E4007" s="12" t="s">
        <v>110</v>
      </c>
      <c r="F4007" s="12" t="s">
        <v>114</v>
      </c>
      <c r="G4007" s="12" t="s">
        <v>30</v>
      </c>
      <c r="H4007" s="12" t="s">
        <v>653</v>
      </c>
      <c r="I4007" s="12">
        <v>-13</v>
      </c>
      <c r="J4007" s="12">
        <v>149.38</v>
      </c>
      <c r="K4007" s="12">
        <v>149.96</v>
      </c>
      <c r="L4007" s="12">
        <v>1941.94</v>
      </c>
      <c r="M4007" s="12">
        <v>-1.3</v>
      </c>
      <c r="N4007" s="12">
        <v>-1758.63</v>
      </c>
      <c r="O4007" s="12">
        <v>182.01</v>
      </c>
      <c r="P4007" s="12">
        <v>-7.54</v>
      </c>
      <c r="Q4007" s="12" t="s">
        <v>3</v>
      </c>
    </row>
    <row r="4008" spans="1:17" x14ac:dyDescent="0.3">
      <c r="A4008" s="12" t="s">
        <v>96</v>
      </c>
      <c r="B4008" s="12" t="s">
        <v>201</v>
      </c>
      <c r="C4008" s="12" t="s">
        <v>123</v>
      </c>
      <c r="D4008" s="12" t="s">
        <v>209</v>
      </c>
      <c r="E4008" s="12" t="s">
        <v>110</v>
      </c>
      <c r="F4008" s="12" t="s">
        <v>114</v>
      </c>
      <c r="G4008" s="12" t="s">
        <v>30</v>
      </c>
      <c r="H4008" s="12" t="s">
        <v>654</v>
      </c>
      <c r="I4008" s="12">
        <v>13</v>
      </c>
      <c r="J4008" s="12">
        <v>143.56</v>
      </c>
      <c r="K4008" s="12">
        <v>148.12</v>
      </c>
      <c r="L4008" s="12">
        <v>-1866.28</v>
      </c>
      <c r="M4008" s="12">
        <v>-1.3</v>
      </c>
      <c r="N4008" s="12">
        <v>1867.58</v>
      </c>
      <c r="O4008" s="12">
        <v>0</v>
      </c>
      <c r="P4008" s="12">
        <v>59.28</v>
      </c>
      <c r="Q4008" s="12" t="s">
        <v>215</v>
      </c>
    </row>
    <row r="4009" spans="1:17" x14ac:dyDescent="0.3">
      <c r="A4009" s="12" t="s">
        <v>96</v>
      </c>
      <c r="B4009" s="12" t="s">
        <v>201</v>
      </c>
      <c r="C4009" s="12" t="s">
        <v>123</v>
      </c>
      <c r="D4009" s="12" t="s">
        <v>209</v>
      </c>
      <c r="E4009" s="12" t="s">
        <v>110</v>
      </c>
      <c r="F4009" s="12" t="s">
        <v>114</v>
      </c>
      <c r="G4009" s="12" t="s">
        <v>30</v>
      </c>
      <c r="H4009" s="12" t="s">
        <v>805</v>
      </c>
      <c r="I4009" s="12">
        <v>26</v>
      </c>
      <c r="J4009" s="12">
        <v>133.84</v>
      </c>
      <c r="K4009" s="12">
        <v>133</v>
      </c>
      <c r="L4009" s="12">
        <v>-3479.84</v>
      </c>
      <c r="M4009" s="12">
        <v>0</v>
      </c>
      <c r="N4009" s="12">
        <v>3479.84</v>
      </c>
      <c r="O4009" s="12">
        <v>0</v>
      </c>
      <c r="P4009" s="12">
        <v>-21.84</v>
      </c>
      <c r="Q4009" s="12" t="s">
        <v>215</v>
      </c>
    </row>
    <row r="4010" spans="1:17" x14ac:dyDescent="0.3">
      <c r="A4010" s="12" t="s">
        <v>96</v>
      </c>
      <c r="B4010" s="12" t="s">
        <v>201</v>
      </c>
      <c r="C4010" s="12" t="s">
        <v>123</v>
      </c>
      <c r="D4010" s="12" t="s">
        <v>209</v>
      </c>
      <c r="E4010" s="12" t="s">
        <v>110</v>
      </c>
      <c r="F4010" s="12" t="s">
        <v>114</v>
      </c>
      <c r="G4010" s="12" t="s">
        <v>30</v>
      </c>
      <c r="H4010" s="12" t="s">
        <v>806</v>
      </c>
      <c r="I4010" s="12">
        <v>-52</v>
      </c>
      <c r="J4010" s="12">
        <v>131.78</v>
      </c>
      <c r="K4010" s="12">
        <v>132.30000000000001</v>
      </c>
      <c r="L4010" s="12">
        <v>6852.56</v>
      </c>
      <c r="M4010" s="12">
        <v>0</v>
      </c>
      <c r="N4010" s="12">
        <v>-7103.85</v>
      </c>
      <c r="O4010" s="12">
        <v>-251.29</v>
      </c>
      <c r="P4010" s="12">
        <v>-27.04</v>
      </c>
      <c r="Q4010" s="12" t="s">
        <v>230</v>
      </c>
    </row>
    <row r="4011" spans="1:17" x14ac:dyDescent="0.3">
      <c r="A4011" s="12" t="s">
        <v>96</v>
      </c>
      <c r="B4011" s="12" t="s">
        <v>201</v>
      </c>
      <c r="C4011" s="12" t="s">
        <v>213</v>
      </c>
      <c r="E4011" s="12" t="s">
        <v>110</v>
      </c>
      <c r="F4011" s="12" t="s">
        <v>114</v>
      </c>
      <c r="G4011" s="12" t="s">
        <v>30</v>
      </c>
      <c r="I4011" s="12">
        <v>0</v>
      </c>
      <c r="L4011" s="12">
        <v>-64.08</v>
      </c>
      <c r="M4011" s="12">
        <v>-5.2</v>
      </c>
      <c r="N4011" s="12">
        <v>0</v>
      </c>
      <c r="O4011" s="12">
        <v>-69.28</v>
      </c>
      <c r="P4011" s="12">
        <v>-11.83</v>
      </c>
    </row>
    <row r="4012" spans="1:17" x14ac:dyDescent="0.3">
      <c r="A4012" s="12" t="s">
        <v>96</v>
      </c>
      <c r="B4012" s="12" t="s">
        <v>201</v>
      </c>
      <c r="C4012" s="12" t="s">
        <v>123</v>
      </c>
      <c r="D4012" s="12" t="s">
        <v>209</v>
      </c>
      <c r="E4012" s="12" t="s">
        <v>110</v>
      </c>
      <c r="F4012" s="12" t="s">
        <v>114</v>
      </c>
      <c r="G4012" s="12" t="s">
        <v>76</v>
      </c>
      <c r="H4012" s="12" t="s">
        <v>889</v>
      </c>
      <c r="I4012" s="12">
        <v>45</v>
      </c>
      <c r="J4012" s="12">
        <v>108.005</v>
      </c>
      <c r="K4012" s="12">
        <v>108.44</v>
      </c>
      <c r="L4012" s="12">
        <v>-4860.2250000000004</v>
      </c>
      <c r="M4012" s="12">
        <v>0</v>
      </c>
      <c r="N4012" s="12">
        <v>4860.2250000000004</v>
      </c>
      <c r="O4012" s="12">
        <v>0</v>
      </c>
      <c r="P4012" s="12">
        <v>19.574999999999999</v>
      </c>
      <c r="Q4012" s="12" t="s">
        <v>215</v>
      </c>
    </row>
    <row r="4013" spans="1:17" x14ac:dyDescent="0.3">
      <c r="A4013" s="12" t="s">
        <v>96</v>
      </c>
      <c r="B4013" s="12" t="s">
        <v>201</v>
      </c>
      <c r="C4013" s="12" t="s">
        <v>123</v>
      </c>
      <c r="D4013" s="12" t="s">
        <v>209</v>
      </c>
      <c r="E4013" s="12" t="s">
        <v>110</v>
      </c>
      <c r="F4013" s="12" t="s">
        <v>114</v>
      </c>
      <c r="G4013" s="12" t="s">
        <v>76</v>
      </c>
      <c r="H4013" s="12" t="s">
        <v>1018</v>
      </c>
      <c r="I4013" s="12">
        <v>-45</v>
      </c>
      <c r="J4013" s="12">
        <v>100.79</v>
      </c>
      <c r="K4013" s="12">
        <v>100.74</v>
      </c>
      <c r="L4013" s="12">
        <v>4535.55</v>
      </c>
      <c r="M4013" s="12">
        <v>0</v>
      </c>
      <c r="N4013" s="12">
        <v>-4860.2250000000004</v>
      </c>
      <c r="O4013" s="12">
        <v>-324.67500000000001</v>
      </c>
      <c r="P4013" s="12">
        <v>2.25</v>
      </c>
      <c r="Q4013" s="12" t="s">
        <v>230</v>
      </c>
    </row>
    <row r="4014" spans="1:17" x14ac:dyDescent="0.3">
      <c r="A4014" s="12" t="s">
        <v>96</v>
      </c>
      <c r="B4014" s="12" t="s">
        <v>201</v>
      </c>
      <c r="C4014" s="12" t="s">
        <v>213</v>
      </c>
      <c r="E4014" s="12" t="s">
        <v>110</v>
      </c>
      <c r="F4014" s="12" t="s">
        <v>114</v>
      </c>
      <c r="G4014" s="12" t="s">
        <v>76</v>
      </c>
      <c r="I4014" s="12">
        <v>0</v>
      </c>
      <c r="L4014" s="12">
        <v>-324.67500000000001</v>
      </c>
      <c r="M4014" s="12">
        <v>0</v>
      </c>
      <c r="N4014" s="12">
        <v>0</v>
      </c>
      <c r="O4014" s="12">
        <v>-324.67500000000001</v>
      </c>
      <c r="P4014" s="12">
        <v>21.824999999999999</v>
      </c>
    </row>
    <row r="4015" spans="1:17" x14ac:dyDescent="0.3">
      <c r="A4015" s="12" t="s">
        <v>96</v>
      </c>
      <c r="B4015" s="12" t="s">
        <v>201</v>
      </c>
      <c r="C4015" s="12" t="s">
        <v>123</v>
      </c>
      <c r="D4015" s="12" t="s">
        <v>209</v>
      </c>
      <c r="E4015" s="12" t="s">
        <v>110</v>
      </c>
      <c r="F4015" s="12" t="s">
        <v>114</v>
      </c>
      <c r="G4015" s="12" t="s">
        <v>51</v>
      </c>
      <c r="H4015" s="12" t="s">
        <v>655</v>
      </c>
      <c r="I4015" s="12">
        <v>4</v>
      </c>
      <c r="J4015" s="12">
        <v>1016.4</v>
      </c>
      <c r="K4015" s="12">
        <v>1000.68</v>
      </c>
      <c r="L4015" s="12">
        <v>-4065.6</v>
      </c>
      <c r="M4015" s="12">
        <v>-1.3</v>
      </c>
      <c r="N4015" s="12">
        <v>4066.9</v>
      </c>
      <c r="O4015" s="12">
        <v>0</v>
      </c>
      <c r="P4015" s="12">
        <v>-62.88</v>
      </c>
      <c r="Q4015" s="12" t="s">
        <v>215</v>
      </c>
    </row>
    <row r="4016" spans="1:17" x14ac:dyDescent="0.3">
      <c r="A4016" s="12" t="s">
        <v>96</v>
      </c>
      <c r="B4016" s="12" t="s">
        <v>201</v>
      </c>
      <c r="C4016" s="12" t="s">
        <v>123</v>
      </c>
      <c r="D4016" s="12" t="s">
        <v>209</v>
      </c>
      <c r="E4016" s="12" t="s">
        <v>110</v>
      </c>
      <c r="F4016" s="12" t="s">
        <v>114</v>
      </c>
      <c r="G4016" s="12" t="s">
        <v>51</v>
      </c>
      <c r="H4016" s="12" t="s">
        <v>656</v>
      </c>
      <c r="I4016" s="12">
        <v>-2</v>
      </c>
      <c r="J4016" s="12">
        <v>874.84</v>
      </c>
      <c r="K4016" s="12">
        <v>896.47</v>
      </c>
      <c r="L4016" s="12">
        <v>1749.68</v>
      </c>
      <c r="M4016" s="12">
        <v>-1.3</v>
      </c>
      <c r="N4016" s="12">
        <v>-2033.45</v>
      </c>
      <c r="O4016" s="12">
        <v>-285.07</v>
      </c>
      <c r="P4016" s="12">
        <v>-43.26</v>
      </c>
      <c r="Q4016" s="12" t="s">
        <v>3</v>
      </c>
    </row>
    <row r="4017" spans="1:17" x14ac:dyDescent="0.3">
      <c r="A4017" s="12" t="s">
        <v>96</v>
      </c>
      <c r="B4017" s="12" t="s">
        <v>201</v>
      </c>
      <c r="C4017" s="12" t="s">
        <v>123</v>
      </c>
      <c r="D4017" s="12" t="s">
        <v>209</v>
      </c>
      <c r="E4017" s="12" t="s">
        <v>110</v>
      </c>
      <c r="F4017" s="12" t="s">
        <v>114</v>
      </c>
      <c r="G4017" s="12" t="s">
        <v>51</v>
      </c>
      <c r="H4017" s="12" t="s">
        <v>737</v>
      </c>
      <c r="I4017" s="12">
        <v>2</v>
      </c>
      <c r="J4017" s="12">
        <v>956.11</v>
      </c>
      <c r="K4017" s="12">
        <v>948.02</v>
      </c>
      <c r="L4017" s="12">
        <v>-1912.22</v>
      </c>
      <c r="M4017" s="12">
        <v>-1.3</v>
      </c>
      <c r="N4017" s="12">
        <v>1913.52</v>
      </c>
      <c r="O4017" s="12">
        <v>0</v>
      </c>
      <c r="P4017" s="12">
        <v>-16.18</v>
      </c>
      <c r="Q4017" s="12" t="s">
        <v>215</v>
      </c>
    </row>
    <row r="4018" spans="1:17" x14ac:dyDescent="0.3">
      <c r="A4018" s="12" t="s">
        <v>96</v>
      </c>
      <c r="B4018" s="12" t="s">
        <v>201</v>
      </c>
      <c r="C4018" s="12" t="s">
        <v>123</v>
      </c>
      <c r="D4018" s="12" t="s">
        <v>209</v>
      </c>
      <c r="E4018" s="12" t="s">
        <v>110</v>
      </c>
      <c r="F4018" s="12" t="s">
        <v>114</v>
      </c>
      <c r="G4018" s="12" t="s">
        <v>51</v>
      </c>
      <c r="H4018" s="12" t="s">
        <v>738</v>
      </c>
      <c r="I4018" s="12">
        <v>-4</v>
      </c>
      <c r="J4018" s="12">
        <v>928.98</v>
      </c>
      <c r="K4018" s="12">
        <v>904.2</v>
      </c>
      <c r="L4018" s="12">
        <v>3715.92</v>
      </c>
      <c r="M4018" s="12">
        <v>-1.3</v>
      </c>
      <c r="N4018" s="12">
        <v>-3946.97</v>
      </c>
      <c r="O4018" s="12">
        <v>-232.35</v>
      </c>
      <c r="P4018" s="12">
        <v>99.12</v>
      </c>
      <c r="Q4018" s="12" t="s">
        <v>3</v>
      </c>
    </row>
    <row r="4019" spans="1:17" x14ac:dyDescent="0.3">
      <c r="A4019" s="12" t="s">
        <v>96</v>
      </c>
      <c r="B4019" s="12" t="s">
        <v>201</v>
      </c>
      <c r="C4019" s="12" t="s">
        <v>123</v>
      </c>
      <c r="D4019" s="12" t="s">
        <v>209</v>
      </c>
      <c r="E4019" s="12" t="s">
        <v>110</v>
      </c>
      <c r="F4019" s="12" t="s">
        <v>114</v>
      </c>
      <c r="G4019" s="12" t="s">
        <v>51</v>
      </c>
      <c r="H4019" s="12" t="s">
        <v>807</v>
      </c>
      <c r="I4019" s="12">
        <v>10</v>
      </c>
      <c r="J4019" s="12">
        <v>890.06</v>
      </c>
      <c r="K4019" s="12">
        <v>873.27</v>
      </c>
      <c r="L4019" s="12">
        <v>-8900.6</v>
      </c>
      <c r="M4019" s="12">
        <v>0</v>
      </c>
      <c r="N4019" s="12">
        <v>8900.6</v>
      </c>
      <c r="O4019" s="12">
        <v>0</v>
      </c>
      <c r="P4019" s="12">
        <v>-167.9</v>
      </c>
      <c r="Q4019" s="12" t="s">
        <v>215</v>
      </c>
    </row>
    <row r="4020" spans="1:17" x14ac:dyDescent="0.3">
      <c r="A4020" s="12" t="s">
        <v>96</v>
      </c>
      <c r="B4020" s="12" t="s">
        <v>201</v>
      </c>
      <c r="C4020" s="12" t="s">
        <v>123</v>
      </c>
      <c r="D4020" s="12" t="s">
        <v>209</v>
      </c>
      <c r="E4020" s="12" t="s">
        <v>110</v>
      </c>
      <c r="F4020" s="12" t="s">
        <v>114</v>
      </c>
      <c r="G4020" s="12" t="s">
        <v>51</v>
      </c>
      <c r="H4020" s="12" t="s">
        <v>890</v>
      </c>
      <c r="I4020" s="12">
        <v>-5</v>
      </c>
      <c r="J4020" s="12">
        <v>758.84</v>
      </c>
      <c r="K4020" s="12">
        <v>777.92</v>
      </c>
      <c r="L4020" s="12">
        <v>3794.2</v>
      </c>
      <c r="M4020" s="12">
        <v>0</v>
      </c>
      <c r="N4020" s="12">
        <v>-4450.3</v>
      </c>
      <c r="O4020" s="12">
        <v>-656.1</v>
      </c>
      <c r="P4020" s="12">
        <v>-95.4</v>
      </c>
      <c r="Q4020" s="12" t="s">
        <v>3</v>
      </c>
    </row>
    <row r="4021" spans="1:17" x14ac:dyDescent="0.3">
      <c r="A4021" s="12" t="s">
        <v>96</v>
      </c>
      <c r="B4021" s="12" t="s">
        <v>201</v>
      </c>
      <c r="C4021" s="12" t="s">
        <v>123</v>
      </c>
      <c r="D4021" s="12" t="s">
        <v>209</v>
      </c>
      <c r="E4021" s="12" t="s">
        <v>110</v>
      </c>
      <c r="F4021" s="12" t="s">
        <v>114</v>
      </c>
      <c r="G4021" s="12" t="s">
        <v>51</v>
      </c>
      <c r="H4021" s="12" t="s">
        <v>891</v>
      </c>
      <c r="I4021" s="12">
        <v>5</v>
      </c>
      <c r="J4021" s="12">
        <v>790.12</v>
      </c>
      <c r="K4021" s="12">
        <v>774.74</v>
      </c>
      <c r="L4021" s="12">
        <v>-3950.6</v>
      </c>
      <c r="M4021" s="12">
        <v>0</v>
      </c>
      <c r="N4021" s="12">
        <v>3950.6</v>
      </c>
      <c r="O4021" s="12">
        <v>0</v>
      </c>
      <c r="P4021" s="12">
        <v>-76.900000000000006</v>
      </c>
      <c r="Q4021" s="12" t="s">
        <v>892</v>
      </c>
    </row>
    <row r="4022" spans="1:17" x14ac:dyDescent="0.3">
      <c r="A4022" s="12" t="s">
        <v>96</v>
      </c>
      <c r="B4022" s="12" t="s">
        <v>201</v>
      </c>
      <c r="C4022" s="12" t="s">
        <v>123</v>
      </c>
      <c r="D4022" s="12" t="s">
        <v>209</v>
      </c>
      <c r="E4022" s="12" t="s">
        <v>110</v>
      </c>
      <c r="F4022" s="12" t="s">
        <v>114</v>
      </c>
      <c r="G4022" s="12" t="s">
        <v>51</v>
      </c>
      <c r="H4022" s="12" t="s">
        <v>1019</v>
      </c>
      <c r="I4022" s="12">
        <v>5</v>
      </c>
      <c r="J4022" s="12">
        <v>834.32</v>
      </c>
      <c r="K4022" s="12">
        <v>846.58</v>
      </c>
      <c r="L4022" s="12">
        <v>-4171.6000000000004</v>
      </c>
      <c r="M4022" s="12">
        <v>0</v>
      </c>
      <c r="N4022" s="12">
        <v>4171.6000000000004</v>
      </c>
      <c r="O4022" s="12">
        <v>0</v>
      </c>
      <c r="P4022" s="12">
        <v>61.3</v>
      </c>
      <c r="Q4022" s="12" t="s">
        <v>215</v>
      </c>
    </row>
    <row r="4023" spans="1:17" x14ac:dyDescent="0.3">
      <c r="A4023" s="12" t="s">
        <v>96</v>
      </c>
      <c r="B4023" s="12" t="s">
        <v>201</v>
      </c>
      <c r="C4023" s="12" t="s">
        <v>123</v>
      </c>
      <c r="D4023" s="12" t="s">
        <v>209</v>
      </c>
      <c r="E4023" s="12" t="s">
        <v>110</v>
      </c>
      <c r="F4023" s="12" t="s">
        <v>114</v>
      </c>
      <c r="G4023" s="12" t="s">
        <v>51</v>
      </c>
      <c r="H4023" s="12" t="s">
        <v>1020</v>
      </c>
      <c r="I4023" s="12">
        <v>5</v>
      </c>
      <c r="J4023" s="12">
        <v>873</v>
      </c>
      <c r="K4023" s="12">
        <v>876.96</v>
      </c>
      <c r="L4023" s="12">
        <v>-4365</v>
      </c>
      <c r="M4023" s="12">
        <v>0</v>
      </c>
      <c r="N4023" s="12">
        <v>4365</v>
      </c>
      <c r="O4023" s="12">
        <v>0</v>
      </c>
      <c r="P4023" s="12">
        <v>19.8</v>
      </c>
      <c r="Q4023" s="12" t="s">
        <v>215</v>
      </c>
    </row>
    <row r="4024" spans="1:17" x14ac:dyDescent="0.3">
      <c r="A4024" s="12" t="s">
        <v>96</v>
      </c>
      <c r="B4024" s="12" t="s">
        <v>201</v>
      </c>
      <c r="C4024" s="12" t="s">
        <v>123</v>
      </c>
      <c r="D4024" s="12" t="s">
        <v>209</v>
      </c>
      <c r="E4024" s="12" t="s">
        <v>110</v>
      </c>
      <c r="F4024" s="12" t="s">
        <v>114</v>
      </c>
      <c r="G4024" s="12" t="s">
        <v>51</v>
      </c>
      <c r="H4024" s="12" t="s">
        <v>1021</v>
      </c>
      <c r="I4024" s="12">
        <v>-10</v>
      </c>
      <c r="J4024" s="12">
        <v>821.62</v>
      </c>
      <c r="K4024" s="12">
        <v>816.31</v>
      </c>
      <c r="L4024" s="12">
        <v>8216.2000000000007</v>
      </c>
      <c r="M4024" s="12">
        <v>0</v>
      </c>
      <c r="N4024" s="12">
        <v>-8400.9</v>
      </c>
      <c r="O4024" s="12">
        <v>-184.7</v>
      </c>
      <c r="P4024" s="12">
        <v>53.1</v>
      </c>
      <c r="Q4024" s="12" t="s">
        <v>3</v>
      </c>
    </row>
    <row r="4025" spans="1:17" x14ac:dyDescent="0.3">
      <c r="A4025" s="12" t="s">
        <v>96</v>
      </c>
      <c r="B4025" s="12" t="s">
        <v>201</v>
      </c>
      <c r="C4025" s="12" t="s">
        <v>123</v>
      </c>
      <c r="D4025" s="12" t="s">
        <v>209</v>
      </c>
      <c r="E4025" s="12" t="s">
        <v>110</v>
      </c>
      <c r="F4025" s="12" t="s">
        <v>114</v>
      </c>
      <c r="G4025" s="12" t="s">
        <v>51</v>
      </c>
      <c r="H4025" s="12" t="s">
        <v>1022</v>
      </c>
      <c r="I4025" s="12">
        <v>-5</v>
      </c>
      <c r="J4025" s="12">
        <v>697</v>
      </c>
      <c r="K4025" s="12">
        <v>697.73</v>
      </c>
      <c r="L4025" s="12">
        <v>3485</v>
      </c>
      <c r="M4025" s="12">
        <v>0</v>
      </c>
      <c r="N4025" s="12">
        <v>-4171.6000000000004</v>
      </c>
      <c r="O4025" s="12">
        <v>-686.6</v>
      </c>
      <c r="P4025" s="12">
        <v>-3.65</v>
      </c>
      <c r="Q4025" s="12" t="s">
        <v>3</v>
      </c>
    </row>
    <row r="4026" spans="1:17" x14ac:dyDescent="0.3">
      <c r="A4026" s="12" t="s">
        <v>96</v>
      </c>
      <c r="B4026" s="12" t="s">
        <v>201</v>
      </c>
      <c r="C4026" s="12" t="s">
        <v>123</v>
      </c>
      <c r="D4026" s="12" t="s">
        <v>209</v>
      </c>
      <c r="E4026" s="12" t="s">
        <v>110</v>
      </c>
      <c r="F4026" s="12" t="s">
        <v>114</v>
      </c>
      <c r="G4026" s="12" t="s">
        <v>51</v>
      </c>
      <c r="H4026" s="12" t="s">
        <v>1077</v>
      </c>
      <c r="I4026" s="12">
        <v>100</v>
      </c>
      <c r="J4026" s="12">
        <v>503.62</v>
      </c>
      <c r="K4026" s="12">
        <v>509.94</v>
      </c>
      <c r="L4026" s="12">
        <v>-50362</v>
      </c>
      <c r="M4026" s="12">
        <v>0</v>
      </c>
      <c r="N4026" s="12">
        <v>50362</v>
      </c>
      <c r="O4026" s="12">
        <v>0</v>
      </c>
      <c r="P4026" s="12">
        <v>632</v>
      </c>
      <c r="Q4026" s="12" t="s">
        <v>215</v>
      </c>
    </row>
    <row r="4027" spans="1:17" x14ac:dyDescent="0.3">
      <c r="A4027" s="12" t="s">
        <v>96</v>
      </c>
      <c r="B4027" s="12" t="s">
        <v>201</v>
      </c>
      <c r="C4027" s="12" t="s">
        <v>123</v>
      </c>
      <c r="D4027" s="12" t="s">
        <v>209</v>
      </c>
      <c r="E4027" s="12" t="s">
        <v>110</v>
      </c>
      <c r="F4027" s="12" t="s">
        <v>114</v>
      </c>
      <c r="G4027" s="12" t="s">
        <v>51</v>
      </c>
      <c r="H4027" s="12" t="s">
        <v>1078</v>
      </c>
      <c r="I4027" s="12">
        <v>-95</v>
      </c>
      <c r="J4027" s="12">
        <v>500.46</v>
      </c>
      <c r="K4027" s="12">
        <v>509.94</v>
      </c>
      <c r="L4027" s="12">
        <v>47543.7</v>
      </c>
      <c r="M4027" s="12">
        <v>0</v>
      </c>
      <c r="N4027" s="12">
        <v>-49690.8</v>
      </c>
      <c r="O4027" s="12">
        <v>-2147.1</v>
      </c>
      <c r="P4027" s="12">
        <v>-900.6</v>
      </c>
      <c r="Q4027" s="12" t="s">
        <v>3</v>
      </c>
    </row>
    <row r="4028" spans="1:17" x14ac:dyDescent="0.3">
      <c r="A4028" s="12" t="s">
        <v>96</v>
      </c>
      <c r="B4028" s="12" t="s">
        <v>201</v>
      </c>
      <c r="C4028" s="12" t="s">
        <v>123</v>
      </c>
      <c r="D4028" s="12" t="s">
        <v>209</v>
      </c>
      <c r="E4028" s="12" t="s">
        <v>110</v>
      </c>
      <c r="F4028" s="12" t="s">
        <v>114</v>
      </c>
      <c r="G4028" s="12" t="s">
        <v>51</v>
      </c>
      <c r="H4028" s="12" t="s">
        <v>1079</v>
      </c>
      <c r="I4028" s="12">
        <v>-5</v>
      </c>
      <c r="J4028" s="12">
        <v>537.89</v>
      </c>
      <c r="K4028" s="12">
        <v>547.64</v>
      </c>
      <c r="L4028" s="12">
        <v>2689.45</v>
      </c>
      <c r="M4028" s="12">
        <v>0</v>
      </c>
      <c r="N4028" s="12">
        <v>-2518.1</v>
      </c>
      <c r="O4028" s="12">
        <v>171.35</v>
      </c>
      <c r="P4028" s="12">
        <v>-48.75</v>
      </c>
      <c r="Q4028" s="12" t="s">
        <v>3</v>
      </c>
    </row>
    <row r="4029" spans="1:17" x14ac:dyDescent="0.3">
      <c r="A4029" s="12" t="s">
        <v>96</v>
      </c>
      <c r="B4029" s="12" t="s">
        <v>201</v>
      </c>
      <c r="C4029" s="12" t="s">
        <v>123</v>
      </c>
      <c r="D4029" s="12" t="s">
        <v>209</v>
      </c>
      <c r="E4029" s="12" t="s">
        <v>110</v>
      </c>
      <c r="F4029" s="12" t="s">
        <v>114</v>
      </c>
      <c r="G4029" s="12" t="s">
        <v>51</v>
      </c>
      <c r="H4029" s="12" t="s">
        <v>1080</v>
      </c>
      <c r="I4029" s="12">
        <v>-5</v>
      </c>
      <c r="J4029" s="12">
        <v>466.06</v>
      </c>
      <c r="K4029" s="12">
        <v>443.49</v>
      </c>
      <c r="L4029" s="12">
        <v>2330.3000000000002</v>
      </c>
      <c r="M4029" s="12">
        <v>0</v>
      </c>
      <c r="N4029" s="12">
        <v>-2518.1</v>
      </c>
      <c r="O4029" s="12">
        <v>-187.8</v>
      </c>
      <c r="P4029" s="12">
        <v>112.85</v>
      </c>
      <c r="Q4029" s="12" t="s">
        <v>3</v>
      </c>
    </row>
    <row r="4030" spans="1:17" x14ac:dyDescent="0.3">
      <c r="A4030" s="12" t="s">
        <v>96</v>
      </c>
      <c r="B4030" s="12" t="s">
        <v>201</v>
      </c>
      <c r="C4030" s="12" t="s">
        <v>213</v>
      </c>
      <c r="E4030" s="12" t="s">
        <v>110</v>
      </c>
      <c r="F4030" s="12" t="s">
        <v>114</v>
      </c>
      <c r="G4030" s="12" t="s">
        <v>51</v>
      </c>
      <c r="I4030" s="12">
        <v>0</v>
      </c>
      <c r="L4030" s="12">
        <v>-4203.17</v>
      </c>
      <c r="M4030" s="12">
        <v>-5.2</v>
      </c>
      <c r="N4030" s="12">
        <v>0</v>
      </c>
      <c r="O4030" s="12">
        <v>-4208.37</v>
      </c>
      <c r="P4030" s="12">
        <v>-437.35</v>
      </c>
    </row>
    <row r="4031" spans="1:17" x14ac:dyDescent="0.3">
      <c r="A4031" s="12" t="s">
        <v>96</v>
      </c>
      <c r="B4031" s="12" t="s">
        <v>201</v>
      </c>
      <c r="C4031" s="12" t="s">
        <v>123</v>
      </c>
      <c r="D4031" s="12" t="s">
        <v>209</v>
      </c>
      <c r="E4031" s="12" t="s">
        <v>110</v>
      </c>
      <c r="F4031" s="12" t="s">
        <v>114</v>
      </c>
      <c r="G4031" s="12" t="s">
        <v>31</v>
      </c>
      <c r="H4031" s="12" t="s">
        <v>252</v>
      </c>
      <c r="I4031" s="12">
        <v>18</v>
      </c>
      <c r="J4031" s="12">
        <v>183.06</v>
      </c>
      <c r="K4031" s="12">
        <v>183.72</v>
      </c>
      <c r="L4031" s="12">
        <v>-3295.08</v>
      </c>
      <c r="M4031" s="12">
        <v>-1.3</v>
      </c>
      <c r="N4031" s="12">
        <v>3296.38</v>
      </c>
      <c r="O4031" s="12">
        <v>0</v>
      </c>
      <c r="P4031" s="12">
        <v>11.88</v>
      </c>
      <c r="Q4031" s="12" t="s">
        <v>211</v>
      </c>
    </row>
    <row r="4032" spans="1:17" x14ac:dyDescent="0.3">
      <c r="A4032" s="12" t="s">
        <v>96</v>
      </c>
      <c r="B4032" s="12" t="s">
        <v>201</v>
      </c>
      <c r="C4032" s="12" t="s">
        <v>123</v>
      </c>
      <c r="D4032" s="12" t="s">
        <v>209</v>
      </c>
      <c r="E4032" s="12" t="s">
        <v>110</v>
      </c>
      <c r="F4032" s="12" t="s">
        <v>114</v>
      </c>
      <c r="G4032" s="12" t="s">
        <v>31</v>
      </c>
      <c r="H4032" s="12" t="s">
        <v>581</v>
      </c>
      <c r="I4032" s="12">
        <v>-9</v>
      </c>
      <c r="J4032" s="12">
        <v>235.39</v>
      </c>
      <c r="K4032" s="12">
        <v>234.03</v>
      </c>
      <c r="L4032" s="12">
        <v>2118.5100000000002</v>
      </c>
      <c r="M4032" s="12">
        <v>-1.3</v>
      </c>
      <c r="N4032" s="12">
        <v>-1648.71</v>
      </c>
      <c r="O4032" s="12">
        <v>468.5</v>
      </c>
      <c r="P4032" s="12">
        <v>12.24</v>
      </c>
      <c r="Q4032" s="12" t="s">
        <v>3</v>
      </c>
    </row>
    <row r="4033" spans="1:17" x14ac:dyDescent="0.3">
      <c r="A4033" s="12" t="s">
        <v>96</v>
      </c>
      <c r="B4033" s="12" t="s">
        <v>201</v>
      </c>
      <c r="C4033" s="12" t="s">
        <v>123</v>
      </c>
      <c r="D4033" s="12" t="s">
        <v>209</v>
      </c>
      <c r="E4033" s="12" t="s">
        <v>110</v>
      </c>
      <c r="F4033" s="12" t="s">
        <v>114</v>
      </c>
      <c r="G4033" s="12" t="s">
        <v>31</v>
      </c>
      <c r="H4033" s="12" t="s">
        <v>582</v>
      </c>
      <c r="I4033" s="12">
        <v>9</v>
      </c>
      <c r="J4033" s="12">
        <v>182</v>
      </c>
      <c r="K4033" s="12">
        <v>230</v>
      </c>
      <c r="L4033" s="12">
        <v>-1638</v>
      </c>
      <c r="M4033" s="12">
        <v>-1.3</v>
      </c>
      <c r="N4033" s="12">
        <v>1639.3</v>
      </c>
      <c r="O4033" s="12">
        <v>0</v>
      </c>
      <c r="P4033" s="12">
        <v>432</v>
      </c>
      <c r="Q4033" s="12" t="s">
        <v>215</v>
      </c>
    </row>
    <row r="4034" spans="1:17" x14ac:dyDescent="0.3">
      <c r="A4034" s="12" t="s">
        <v>96</v>
      </c>
      <c r="B4034" s="12" t="s">
        <v>201</v>
      </c>
      <c r="C4034" s="12" t="s">
        <v>123</v>
      </c>
      <c r="D4034" s="12" t="s">
        <v>209</v>
      </c>
      <c r="E4034" s="12" t="s">
        <v>110</v>
      </c>
      <c r="F4034" s="12" t="s">
        <v>114</v>
      </c>
      <c r="G4034" s="12" t="s">
        <v>31</v>
      </c>
      <c r="H4034" s="12" t="s">
        <v>657</v>
      </c>
      <c r="I4034" s="12">
        <v>-18</v>
      </c>
      <c r="J4034" s="12">
        <v>176.8</v>
      </c>
      <c r="K4034" s="12">
        <v>177.93</v>
      </c>
      <c r="L4034" s="12">
        <v>3182.4</v>
      </c>
      <c r="M4034" s="12">
        <v>-1.3</v>
      </c>
      <c r="N4034" s="12">
        <v>-3286.97</v>
      </c>
      <c r="O4034" s="12">
        <v>-105.87</v>
      </c>
      <c r="P4034" s="12">
        <v>-20.34</v>
      </c>
      <c r="Q4034" s="12" t="s">
        <v>3</v>
      </c>
    </row>
    <row r="4035" spans="1:17" x14ac:dyDescent="0.3">
      <c r="A4035" s="12" t="s">
        <v>96</v>
      </c>
      <c r="B4035" s="12" t="s">
        <v>201</v>
      </c>
      <c r="C4035" s="12" t="s">
        <v>213</v>
      </c>
      <c r="E4035" s="12" t="s">
        <v>110</v>
      </c>
      <c r="F4035" s="12" t="s">
        <v>114</v>
      </c>
      <c r="G4035" s="12" t="s">
        <v>31</v>
      </c>
      <c r="I4035" s="12">
        <v>0</v>
      </c>
      <c r="L4035" s="12">
        <v>367.83</v>
      </c>
      <c r="M4035" s="12">
        <v>-5.2</v>
      </c>
      <c r="N4035" s="12">
        <v>0</v>
      </c>
      <c r="O4035" s="12">
        <v>362.63</v>
      </c>
      <c r="P4035" s="12">
        <v>435.78</v>
      </c>
    </row>
    <row r="4036" spans="1:17" x14ac:dyDescent="0.3">
      <c r="A4036" s="12" t="s">
        <v>96</v>
      </c>
      <c r="B4036" s="12" t="s">
        <v>201</v>
      </c>
      <c r="C4036" s="12" t="s">
        <v>123</v>
      </c>
      <c r="D4036" s="12" t="s">
        <v>209</v>
      </c>
      <c r="E4036" s="12" t="s">
        <v>110</v>
      </c>
      <c r="F4036" s="12" t="s">
        <v>114</v>
      </c>
      <c r="G4036" s="12" t="s">
        <v>83</v>
      </c>
      <c r="H4036" s="12" t="s">
        <v>1023</v>
      </c>
      <c r="I4036" s="12">
        <v>100</v>
      </c>
      <c r="J4036" s="12">
        <v>255.27</v>
      </c>
      <c r="K4036" s="12">
        <v>254.76</v>
      </c>
      <c r="L4036" s="12">
        <v>-25527</v>
      </c>
      <c r="M4036" s="12">
        <v>0</v>
      </c>
      <c r="N4036" s="12">
        <v>25527</v>
      </c>
      <c r="O4036" s="12">
        <v>0</v>
      </c>
      <c r="P4036" s="12">
        <v>-51</v>
      </c>
      <c r="Q4036" s="12" t="s">
        <v>211</v>
      </c>
    </row>
    <row r="4037" spans="1:17" x14ac:dyDescent="0.3">
      <c r="A4037" s="12" t="s">
        <v>96</v>
      </c>
      <c r="B4037" s="12" t="s">
        <v>201</v>
      </c>
      <c r="C4037" s="12" t="s">
        <v>123</v>
      </c>
      <c r="D4037" s="12" t="s">
        <v>209</v>
      </c>
      <c r="E4037" s="12" t="s">
        <v>110</v>
      </c>
      <c r="F4037" s="12" t="s">
        <v>114</v>
      </c>
      <c r="G4037" s="12" t="s">
        <v>83</v>
      </c>
      <c r="H4037" s="12" t="s">
        <v>1024</v>
      </c>
      <c r="I4037" s="12">
        <v>20</v>
      </c>
      <c r="J4037" s="12">
        <v>244.68</v>
      </c>
      <c r="K4037" s="12">
        <v>243.9</v>
      </c>
      <c r="L4037" s="12">
        <v>-4893.6000000000004</v>
      </c>
      <c r="M4037" s="12">
        <v>0</v>
      </c>
      <c r="N4037" s="12">
        <v>4893.6000000000004</v>
      </c>
      <c r="O4037" s="12">
        <v>0</v>
      </c>
      <c r="P4037" s="12">
        <v>-15.6</v>
      </c>
      <c r="Q4037" s="12" t="s">
        <v>211</v>
      </c>
    </row>
    <row r="4038" spans="1:17" x14ac:dyDescent="0.3">
      <c r="A4038" s="12" t="s">
        <v>96</v>
      </c>
      <c r="B4038" s="12" t="s">
        <v>201</v>
      </c>
      <c r="C4038" s="12" t="s">
        <v>213</v>
      </c>
      <c r="E4038" s="12" t="s">
        <v>110</v>
      </c>
      <c r="F4038" s="12" t="s">
        <v>114</v>
      </c>
      <c r="G4038" s="12" t="s">
        <v>83</v>
      </c>
      <c r="I4038" s="12">
        <v>120</v>
      </c>
      <c r="L4038" s="12">
        <v>-30420.6</v>
      </c>
      <c r="M4038" s="12">
        <v>0</v>
      </c>
      <c r="N4038" s="12">
        <v>30420.6</v>
      </c>
      <c r="O4038" s="12">
        <v>0</v>
      </c>
      <c r="P4038" s="12">
        <v>-66.599999999999994</v>
      </c>
    </row>
    <row r="4039" spans="1:17" x14ac:dyDescent="0.3">
      <c r="A4039" s="12" t="s">
        <v>96</v>
      </c>
      <c r="B4039" s="12" t="s">
        <v>201</v>
      </c>
      <c r="C4039" s="12" t="s">
        <v>123</v>
      </c>
      <c r="D4039" s="12" t="s">
        <v>209</v>
      </c>
      <c r="E4039" s="12" t="s">
        <v>110</v>
      </c>
      <c r="F4039" s="12" t="s">
        <v>114</v>
      </c>
      <c r="G4039" s="12" t="s">
        <v>86</v>
      </c>
      <c r="H4039" s="12" t="s">
        <v>1081</v>
      </c>
      <c r="I4039" s="12">
        <v>60</v>
      </c>
      <c r="J4039" s="12">
        <v>519.57000000000005</v>
      </c>
      <c r="K4039" s="12">
        <v>522.15</v>
      </c>
      <c r="L4039" s="12">
        <v>-31174.2</v>
      </c>
      <c r="M4039" s="12">
        <v>0</v>
      </c>
      <c r="N4039" s="12">
        <v>31174.2</v>
      </c>
      <c r="O4039" s="12">
        <v>0</v>
      </c>
      <c r="P4039" s="12">
        <v>154.80000000000001</v>
      </c>
      <c r="Q4039" s="12" t="s">
        <v>215</v>
      </c>
    </row>
    <row r="4040" spans="1:17" x14ac:dyDescent="0.3">
      <c r="A4040" s="12" t="s">
        <v>96</v>
      </c>
      <c r="B4040" s="12" t="s">
        <v>201</v>
      </c>
      <c r="C4040" s="12" t="s">
        <v>213</v>
      </c>
      <c r="E4040" s="12" t="s">
        <v>110</v>
      </c>
      <c r="F4040" s="12" t="s">
        <v>114</v>
      </c>
      <c r="G4040" s="12" t="s">
        <v>86</v>
      </c>
      <c r="I4040" s="12">
        <v>60</v>
      </c>
      <c r="L4040" s="12">
        <v>-31174.2</v>
      </c>
      <c r="M4040" s="12">
        <v>0</v>
      </c>
      <c r="N4040" s="12">
        <v>31174.2</v>
      </c>
      <c r="O4040" s="12">
        <v>0</v>
      </c>
      <c r="P4040" s="12">
        <v>154.80000000000001</v>
      </c>
    </row>
    <row r="4041" spans="1:17" x14ac:dyDescent="0.3">
      <c r="A4041" s="12" t="s">
        <v>96</v>
      </c>
      <c r="B4041" s="12" t="s">
        <v>201</v>
      </c>
      <c r="C4041" s="12" t="s">
        <v>123</v>
      </c>
      <c r="D4041" s="12" t="s">
        <v>209</v>
      </c>
      <c r="E4041" s="12" t="s">
        <v>110</v>
      </c>
      <c r="F4041" s="12" t="s">
        <v>114</v>
      </c>
      <c r="G4041" s="12" t="s">
        <v>77</v>
      </c>
      <c r="H4041" s="12" t="s">
        <v>893</v>
      </c>
      <c r="I4041" s="12">
        <v>20</v>
      </c>
      <c r="J4041" s="12">
        <v>174.82</v>
      </c>
      <c r="K4041" s="12">
        <v>175</v>
      </c>
      <c r="L4041" s="12">
        <v>-3496.4</v>
      </c>
      <c r="M4041" s="12">
        <v>0</v>
      </c>
      <c r="N4041" s="12">
        <v>3496.4</v>
      </c>
      <c r="O4041" s="12">
        <v>0</v>
      </c>
      <c r="P4041" s="12">
        <v>3.6</v>
      </c>
      <c r="Q4041" s="12" t="s">
        <v>215</v>
      </c>
    </row>
    <row r="4042" spans="1:17" x14ac:dyDescent="0.3">
      <c r="A4042" s="12" t="s">
        <v>96</v>
      </c>
      <c r="B4042" s="12" t="s">
        <v>201</v>
      </c>
      <c r="C4042" s="12" t="s">
        <v>123</v>
      </c>
      <c r="D4042" s="12" t="s">
        <v>209</v>
      </c>
      <c r="E4042" s="12" t="s">
        <v>110</v>
      </c>
      <c r="F4042" s="12" t="s">
        <v>114</v>
      </c>
      <c r="G4042" s="12" t="s">
        <v>77</v>
      </c>
      <c r="H4042" s="12" t="s">
        <v>894</v>
      </c>
      <c r="I4042" s="12">
        <v>-10</v>
      </c>
      <c r="J4042" s="12">
        <v>179.61</v>
      </c>
      <c r="K4042" s="12">
        <v>177.29</v>
      </c>
      <c r="L4042" s="12">
        <v>1796.1</v>
      </c>
      <c r="M4042" s="12">
        <v>0</v>
      </c>
      <c r="N4042" s="12">
        <v>-1748.2</v>
      </c>
      <c r="O4042" s="12">
        <v>47.9</v>
      </c>
      <c r="P4042" s="12">
        <v>23.2</v>
      </c>
      <c r="Q4042" s="12" t="s">
        <v>3</v>
      </c>
    </row>
    <row r="4043" spans="1:17" x14ac:dyDescent="0.3">
      <c r="A4043" s="12" t="s">
        <v>96</v>
      </c>
      <c r="B4043" s="12" t="s">
        <v>201</v>
      </c>
      <c r="C4043" s="12" t="s">
        <v>123</v>
      </c>
      <c r="D4043" s="12" t="s">
        <v>209</v>
      </c>
      <c r="E4043" s="12" t="s">
        <v>110</v>
      </c>
      <c r="F4043" s="12" t="s">
        <v>114</v>
      </c>
      <c r="G4043" s="12" t="s">
        <v>77</v>
      </c>
      <c r="H4043" s="12" t="s">
        <v>895</v>
      </c>
      <c r="I4043" s="12">
        <v>10</v>
      </c>
      <c r="J4043" s="12">
        <v>185.84</v>
      </c>
      <c r="K4043" s="12">
        <v>187.44</v>
      </c>
      <c r="L4043" s="12">
        <v>-1858.4</v>
      </c>
      <c r="M4043" s="12">
        <v>0</v>
      </c>
      <c r="N4043" s="12">
        <v>1858.4</v>
      </c>
      <c r="O4043" s="12">
        <v>0</v>
      </c>
      <c r="P4043" s="12">
        <v>16</v>
      </c>
      <c r="Q4043" s="12" t="s">
        <v>215</v>
      </c>
    </row>
    <row r="4044" spans="1:17" x14ac:dyDescent="0.3">
      <c r="A4044" s="12" t="s">
        <v>96</v>
      </c>
      <c r="B4044" s="12" t="s">
        <v>201</v>
      </c>
      <c r="C4044" s="12" t="s">
        <v>123</v>
      </c>
      <c r="D4044" s="12" t="s">
        <v>209</v>
      </c>
      <c r="E4044" s="12" t="s">
        <v>110</v>
      </c>
      <c r="F4044" s="12" t="s">
        <v>114</v>
      </c>
      <c r="G4044" s="12" t="s">
        <v>77</v>
      </c>
      <c r="H4044" s="12" t="s">
        <v>1025</v>
      </c>
      <c r="I4044" s="12">
        <v>20</v>
      </c>
      <c r="J4044" s="12">
        <v>233.3</v>
      </c>
      <c r="K4044" s="12">
        <v>246.38</v>
      </c>
      <c r="L4044" s="12">
        <v>-4666</v>
      </c>
      <c r="M4044" s="12">
        <v>0</v>
      </c>
      <c r="N4044" s="12">
        <v>4666</v>
      </c>
      <c r="O4044" s="12">
        <v>0</v>
      </c>
      <c r="P4044" s="12">
        <v>261.60000000000002</v>
      </c>
      <c r="Q4044" s="12" t="s">
        <v>215</v>
      </c>
    </row>
    <row r="4045" spans="1:17" x14ac:dyDescent="0.3">
      <c r="A4045" s="12" t="s">
        <v>96</v>
      </c>
      <c r="B4045" s="12" t="s">
        <v>201</v>
      </c>
      <c r="C4045" s="12" t="s">
        <v>213</v>
      </c>
      <c r="E4045" s="12" t="s">
        <v>110</v>
      </c>
      <c r="F4045" s="12" t="s">
        <v>114</v>
      </c>
      <c r="G4045" s="12" t="s">
        <v>77</v>
      </c>
      <c r="I4045" s="12">
        <v>40</v>
      </c>
      <c r="L4045" s="12">
        <v>-8224.7000000000007</v>
      </c>
      <c r="M4045" s="12">
        <v>0</v>
      </c>
      <c r="N4045" s="12">
        <v>8272.6</v>
      </c>
      <c r="O4045" s="12">
        <v>47.9</v>
      </c>
      <c r="P4045" s="12">
        <v>304.39999999999998</v>
      </c>
    </row>
    <row r="4046" spans="1:17" x14ac:dyDescent="0.3">
      <c r="A4046" s="12" t="s">
        <v>96</v>
      </c>
      <c r="B4046" s="12" t="s">
        <v>201</v>
      </c>
      <c r="C4046" s="12" t="s">
        <v>123</v>
      </c>
      <c r="D4046" s="12" t="s">
        <v>209</v>
      </c>
      <c r="E4046" s="12" t="s">
        <v>110</v>
      </c>
      <c r="F4046" s="12" t="s">
        <v>114</v>
      </c>
      <c r="G4046" s="12" t="s">
        <v>87</v>
      </c>
      <c r="H4046" s="12" t="s">
        <v>1082</v>
      </c>
      <c r="I4046" s="12">
        <v>15</v>
      </c>
      <c r="J4046" s="12">
        <v>314.43</v>
      </c>
      <c r="K4046" s="12">
        <v>322.91000000000003</v>
      </c>
      <c r="L4046" s="12">
        <v>-4716.45</v>
      </c>
      <c r="M4046" s="12">
        <v>0</v>
      </c>
      <c r="N4046" s="12">
        <v>4716.45</v>
      </c>
      <c r="O4046" s="12">
        <v>0</v>
      </c>
      <c r="P4046" s="12">
        <v>127.2</v>
      </c>
      <c r="Q4046" s="12" t="s">
        <v>215</v>
      </c>
    </row>
    <row r="4047" spans="1:17" x14ac:dyDescent="0.3">
      <c r="A4047" s="12" t="s">
        <v>96</v>
      </c>
      <c r="B4047" s="12" t="s">
        <v>201</v>
      </c>
      <c r="C4047" s="12" t="s">
        <v>213</v>
      </c>
      <c r="E4047" s="12" t="s">
        <v>110</v>
      </c>
      <c r="F4047" s="12" t="s">
        <v>114</v>
      </c>
      <c r="G4047" s="12" t="s">
        <v>87</v>
      </c>
      <c r="I4047" s="12">
        <v>15</v>
      </c>
      <c r="L4047" s="12">
        <v>-4716.45</v>
      </c>
      <c r="M4047" s="12">
        <v>0</v>
      </c>
      <c r="N4047" s="12">
        <v>4716.45</v>
      </c>
      <c r="O4047" s="12">
        <v>0</v>
      </c>
      <c r="P4047" s="12">
        <v>127.2</v>
      </c>
    </row>
    <row r="4048" spans="1:17" x14ac:dyDescent="0.3">
      <c r="A4048" s="12" t="s">
        <v>96</v>
      </c>
      <c r="B4048" s="12" t="s">
        <v>201</v>
      </c>
      <c r="C4048" s="12" t="s">
        <v>123</v>
      </c>
      <c r="D4048" s="12" t="s">
        <v>209</v>
      </c>
      <c r="E4048" s="12" t="s">
        <v>110</v>
      </c>
      <c r="F4048" s="12" t="s">
        <v>114</v>
      </c>
      <c r="G4048" s="12" t="s">
        <v>78</v>
      </c>
      <c r="H4048" s="12" t="s">
        <v>896</v>
      </c>
      <c r="I4048" s="12">
        <v>30</v>
      </c>
      <c r="J4048" s="12">
        <v>193.56</v>
      </c>
      <c r="K4048" s="12">
        <v>196.08</v>
      </c>
      <c r="L4048" s="12">
        <v>-5806.8</v>
      </c>
      <c r="M4048" s="12">
        <v>0</v>
      </c>
      <c r="N4048" s="12">
        <v>5806.8</v>
      </c>
      <c r="O4048" s="12">
        <v>0</v>
      </c>
      <c r="P4048" s="12">
        <v>75.599999999999994</v>
      </c>
      <c r="Q4048" s="12" t="s">
        <v>215</v>
      </c>
    </row>
    <row r="4049" spans="1:17" x14ac:dyDescent="0.3">
      <c r="A4049" s="12" t="s">
        <v>96</v>
      </c>
      <c r="B4049" s="12" t="s">
        <v>201</v>
      </c>
      <c r="C4049" s="12" t="s">
        <v>123</v>
      </c>
      <c r="D4049" s="12" t="s">
        <v>209</v>
      </c>
      <c r="E4049" s="12" t="s">
        <v>110</v>
      </c>
      <c r="F4049" s="12" t="s">
        <v>114</v>
      </c>
      <c r="G4049" s="12" t="s">
        <v>78</v>
      </c>
      <c r="H4049" s="12" t="s">
        <v>1026</v>
      </c>
      <c r="I4049" s="12">
        <v>-15</v>
      </c>
      <c r="J4049" s="12">
        <v>203</v>
      </c>
      <c r="K4049" s="12">
        <v>205.88</v>
      </c>
      <c r="L4049" s="12">
        <v>3045</v>
      </c>
      <c r="M4049" s="12">
        <v>0</v>
      </c>
      <c r="N4049" s="12">
        <v>-2903.4</v>
      </c>
      <c r="O4049" s="12">
        <v>141.6</v>
      </c>
      <c r="P4049" s="12">
        <v>-43.2</v>
      </c>
      <c r="Q4049" s="12" t="s">
        <v>230</v>
      </c>
    </row>
    <row r="4050" spans="1:17" x14ac:dyDescent="0.3">
      <c r="A4050" s="12" t="s">
        <v>96</v>
      </c>
      <c r="B4050" s="12" t="s">
        <v>201</v>
      </c>
      <c r="C4050" s="12" t="s">
        <v>123</v>
      </c>
      <c r="D4050" s="12" t="s">
        <v>209</v>
      </c>
      <c r="E4050" s="12" t="s">
        <v>110</v>
      </c>
      <c r="F4050" s="12" t="s">
        <v>114</v>
      </c>
      <c r="G4050" s="12" t="s">
        <v>78</v>
      </c>
      <c r="H4050" s="12" t="s">
        <v>1027</v>
      </c>
      <c r="I4050" s="12">
        <v>15</v>
      </c>
      <c r="J4050" s="12">
        <v>201.5</v>
      </c>
      <c r="K4050" s="12">
        <v>198.28</v>
      </c>
      <c r="L4050" s="12">
        <v>-3022.5</v>
      </c>
      <c r="M4050" s="12">
        <v>0</v>
      </c>
      <c r="N4050" s="12">
        <v>3022.5</v>
      </c>
      <c r="O4050" s="12">
        <v>0</v>
      </c>
      <c r="P4050" s="12">
        <v>-48.3</v>
      </c>
      <c r="Q4050" s="12" t="s">
        <v>215</v>
      </c>
    </row>
    <row r="4051" spans="1:17" x14ac:dyDescent="0.3">
      <c r="A4051" s="12" t="s">
        <v>96</v>
      </c>
      <c r="B4051" s="12" t="s">
        <v>201</v>
      </c>
      <c r="C4051" s="12" t="s">
        <v>213</v>
      </c>
      <c r="E4051" s="12" t="s">
        <v>110</v>
      </c>
      <c r="F4051" s="12" t="s">
        <v>114</v>
      </c>
      <c r="G4051" s="12" t="s">
        <v>78</v>
      </c>
      <c r="I4051" s="12">
        <v>30</v>
      </c>
      <c r="L4051" s="12">
        <v>-5784.3</v>
      </c>
      <c r="M4051" s="12">
        <v>0</v>
      </c>
      <c r="N4051" s="12">
        <v>5925.9</v>
      </c>
      <c r="O4051" s="12">
        <v>141.6</v>
      </c>
      <c r="P4051" s="12">
        <v>-15.9</v>
      </c>
    </row>
    <row r="4052" spans="1:17" x14ac:dyDescent="0.3">
      <c r="A4052" s="12" t="s">
        <v>96</v>
      </c>
      <c r="B4052" s="12" t="s">
        <v>201</v>
      </c>
      <c r="C4052" s="12" t="s">
        <v>123</v>
      </c>
      <c r="D4052" s="12" t="s">
        <v>209</v>
      </c>
      <c r="E4052" s="12" t="s">
        <v>110</v>
      </c>
      <c r="F4052" s="12" t="s">
        <v>114</v>
      </c>
      <c r="G4052" s="12" t="s">
        <v>32</v>
      </c>
      <c r="H4052" s="12" t="s">
        <v>253</v>
      </c>
      <c r="I4052" s="12">
        <v>106</v>
      </c>
      <c r="J4052" s="12">
        <v>58.04</v>
      </c>
      <c r="K4052" s="12">
        <v>57.8</v>
      </c>
      <c r="L4052" s="12">
        <v>-6152.24</v>
      </c>
      <c r="M4052" s="12">
        <v>-1.3</v>
      </c>
      <c r="N4052" s="12">
        <v>6153.54</v>
      </c>
      <c r="O4052" s="12">
        <v>0</v>
      </c>
      <c r="P4052" s="12">
        <v>-25.44</v>
      </c>
      <c r="Q4052" s="12" t="s">
        <v>215</v>
      </c>
    </row>
    <row r="4053" spans="1:17" x14ac:dyDescent="0.3">
      <c r="A4053" s="12" t="s">
        <v>96</v>
      </c>
      <c r="B4053" s="12" t="s">
        <v>201</v>
      </c>
      <c r="C4053" s="12" t="s">
        <v>123</v>
      </c>
      <c r="D4053" s="12" t="s">
        <v>209</v>
      </c>
      <c r="E4053" s="12" t="s">
        <v>110</v>
      </c>
      <c r="F4053" s="12" t="s">
        <v>114</v>
      </c>
      <c r="G4053" s="12" t="s">
        <v>32</v>
      </c>
      <c r="H4053" s="12" t="s">
        <v>583</v>
      </c>
      <c r="I4053" s="12">
        <v>-53</v>
      </c>
      <c r="J4053" s="12">
        <v>70.27</v>
      </c>
      <c r="K4053" s="12">
        <v>70.47</v>
      </c>
      <c r="L4053" s="12">
        <v>3724.31</v>
      </c>
      <c r="M4053" s="12">
        <v>-1.3</v>
      </c>
      <c r="N4053" s="12">
        <v>-3076.77</v>
      </c>
      <c r="O4053" s="12">
        <v>646.24</v>
      </c>
      <c r="P4053" s="12">
        <v>-10.6</v>
      </c>
      <c r="Q4053" s="12" t="s">
        <v>3</v>
      </c>
    </row>
    <row r="4054" spans="1:17" x14ac:dyDescent="0.3">
      <c r="A4054" s="12" t="s">
        <v>96</v>
      </c>
      <c r="B4054" s="12" t="s">
        <v>201</v>
      </c>
      <c r="C4054" s="12" t="s">
        <v>123</v>
      </c>
      <c r="D4054" s="12" t="s">
        <v>209</v>
      </c>
      <c r="E4054" s="12" t="s">
        <v>110</v>
      </c>
      <c r="F4054" s="12" t="s">
        <v>114</v>
      </c>
      <c r="G4054" s="12" t="s">
        <v>32</v>
      </c>
      <c r="H4054" s="12" t="s">
        <v>584</v>
      </c>
      <c r="I4054" s="12">
        <v>53</v>
      </c>
      <c r="J4054" s="12">
        <v>67.14</v>
      </c>
      <c r="K4054" s="12">
        <v>68.989999999999995</v>
      </c>
      <c r="L4054" s="12">
        <v>-3558.42</v>
      </c>
      <c r="M4054" s="12">
        <v>-1.3</v>
      </c>
      <c r="N4054" s="12">
        <v>3559.72</v>
      </c>
      <c r="O4054" s="12">
        <v>0</v>
      </c>
      <c r="P4054" s="12">
        <v>98.05</v>
      </c>
      <c r="Q4054" s="12" t="s">
        <v>211</v>
      </c>
    </row>
    <row r="4055" spans="1:17" x14ac:dyDescent="0.3">
      <c r="A4055" s="12" t="s">
        <v>96</v>
      </c>
      <c r="B4055" s="12" t="s">
        <v>201</v>
      </c>
      <c r="C4055" s="12" t="s">
        <v>123</v>
      </c>
      <c r="D4055" s="12" t="s">
        <v>209</v>
      </c>
      <c r="E4055" s="12" t="s">
        <v>110</v>
      </c>
      <c r="F4055" s="12" t="s">
        <v>114</v>
      </c>
      <c r="G4055" s="12" t="s">
        <v>32</v>
      </c>
      <c r="H4055" s="12" t="s">
        <v>585</v>
      </c>
      <c r="I4055" s="12">
        <v>-36</v>
      </c>
      <c r="J4055" s="12">
        <v>77.5</v>
      </c>
      <c r="K4055" s="12">
        <v>79.150000000000006</v>
      </c>
      <c r="L4055" s="12">
        <v>2790</v>
      </c>
      <c r="M4055" s="12">
        <v>-1.3</v>
      </c>
      <c r="N4055" s="12">
        <v>-2089.8815089999998</v>
      </c>
      <c r="O4055" s="12">
        <v>698.81849099999999</v>
      </c>
      <c r="P4055" s="12">
        <v>-59.4</v>
      </c>
      <c r="Q4055" s="12" t="s">
        <v>3</v>
      </c>
    </row>
    <row r="4056" spans="1:17" x14ac:dyDescent="0.3">
      <c r="A4056" s="12" t="s">
        <v>96</v>
      </c>
      <c r="B4056" s="12" t="s">
        <v>201</v>
      </c>
      <c r="C4056" s="12" t="s">
        <v>123</v>
      </c>
      <c r="D4056" s="12" t="s">
        <v>209</v>
      </c>
      <c r="E4056" s="12" t="s">
        <v>110</v>
      </c>
      <c r="F4056" s="12" t="s">
        <v>114</v>
      </c>
      <c r="G4056" s="12" t="s">
        <v>32</v>
      </c>
      <c r="H4056" s="12" t="s">
        <v>808</v>
      </c>
      <c r="I4056" s="12">
        <v>70</v>
      </c>
      <c r="J4056" s="12">
        <v>66.2</v>
      </c>
      <c r="K4056" s="12">
        <v>66.02</v>
      </c>
      <c r="L4056" s="12">
        <v>-4634</v>
      </c>
      <c r="M4056" s="12">
        <v>0</v>
      </c>
      <c r="N4056" s="12">
        <v>4634</v>
      </c>
      <c r="O4056" s="12">
        <v>0</v>
      </c>
      <c r="P4056" s="12">
        <v>-12.6</v>
      </c>
      <c r="Q4056" s="12" t="s">
        <v>215</v>
      </c>
    </row>
    <row r="4057" spans="1:17" x14ac:dyDescent="0.3">
      <c r="A4057" s="12" t="s">
        <v>96</v>
      </c>
      <c r="B4057" s="12" t="s">
        <v>201</v>
      </c>
      <c r="C4057" s="12" t="s">
        <v>123</v>
      </c>
      <c r="D4057" s="12" t="s">
        <v>209</v>
      </c>
      <c r="E4057" s="12" t="s">
        <v>110</v>
      </c>
      <c r="F4057" s="12" t="s">
        <v>114</v>
      </c>
      <c r="G4057" s="12" t="s">
        <v>32</v>
      </c>
      <c r="H4057" s="12" t="s">
        <v>897</v>
      </c>
      <c r="I4057" s="12">
        <v>-70</v>
      </c>
      <c r="J4057" s="12">
        <v>64.680499999999995</v>
      </c>
      <c r="K4057" s="12">
        <v>65.819999999999993</v>
      </c>
      <c r="L4057" s="12">
        <v>4527.6350000000002</v>
      </c>
      <c r="M4057" s="12">
        <v>0</v>
      </c>
      <c r="N4057" s="12">
        <v>-4546.608491</v>
      </c>
      <c r="O4057" s="12">
        <v>-18.973490999999999</v>
      </c>
      <c r="P4057" s="12">
        <v>-79.765000000000001</v>
      </c>
      <c r="Q4057" s="12" t="s">
        <v>785</v>
      </c>
    </row>
    <row r="4058" spans="1:17" x14ac:dyDescent="0.3">
      <c r="A4058" s="12" t="s">
        <v>96</v>
      </c>
      <c r="B4058" s="12" t="s">
        <v>201</v>
      </c>
      <c r="C4058" s="12" t="s">
        <v>213</v>
      </c>
      <c r="E4058" s="12" t="s">
        <v>110</v>
      </c>
      <c r="F4058" s="12" t="s">
        <v>114</v>
      </c>
      <c r="G4058" s="12" t="s">
        <v>32</v>
      </c>
      <c r="I4058" s="12">
        <v>70</v>
      </c>
      <c r="L4058" s="12">
        <v>-3302.7150000000001</v>
      </c>
      <c r="M4058" s="12">
        <v>-5.2</v>
      </c>
      <c r="N4058" s="12">
        <v>4634</v>
      </c>
      <c r="O4058" s="12">
        <v>1326.085</v>
      </c>
      <c r="P4058" s="12">
        <v>-89.754999999999995</v>
      </c>
    </row>
    <row r="4059" spans="1:17" x14ac:dyDescent="0.3">
      <c r="A4059" s="12" t="s">
        <v>96</v>
      </c>
      <c r="B4059" s="12" t="s">
        <v>201</v>
      </c>
      <c r="C4059" s="12" t="s">
        <v>123</v>
      </c>
      <c r="D4059" s="12" t="s">
        <v>209</v>
      </c>
      <c r="E4059" s="12" t="s">
        <v>110</v>
      </c>
      <c r="F4059" s="12" t="s">
        <v>114</v>
      </c>
      <c r="G4059" s="12" t="s">
        <v>33</v>
      </c>
      <c r="H4059" s="12" t="s">
        <v>254</v>
      </c>
      <c r="I4059" s="12">
        <v>7</v>
      </c>
      <c r="J4059" s="12">
        <v>473.82</v>
      </c>
      <c r="K4059" s="12">
        <v>473.82</v>
      </c>
      <c r="L4059" s="12">
        <v>-3316.74</v>
      </c>
      <c r="M4059" s="12">
        <v>-1.3</v>
      </c>
      <c r="N4059" s="12">
        <v>3318.04</v>
      </c>
      <c r="O4059" s="12">
        <v>0</v>
      </c>
      <c r="P4059" s="12">
        <v>0</v>
      </c>
      <c r="Q4059" s="12" t="s">
        <v>215</v>
      </c>
    </row>
    <row r="4060" spans="1:17" x14ac:dyDescent="0.3">
      <c r="A4060" s="12" t="s">
        <v>96</v>
      </c>
      <c r="B4060" s="12" t="s">
        <v>201</v>
      </c>
      <c r="C4060" s="12" t="s">
        <v>123</v>
      </c>
      <c r="D4060" s="12" t="s">
        <v>209</v>
      </c>
      <c r="E4060" s="12" t="s">
        <v>110</v>
      </c>
      <c r="F4060" s="12" t="s">
        <v>114</v>
      </c>
      <c r="G4060" s="12" t="s">
        <v>33</v>
      </c>
      <c r="H4060" s="12" t="s">
        <v>586</v>
      </c>
      <c r="I4060" s="12">
        <v>-7</v>
      </c>
      <c r="J4060" s="12">
        <v>523.47</v>
      </c>
      <c r="K4060" s="12">
        <v>531.05999999999995</v>
      </c>
      <c r="L4060" s="12">
        <v>3664.29</v>
      </c>
      <c r="M4060" s="12">
        <v>-1.3</v>
      </c>
      <c r="N4060" s="12">
        <v>-3318.04</v>
      </c>
      <c r="O4060" s="12">
        <v>344.95</v>
      </c>
      <c r="P4060" s="12">
        <v>-53.13</v>
      </c>
      <c r="Q4060" s="12" t="s">
        <v>230</v>
      </c>
    </row>
    <row r="4061" spans="1:17" x14ac:dyDescent="0.3">
      <c r="A4061" s="12" t="s">
        <v>96</v>
      </c>
      <c r="B4061" s="12" t="s">
        <v>201</v>
      </c>
      <c r="C4061" s="12" t="s">
        <v>213</v>
      </c>
      <c r="E4061" s="12" t="s">
        <v>110</v>
      </c>
      <c r="F4061" s="12" t="s">
        <v>114</v>
      </c>
      <c r="G4061" s="12" t="s">
        <v>33</v>
      </c>
      <c r="I4061" s="12">
        <v>0</v>
      </c>
      <c r="L4061" s="12">
        <v>347.55</v>
      </c>
      <c r="M4061" s="12">
        <v>-2.6</v>
      </c>
      <c r="N4061" s="12">
        <v>0</v>
      </c>
      <c r="O4061" s="12">
        <v>344.95</v>
      </c>
      <c r="P4061" s="12">
        <v>-53.13</v>
      </c>
    </row>
    <row r="4062" spans="1:17" x14ac:dyDescent="0.3">
      <c r="A4062" s="12" t="s">
        <v>96</v>
      </c>
      <c r="B4062" s="12" t="s">
        <v>201</v>
      </c>
      <c r="C4062" s="12" t="s">
        <v>123</v>
      </c>
      <c r="D4062" s="12" t="s">
        <v>209</v>
      </c>
      <c r="E4062" s="12" t="s">
        <v>110</v>
      </c>
      <c r="F4062" s="12" t="s">
        <v>114</v>
      </c>
      <c r="G4062" s="12" t="s">
        <v>60</v>
      </c>
      <c r="H4062" s="12" t="s">
        <v>809</v>
      </c>
      <c r="I4062" s="12">
        <v>15</v>
      </c>
      <c r="J4062" s="12">
        <v>509.43</v>
      </c>
      <c r="K4062" s="12">
        <v>512.80999999999995</v>
      </c>
      <c r="L4062" s="12">
        <v>-7641.45</v>
      </c>
      <c r="M4062" s="12">
        <v>0</v>
      </c>
      <c r="N4062" s="12">
        <v>7641.45</v>
      </c>
      <c r="O4062" s="12">
        <v>0</v>
      </c>
      <c r="P4062" s="12">
        <v>50.7</v>
      </c>
      <c r="Q4062" s="12" t="s">
        <v>215</v>
      </c>
    </row>
    <row r="4063" spans="1:17" x14ac:dyDescent="0.3">
      <c r="A4063" s="12" t="s">
        <v>96</v>
      </c>
      <c r="B4063" s="12" t="s">
        <v>201</v>
      </c>
      <c r="C4063" s="12" t="s">
        <v>123</v>
      </c>
      <c r="D4063" s="12" t="s">
        <v>209</v>
      </c>
      <c r="E4063" s="12" t="s">
        <v>110</v>
      </c>
      <c r="F4063" s="12" t="s">
        <v>114</v>
      </c>
      <c r="G4063" s="12" t="s">
        <v>60</v>
      </c>
      <c r="H4063" s="12" t="s">
        <v>898</v>
      </c>
      <c r="I4063" s="12">
        <v>-15</v>
      </c>
      <c r="J4063" s="12">
        <v>486.01</v>
      </c>
      <c r="K4063" s="12">
        <v>482.59</v>
      </c>
      <c r="L4063" s="12">
        <v>7290.15</v>
      </c>
      <c r="M4063" s="12">
        <v>0</v>
      </c>
      <c r="N4063" s="12">
        <v>-7641.45</v>
      </c>
      <c r="O4063" s="12">
        <v>-351.3</v>
      </c>
      <c r="P4063" s="12">
        <v>51.3</v>
      </c>
      <c r="Q4063" s="12" t="s">
        <v>3</v>
      </c>
    </row>
    <row r="4064" spans="1:17" x14ac:dyDescent="0.3">
      <c r="A4064" s="12" t="s">
        <v>96</v>
      </c>
      <c r="B4064" s="12" t="s">
        <v>201</v>
      </c>
      <c r="C4064" s="12" t="s">
        <v>213</v>
      </c>
      <c r="E4064" s="12" t="s">
        <v>110</v>
      </c>
      <c r="F4064" s="12" t="s">
        <v>114</v>
      </c>
      <c r="G4064" s="12" t="s">
        <v>60</v>
      </c>
      <c r="I4064" s="12">
        <v>0</v>
      </c>
      <c r="L4064" s="12">
        <v>-351.3</v>
      </c>
      <c r="M4064" s="12">
        <v>0</v>
      </c>
      <c r="N4064" s="12">
        <v>0</v>
      </c>
      <c r="O4064" s="12">
        <v>-351.3</v>
      </c>
      <c r="P4064" s="12">
        <v>102</v>
      </c>
    </row>
    <row r="4065" spans="1:17" x14ac:dyDescent="0.3">
      <c r="A4065" s="12" t="s">
        <v>96</v>
      </c>
      <c r="B4065" s="12" t="s">
        <v>201</v>
      </c>
      <c r="C4065" s="12" t="s">
        <v>123</v>
      </c>
      <c r="D4065" s="12" t="s">
        <v>209</v>
      </c>
      <c r="E4065" s="12" t="s">
        <v>110</v>
      </c>
      <c r="F4065" s="12" t="s">
        <v>114</v>
      </c>
      <c r="G4065" s="12" t="s">
        <v>40</v>
      </c>
      <c r="H4065" s="12" t="s">
        <v>587</v>
      </c>
      <c r="I4065" s="12">
        <v>15</v>
      </c>
      <c r="J4065" s="12">
        <v>247</v>
      </c>
      <c r="K4065" s="12">
        <v>248.33</v>
      </c>
      <c r="L4065" s="12">
        <v>-3705</v>
      </c>
      <c r="M4065" s="12">
        <v>-1.3</v>
      </c>
      <c r="N4065" s="12">
        <v>3706.3</v>
      </c>
      <c r="O4065" s="12">
        <v>0</v>
      </c>
      <c r="P4065" s="12">
        <v>19.95</v>
      </c>
      <c r="Q4065" s="12" t="s">
        <v>215</v>
      </c>
    </row>
    <row r="4066" spans="1:17" x14ac:dyDescent="0.3">
      <c r="A4066" s="12" t="s">
        <v>96</v>
      </c>
      <c r="B4066" s="12" t="s">
        <v>201</v>
      </c>
      <c r="C4066" s="12" t="s">
        <v>123</v>
      </c>
      <c r="D4066" s="12" t="s">
        <v>209</v>
      </c>
      <c r="E4066" s="12" t="s">
        <v>110</v>
      </c>
      <c r="F4066" s="12" t="s">
        <v>114</v>
      </c>
      <c r="G4066" s="12" t="s">
        <v>40</v>
      </c>
      <c r="H4066" s="12" t="s">
        <v>739</v>
      </c>
      <c r="I4066" s="12">
        <v>-15</v>
      </c>
      <c r="J4066" s="12">
        <v>235.8</v>
      </c>
      <c r="K4066" s="12">
        <v>236.16</v>
      </c>
      <c r="L4066" s="12">
        <v>3537</v>
      </c>
      <c r="M4066" s="12">
        <v>-1.3</v>
      </c>
      <c r="N4066" s="12">
        <v>-3706.3</v>
      </c>
      <c r="O4066" s="12">
        <v>-170.6</v>
      </c>
      <c r="P4066" s="12">
        <v>-5.4</v>
      </c>
      <c r="Q4066" s="12" t="s">
        <v>3</v>
      </c>
    </row>
    <row r="4067" spans="1:17" x14ac:dyDescent="0.3">
      <c r="A4067" s="12" t="s">
        <v>96</v>
      </c>
      <c r="B4067" s="12" t="s">
        <v>201</v>
      </c>
      <c r="C4067" s="12" t="s">
        <v>213</v>
      </c>
      <c r="E4067" s="12" t="s">
        <v>110</v>
      </c>
      <c r="F4067" s="12" t="s">
        <v>114</v>
      </c>
      <c r="G4067" s="12" t="s">
        <v>40</v>
      </c>
      <c r="I4067" s="12">
        <v>0</v>
      </c>
      <c r="L4067" s="12">
        <v>-168</v>
      </c>
      <c r="M4067" s="12">
        <v>-2.6</v>
      </c>
      <c r="N4067" s="12">
        <v>0</v>
      </c>
      <c r="O4067" s="12">
        <v>-170.6</v>
      </c>
      <c r="P4067" s="12">
        <v>14.55</v>
      </c>
    </row>
    <row r="4068" spans="1:17" x14ac:dyDescent="0.3">
      <c r="A4068" s="12" t="s">
        <v>96</v>
      </c>
      <c r="B4068" s="12" t="s">
        <v>201</v>
      </c>
      <c r="C4068" s="12" t="s">
        <v>123</v>
      </c>
      <c r="D4068" s="12" t="s">
        <v>209</v>
      </c>
      <c r="E4068" s="12" t="s">
        <v>110</v>
      </c>
      <c r="F4068" s="12" t="s">
        <v>114</v>
      </c>
      <c r="G4068" s="12" t="s">
        <v>34</v>
      </c>
      <c r="H4068" s="12" t="s">
        <v>255</v>
      </c>
      <c r="I4068" s="12">
        <v>13</v>
      </c>
      <c r="J4068" s="12">
        <v>268.49</v>
      </c>
      <c r="K4068" s="12">
        <v>268.41000000000003</v>
      </c>
      <c r="L4068" s="12">
        <v>-3490.37</v>
      </c>
      <c r="M4068" s="12">
        <v>-1.3</v>
      </c>
      <c r="N4068" s="12">
        <v>3491.67</v>
      </c>
      <c r="O4068" s="12">
        <v>0</v>
      </c>
      <c r="P4068" s="12">
        <v>-1.04</v>
      </c>
      <c r="Q4068" s="12" t="s">
        <v>215</v>
      </c>
    </row>
    <row r="4069" spans="1:17" x14ac:dyDescent="0.3">
      <c r="A4069" s="12" t="s">
        <v>96</v>
      </c>
      <c r="B4069" s="12" t="s">
        <v>201</v>
      </c>
      <c r="C4069" s="12" t="s">
        <v>123</v>
      </c>
      <c r="D4069" s="12" t="s">
        <v>209</v>
      </c>
      <c r="E4069" s="12" t="s">
        <v>110</v>
      </c>
      <c r="F4069" s="12" t="s">
        <v>114</v>
      </c>
      <c r="G4069" s="12" t="s">
        <v>34</v>
      </c>
      <c r="H4069" s="12" t="s">
        <v>658</v>
      </c>
      <c r="I4069" s="12">
        <v>4</v>
      </c>
      <c r="J4069" s="12">
        <v>276.37</v>
      </c>
      <c r="K4069" s="12">
        <v>273.02</v>
      </c>
      <c r="L4069" s="12">
        <v>-1105.48</v>
      </c>
      <c r="M4069" s="12">
        <v>-1.3</v>
      </c>
      <c r="N4069" s="12">
        <v>1106.78</v>
      </c>
      <c r="O4069" s="12">
        <v>0</v>
      </c>
      <c r="P4069" s="12">
        <v>-13.4</v>
      </c>
      <c r="Q4069" s="12" t="s">
        <v>215</v>
      </c>
    </row>
    <row r="4070" spans="1:17" x14ac:dyDescent="0.3">
      <c r="A4070" s="12" t="s">
        <v>96</v>
      </c>
      <c r="B4070" s="12" t="s">
        <v>201</v>
      </c>
      <c r="C4070" s="12" t="s">
        <v>123</v>
      </c>
      <c r="D4070" s="12" t="s">
        <v>209</v>
      </c>
      <c r="E4070" s="12" t="s">
        <v>110</v>
      </c>
      <c r="F4070" s="12" t="s">
        <v>114</v>
      </c>
      <c r="G4070" s="12" t="s">
        <v>34</v>
      </c>
      <c r="H4070" s="12" t="s">
        <v>740</v>
      </c>
      <c r="I4070" s="12">
        <v>-17</v>
      </c>
      <c r="J4070" s="12">
        <v>271</v>
      </c>
      <c r="K4070" s="12">
        <v>271.10000000000002</v>
      </c>
      <c r="L4070" s="12">
        <v>4607</v>
      </c>
      <c r="M4070" s="12">
        <v>-1.3</v>
      </c>
      <c r="N4070" s="12">
        <v>-4598.45</v>
      </c>
      <c r="O4070" s="12">
        <v>7.25</v>
      </c>
      <c r="P4070" s="12">
        <v>-1.7</v>
      </c>
      <c r="Q4070" s="12" t="s">
        <v>3</v>
      </c>
    </row>
    <row r="4071" spans="1:17" x14ac:dyDescent="0.3">
      <c r="A4071" s="12" t="s">
        <v>96</v>
      </c>
      <c r="B4071" s="12" t="s">
        <v>201</v>
      </c>
      <c r="C4071" s="12" t="s">
        <v>213</v>
      </c>
      <c r="E4071" s="12" t="s">
        <v>110</v>
      </c>
      <c r="F4071" s="12" t="s">
        <v>114</v>
      </c>
      <c r="G4071" s="12" t="s">
        <v>34</v>
      </c>
      <c r="I4071" s="12">
        <v>0</v>
      </c>
      <c r="L4071" s="12">
        <v>11.15</v>
      </c>
      <c r="M4071" s="12">
        <v>-3.9</v>
      </c>
      <c r="N4071" s="12">
        <v>0</v>
      </c>
      <c r="O4071" s="12">
        <v>7.25</v>
      </c>
      <c r="P4071" s="12">
        <v>-16.14</v>
      </c>
    </row>
    <row r="4072" spans="1:17" x14ac:dyDescent="0.3">
      <c r="A4072" s="12" t="s">
        <v>96</v>
      </c>
      <c r="B4072" s="12" t="s">
        <v>201</v>
      </c>
      <c r="C4072" s="12" t="s">
        <v>123</v>
      </c>
      <c r="D4072" s="12" t="s">
        <v>209</v>
      </c>
      <c r="E4072" s="12" t="s">
        <v>110</v>
      </c>
      <c r="F4072" s="12" t="s">
        <v>114</v>
      </c>
      <c r="G4072" s="12" t="s">
        <v>61</v>
      </c>
      <c r="H4072" s="12" t="s">
        <v>810</v>
      </c>
      <c r="I4072" s="12">
        <v>100</v>
      </c>
      <c r="J4072" s="12">
        <v>94.38</v>
      </c>
      <c r="K4072" s="12">
        <v>93.83</v>
      </c>
      <c r="L4072" s="12">
        <v>-9438</v>
      </c>
      <c r="M4072" s="12">
        <v>0</v>
      </c>
      <c r="N4072" s="12">
        <v>9438</v>
      </c>
      <c r="O4072" s="12">
        <v>0</v>
      </c>
      <c r="P4072" s="12">
        <v>-55</v>
      </c>
      <c r="Q4072" s="12" t="s">
        <v>215</v>
      </c>
    </row>
    <row r="4073" spans="1:17" x14ac:dyDescent="0.3">
      <c r="A4073" s="12" t="s">
        <v>96</v>
      </c>
      <c r="B4073" s="12" t="s">
        <v>201</v>
      </c>
      <c r="C4073" s="12" t="s">
        <v>213</v>
      </c>
      <c r="E4073" s="12" t="s">
        <v>110</v>
      </c>
      <c r="F4073" s="12" t="s">
        <v>114</v>
      </c>
      <c r="G4073" s="12" t="s">
        <v>61</v>
      </c>
      <c r="I4073" s="12">
        <v>100</v>
      </c>
      <c r="L4073" s="12">
        <v>-9438</v>
      </c>
      <c r="M4073" s="12">
        <v>0</v>
      </c>
      <c r="N4073" s="12">
        <v>9438</v>
      </c>
      <c r="O4073" s="12">
        <v>0</v>
      </c>
      <c r="P4073" s="12">
        <v>-55</v>
      </c>
    </row>
    <row r="4074" spans="1:17" x14ac:dyDescent="0.3">
      <c r="A4074" s="12" t="s">
        <v>96</v>
      </c>
      <c r="B4074" s="12" t="s">
        <v>201</v>
      </c>
      <c r="C4074" s="12" t="s">
        <v>123</v>
      </c>
      <c r="D4074" s="12" t="s">
        <v>209</v>
      </c>
      <c r="E4074" s="12" t="s">
        <v>110</v>
      </c>
      <c r="F4074" s="12" t="s">
        <v>114</v>
      </c>
      <c r="G4074" s="12" t="s">
        <v>62</v>
      </c>
      <c r="H4074" s="12" t="s">
        <v>811</v>
      </c>
      <c r="I4074" s="12">
        <v>100</v>
      </c>
      <c r="J4074" s="12">
        <v>42.028700000000001</v>
      </c>
      <c r="K4074" s="12">
        <v>42.18</v>
      </c>
      <c r="L4074" s="12">
        <v>-4202.87</v>
      </c>
      <c r="M4074" s="12">
        <v>0</v>
      </c>
      <c r="N4074" s="12">
        <v>4202.87</v>
      </c>
      <c r="O4074" s="12">
        <v>0</v>
      </c>
      <c r="P4074" s="12">
        <v>15.13</v>
      </c>
      <c r="Q4074" s="12" t="s">
        <v>215</v>
      </c>
    </row>
    <row r="4075" spans="1:17" x14ac:dyDescent="0.3">
      <c r="A4075" s="12" t="s">
        <v>96</v>
      </c>
      <c r="B4075" s="12" t="s">
        <v>201</v>
      </c>
      <c r="C4075" s="12" t="s">
        <v>123</v>
      </c>
      <c r="D4075" s="12" t="s">
        <v>209</v>
      </c>
      <c r="E4075" s="12" t="s">
        <v>110</v>
      </c>
      <c r="F4075" s="12" t="s">
        <v>114</v>
      </c>
      <c r="G4075" s="12" t="s">
        <v>62</v>
      </c>
      <c r="H4075" s="12" t="s">
        <v>899</v>
      </c>
      <c r="I4075" s="12">
        <v>100</v>
      </c>
      <c r="J4075" s="12">
        <v>40.92</v>
      </c>
      <c r="K4075" s="12">
        <v>41.01</v>
      </c>
      <c r="L4075" s="12">
        <v>-4092</v>
      </c>
      <c r="M4075" s="12">
        <v>0</v>
      </c>
      <c r="N4075" s="12">
        <v>4092</v>
      </c>
      <c r="O4075" s="12">
        <v>0</v>
      </c>
      <c r="P4075" s="12">
        <v>9</v>
      </c>
      <c r="Q4075" s="12" t="s">
        <v>215</v>
      </c>
    </row>
    <row r="4076" spans="1:17" x14ac:dyDescent="0.3">
      <c r="A4076" s="12" t="s">
        <v>96</v>
      </c>
      <c r="B4076" s="12" t="s">
        <v>201</v>
      </c>
      <c r="C4076" s="12" t="s">
        <v>213</v>
      </c>
      <c r="E4076" s="12" t="s">
        <v>110</v>
      </c>
      <c r="F4076" s="12" t="s">
        <v>114</v>
      </c>
      <c r="G4076" s="12" t="s">
        <v>62</v>
      </c>
      <c r="I4076" s="12">
        <v>200</v>
      </c>
      <c r="L4076" s="12">
        <v>-8294.8700000000008</v>
      </c>
      <c r="M4076" s="12">
        <v>0</v>
      </c>
      <c r="N4076" s="12">
        <v>8294.8700000000008</v>
      </c>
      <c r="O4076" s="12">
        <v>0</v>
      </c>
      <c r="P4076" s="12">
        <v>24.13</v>
      </c>
    </row>
    <row r="4077" spans="1:17" x14ac:dyDescent="0.3">
      <c r="A4077" s="12" t="s">
        <v>96</v>
      </c>
      <c r="B4077" s="12" t="s">
        <v>201</v>
      </c>
      <c r="C4077" s="12" t="s">
        <v>123</v>
      </c>
      <c r="D4077" s="12" t="s">
        <v>209</v>
      </c>
      <c r="E4077" s="12" t="s">
        <v>110</v>
      </c>
      <c r="F4077" s="12" t="s">
        <v>114</v>
      </c>
      <c r="G4077" s="12" t="s">
        <v>41</v>
      </c>
      <c r="H4077" s="12" t="s">
        <v>588</v>
      </c>
      <c r="I4077" s="12">
        <v>300</v>
      </c>
      <c r="J4077" s="12">
        <v>40.18</v>
      </c>
      <c r="K4077" s="12">
        <v>40.21</v>
      </c>
      <c r="L4077" s="12">
        <v>-12054</v>
      </c>
      <c r="M4077" s="12">
        <v>-2.1</v>
      </c>
      <c r="N4077" s="12">
        <v>12056.1</v>
      </c>
      <c r="O4077" s="12">
        <v>0</v>
      </c>
      <c r="P4077" s="12">
        <v>9</v>
      </c>
      <c r="Q4077" s="12" t="s">
        <v>215</v>
      </c>
    </row>
    <row r="4078" spans="1:17" x14ac:dyDescent="0.3">
      <c r="A4078" s="12" t="s">
        <v>96</v>
      </c>
      <c r="B4078" s="12" t="s">
        <v>201</v>
      </c>
      <c r="C4078" s="12" t="s">
        <v>123</v>
      </c>
      <c r="D4078" s="12" t="s">
        <v>209</v>
      </c>
      <c r="E4078" s="12" t="s">
        <v>110</v>
      </c>
      <c r="F4078" s="12" t="s">
        <v>114</v>
      </c>
      <c r="G4078" s="12" t="s">
        <v>41</v>
      </c>
      <c r="H4078" s="12" t="s">
        <v>589</v>
      </c>
      <c r="I4078" s="12">
        <v>300</v>
      </c>
      <c r="J4078" s="12">
        <v>41.31</v>
      </c>
      <c r="K4078" s="12">
        <v>41.31</v>
      </c>
      <c r="L4078" s="12">
        <v>-12393</v>
      </c>
      <c r="M4078" s="12">
        <v>-2.1</v>
      </c>
      <c r="N4078" s="12">
        <v>12395.1</v>
      </c>
      <c r="O4078" s="12">
        <v>0</v>
      </c>
      <c r="P4078" s="12">
        <v>0</v>
      </c>
      <c r="Q4078" s="12" t="s">
        <v>215</v>
      </c>
    </row>
    <row r="4079" spans="1:17" x14ac:dyDescent="0.3">
      <c r="A4079" s="12" t="s">
        <v>96</v>
      </c>
      <c r="B4079" s="12" t="s">
        <v>201</v>
      </c>
      <c r="C4079" s="12" t="s">
        <v>123</v>
      </c>
      <c r="D4079" s="12" t="s">
        <v>209</v>
      </c>
      <c r="E4079" s="12" t="s">
        <v>110</v>
      </c>
      <c r="F4079" s="12" t="s">
        <v>114</v>
      </c>
      <c r="G4079" s="12" t="s">
        <v>41</v>
      </c>
      <c r="H4079" s="12" t="s">
        <v>659</v>
      </c>
      <c r="I4079" s="12">
        <v>600</v>
      </c>
      <c r="J4079" s="12">
        <v>41.597999999999999</v>
      </c>
      <c r="K4079" s="12">
        <v>41.53</v>
      </c>
      <c r="L4079" s="12">
        <v>-24958.799999999999</v>
      </c>
      <c r="M4079" s="12">
        <v>-4.2</v>
      </c>
      <c r="N4079" s="12">
        <v>24963</v>
      </c>
      <c r="O4079" s="12">
        <v>0</v>
      </c>
      <c r="P4079" s="12">
        <v>-40.799999999999997</v>
      </c>
      <c r="Q4079" s="12" t="s">
        <v>215</v>
      </c>
    </row>
    <row r="4080" spans="1:17" x14ac:dyDescent="0.3">
      <c r="A4080" s="12" t="s">
        <v>96</v>
      </c>
      <c r="B4080" s="12" t="s">
        <v>201</v>
      </c>
      <c r="C4080" s="12" t="s">
        <v>123</v>
      </c>
      <c r="D4080" s="12" t="s">
        <v>209</v>
      </c>
      <c r="E4080" s="12" t="s">
        <v>110</v>
      </c>
      <c r="F4080" s="12" t="s">
        <v>114</v>
      </c>
      <c r="G4080" s="12" t="s">
        <v>41</v>
      </c>
      <c r="H4080" s="12" t="s">
        <v>741</v>
      </c>
      <c r="I4080" s="12">
        <v>-400</v>
      </c>
      <c r="J4080" s="12">
        <v>41.74</v>
      </c>
      <c r="K4080" s="12">
        <v>41.85</v>
      </c>
      <c r="L4080" s="12">
        <v>16696</v>
      </c>
      <c r="M4080" s="12">
        <v>-2.8</v>
      </c>
      <c r="N4080" s="12">
        <v>-16187.8</v>
      </c>
      <c r="O4080" s="12">
        <v>505.4</v>
      </c>
      <c r="P4080" s="12">
        <v>-44</v>
      </c>
      <c r="Q4080" s="12" t="s">
        <v>3</v>
      </c>
    </row>
    <row r="4081" spans="1:17" x14ac:dyDescent="0.3">
      <c r="A4081" s="12" t="s">
        <v>96</v>
      </c>
      <c r="B4081" s="12" t="s">
        <v>201</v>
      </c>
      <c r="C4081" s="12" t="s">
        <v>123</v>
      </c>
      <c r="D4081" s="12" t="s">
        <v>209</v>
      </c>
      <c r="E4081" s="12" t="s">
        <v>110</v>
      </c>
      <c r="F4081" s="12" t="s">
        <v>114</v>
      </c>
      <c r="G4081" s="12" t="s">
        <v>41</v>
      </c>
      <c r="H4081" s="12" t="s">
        <v>812</v>
      </c>
      <c r="I4081" s="12">
        <v>800</v>
      </c>
      <c r="J4081" s="12">
        <v>42.36</v>
      </c>
      <c r="K4081" s="12">
        <v>42.32</v>
      </c>
      <c r="L4081" s="12">
        <v>-33888</v>
      </c>
      <c r="M4081" s="12">
        <v>0</v>
      </c>
      <c r="N4081" s="12">
        <v>33888</v>
      </c>
      <c r="O4081" s="12">
        <v>0</v>
      </c>
      <c r="P4081" s="12">
        <v>-32</v>
      </c>
      <c r="Q4081" s="12" t="s">
        <v>215</v>
      </c>
    </row>
    <row r="4082" spans="1:17" x14ac:dyDescent="0.3">
      <c r="A4082" s="12" t="s">
        <v>96</v>
      </c>
      <c r="B4082" s="12" t="s">
        <v>201</v>
      </c>
      <c r="C4082" s="12" t="s">
        <v>123</v>
      </c>
      <c r="D4082" s="12" t="s">
        <v>209</v>
      </c>
      <c r="E4082" s="12" t="s">
        <v>110</v>
      </c>
      <c r="F4082" s="12" t="s">
        <v>114</v>
      </c>
      <c r="G4082" s="12" t="s">
        <v>41</v>
      </c>
      <c r="H4082" s="12" t="s">
        <v>900</v>
      </c>
      <c r="I4082" s="12">
        <v>-500</v>
      </c>
      <c r="J4082" s="12">
        <v>43.401420000000002</v>
      </c>
      <c r="K4082" s="12">
        <v>43.67</v>
      </c>
      <c r="L4082" s="12">
        <v>21700.71</v>
      </c>
      <c r="M4082" s="12">
        <v>0</v>
      </c>
      <c r="N4082" s="12">
        <v>-20744.900000000001</v>
      </c>
      <c r="O4082" s="12">
        <v>955.81</v>
      </c>
      <c r="P4082" s="12">
        <v>-134.29</v>
      </c>
      <c r="Q4082" s="12" t="s">
        <v>230</v>
      </c>
    </row>
    <row r="4083" spans="1:17" x14ac:dyDescent="0.3">
      <c r="A4083" s="12" t="s">
        <v>96</v>
      </c>
      <c r="B4083" s="12" t="s">
        <v>201</v>
      </c>
      <c r="C4083" s="12" t="s">
        <v>123</v>
      </c>
      <c r="D4083" s="12" t="s">
        <v>209</v>
      </c>
      <c r="E4083" s="12" t="s">
        <v>110</v>
      </c>
      <c r="F4083" s="12" t="s">
        <v>114</v>
      </c>
      <c r="G4083" s="12" t="s">
        <v>41</v>
      </c>
      <c r="H4083" s="12" t="s">
        <v>1083</v>
      </c>
      <c r="I4083" s="12">
        <v>-1</v>
      </c>
      <c r="J4083" s="12">
        <v>43.68</v>
      </c>
      <c r="K4083" s="12">
        <v>42.54</v>
      </c>
      <c r="L4083" s="12">
        <v>43.68</v>
      </c>
      <c r="M4083" s="12">
        <v>0</v>
      </c>
      <c r="N4083" s="12">
        <v>-41.604999999999997</v>
      </c>
      <c r="O4083" s="12">
        <v>2.0750000000000002</v>
      </c>
      <c r="P4083" s="12">
        <v>1.1399999999999999</v>
      </c>
      <c r="Q4083" s="12" t="s">
        <v>3</v>
      </c>
    </row>
    <row r="4084" spans="1:17" x14ac:dyDescent="0.3">
      <c r="A4084" s="12" t="s">
        <v>96</v>
      </c>
      <c r="B4084" s="12" t="s">
        <v>201</v>
      </c>
      <c r="C4084" s="12" t="s">
        <v>213</v>
      </c>
      <c r="E4084" s="12" t="s">
        <v>110</v>
      </c>
      <c r="F4084" s="12" t="s">
        <v>114</v>
      </c>
      <c r="G4084" s="12" t="s">
        <v>41</v>
      </c>
      <c r="I4084" s="12">
        <v>1099</v>
      </c>
      <c r="L4084" s="12">
        <v>-44853.41</v>
      </c>
      <c r="M4084" s="12">
        <v>-11.2</v>
      </c>
      <c r="N4084" s="12">
        <v>46327.894999999997</v>
      </c>
      <c r="O4084" s="12">
        <v>1463.2850000000001</v>
      </c>
      <c r="P4084" s="12">
        <v>-240.95</v>
      </c>
    </row>
    <row r="4085" spans="1:17" x14ac:dyDescent="0.3">
      <c r="A4085" s="12" t="s">
        <v>96</v>
      </c>
      <c r="B4085" s="12" t="s">
        <v>201</v>
      </c>
      <c r="C4085" s="12" t="s">
        <v>123</v>
      </c>
      <c r="D4085" s="12" t="s">
        <v>209</v>
      </c>
      <c r="E4085" s="12" t="s">
        <v>110</v>
      </c>
      <c r="F4085" s="12" t="s">
        <v>114</v>
      </c>
      <c r="G4085" s="12" t="s">
        <v>79</v>
      </c>
      <c r="H4085" s="12" t="s">
        <v>901</v>
      </c>
      <c r="I4085" s="12">
        <v>80</v>
      </c>
      <c r="J4085" s="12">
        <v>121.06</v>
      </c>
      <c r="K4085" s="12">
        <v>121.15</v>
      </c>
      <c r="L4085" s="12">
        <v>-9684.7999999999993</v>
      </c>
      <c r="M4085" s="12">
        <v>0</v>
      </c>
      <c r="N4085" s="12">
        <v>9684.7999999999993</v>
      </c>
      <c r="O4085" s="12">
        <v>0</v>
      </c>
      <c r="P4085" s="12">
        <v>7.2</v>
      </c>
      <c r="Q4085" s="12" t="s">
        <v>215</v>
      </c>
    </row>
    <row r="4086" spans="1:17" x14ac:dyDescent="0.3">
      <c r="A4086" s="12" t="s">
        <v>96</v>
      </c>
      <c r="B4086" s="12" t="s">
        <v>201</v>
      </c>
      <c r="C4086" s="12" t="s">
        <v>213</v>
      </c>
      <c r="E4086" s="12" t="s">
        <v>110</v>
      </c>
      <c r="F4086" s="12" t="s">
        <v>114</v>
      </c>
      <c r="G4086" s="12" t="s">
        <v>79</v>
      </c>
      <c r="I4086" s="12">
        <v>80</v>
      </c>
      <c r="L4086" s="12">
        <v>-9684.7999999999993</v>
      </c>
      <c r="M4086" s="12">
        <v>0</v>
      </c>
      <c r="N4086" s="12">
        <v>9684.7999999999993</v>
      </c>
      <c r="O4086" s="12">
        <v>0</v>
      </c>
      <c r="P4086" s="12">
        <v>7.2</v>
      </c>
    </row>
    <row r="4087" spans="1:17" x14ac:dyDescent="0.3">
      <c r="A4087" s="12" t="s">
        <v>96</v>
      </c>
      <c r="B4087" s="12" t="s">
        <v>201</v>
      </c>
      <c r="C4087" s="12" t="s">
        <v>123</v>
      </c>
      <c r="D4087" s="12" t="s">
        <v>209</v>
      </c>
      <c r="E4087" s="12" t="s">
        <v>110</v>
      </c>
      <c r="F4087" s="12" t="s">
        <v>114</v>
      </c>
      <c r="G4087" s="12" t="s">
        <v>42</v>
      </c>
      <c r="H4087" s="12" t="s">
        <v>590</v>
      </c>
      <c r="I4087" s="12">
        <v>50</v>
      </c>
      <c r="J4087" s="12">
        <v>200.56</v>
      </c>
      <c r="K4087" s="12">
        <v>200.17</v>
      </c>
      <c r="L4087" s="12">
        <v>-10028</v>
      </c>
      <c r="M4087" s="12">
        <v>-1.3</v>
      </c>
      <c r="N4087" s="12">
        <v>10029.299999999999</v>
      </c>
      <c r="O4087" s="12">
        <v>0</v>
      </c>
      <c r="P4087" s="12">
        <v>-19.5</v>
      </c>
      <c r="Q4087" s="12" t="s">
        <v>215</v>
      </c>
    </row>
    <row r="4088" spans="1:17" x14ac:dyDescent="0.3">
      <c r="A4088" s="12" t="s">
        <v>96</v>
      </c>
      <c r="B4088" s="12" t="s">
        <v>201</v>
      </c>
      <c r="C4088" s="12" t="s">
        <v>123</v>
      </c>
      <c r="D4088" s="12" t="s">
        <v>209</v>
      </c>
      <c r="E4088" s="12" t="s">
        <v>110</v>
      </c>
      <c r="F4088" s="12" t="s">
        <v>114</v>
      </c>
      <c r="G4088" s="12" t="s">
        <v>42</v>
      </c>
      <c r="H4088" s="12" t="s">
        <v>742</v>
      </c>
      <c r="I4088" s="12">
        <v>25</v>
      </c>
      <c r="J4088" s="12">
        <v>204.2</v>
      </c>
      <c r="K4088" s="12">
        <v>204.71</v>
      </c>
      <c r="L4088" s="12">
        <v>-5105</v>
      </c>
      <c r="M4088" s="12">
        <v>-1.3</v>
      </c>
      <c r="N4088" s="12">
        <v>5106.3</v>
      </c>
      <c r="O4088" s="12">
        <v>0</v>
      </c>
      <c r="P4088" s="12">
        <v>12.75</v>
      </c>
      <c r="Q4088" s="12" t="s">
        <v>215</v>
      </c>
    </row>
    <row r="4089" spans="1:17" x14ac:dyDescent="0.3">
      <c r="A4089" s="12" t="s">
        <v>96</v>
      </c>
      <c r="B4089" s="12" t="s">
        <v>201</v>
      </c>
      <c r="C4089" s="12" t="s">
        <v>123</v>
      </c>
      <c r="D4089" s="12" t="s">
        <v>209</v>
      </c>
      <c r="E4089" s="12" t="s">
        <v>110</v>
      </c>
      <c r="F4089" s="12" t="s">
        <v>114</v>
      </c>
      <c r="G4089" s="12" t="s">
        <v>42</v>
      </c>
      <c r="H4089" s="12" t="s">
        <v>813</v>
      </c>
      <c r="I4089" s="12">
        <v>75</v>
      </c>
      <c r="J4089" s="12">
        <v>198</v>
      </c>
      <c r="K4089" s="12">
        <v>194.26</v>
      </c>
      <c r="L4089" s="12">
        <v>-14850</v>
      </c>
      <c r="M4089" s="12">
        <v>-1.3</v>
      </c>
      <c r="N4089" s="12">
        <v>14851.3</v>
      </c>
      <c r="O4089" s="12">
        <v>0</v>
      </c>
      <c r="P4089" s="12">
        <v>-280.5</v>
      </c>
      <c r="Q4089" s="12" t="s">
        <v>215</v>
      </c>
    </row>
    <row r="4090" spans="1:17" x14ac:dyDescent="0.3">
      <c r="A4090" s="12" t="s">
        <v>96</v>
      </c>
      <c r="B4090" s="12" t="s">
        <v>201</v>
      </c>
      <c r="C4090" s="12" t="s">
        <v>213</v>
      </c>
      <c r="E4090" s="12" t="s">
        <v>110</v>
      </c>
      <c r="F4090" s="12" t="s">
        <v>114</v>
      </c>
      <c r="G4090" s="12" t="s">
        <v>42</v>
      </c>
      <c r="I4090" s="12">
        <v>150</v>
      </c>
      <c r="L4090" s="12">
        <v>-29983</v>
      </c>
      <c r="M4090" s="12">
        <v>-3.9</v>
      </c>
      <c r="N4090" s="12">
        <v>29986.9</v>
      </c>
      <c r="O4090" s="12">
        <v>0</v>
      </c>
      <c r="P4090" s="12">
        <v>-287.25</v>
      </c>
    </row>
    <row r="4091" spans="1:17" x14ac:dyDescent="0.3">
      <c r="A4091" s="12" t="s">
        <v>96</v>
      </c>
      <c r="B4091" s="12" t="s">
        <v>201</v>
      </c>
      <c r="C4091" s="12" t="s">
        <v>123</v>
      </c>
      <c r="D4091" s="12" t="s">
        <v>209</v>
      </c>
      <c r="E4091" s="12" t="s">
        <v>110</v>
      </c>
      <c r="F4091" s="12" t="s">
        <v>114</v>
      </c>
      <c r="G4091" s="12" t="s">
        <v>43</v>
      </c>
      <c r="H4091" s="12" t="s">
        <v>591</v>
      </c>
      <c r="I4091" s="12">
        <v>80</v>
      </c>
      <c r="J4091" s="12">
        <v>61.1</v>
      </c>
      <c r="K4091" s="12">
        <v>59.96</v>
      </c>
      <c r="L4091" s="12">
        <v>-4888</v>
      </c>
      <c r="M4091" s="12">
        <v>-1.3</v>
      </c>
      <c r="N4091" s="12">
        <v>4889.3</v>
      </c>
      <c r="O4091" s="12">
        <v>0</v>
      </c>
      <c r="P4091" s="12">
        <v>-91.2</v>
      </c>
      <c r="Q4091" s="12" t="s">
        <v>215</v>
      </c>
    </row>
    <row r="4092" spans="1:17" x14ac:dyDescent="0.3">
      <c r="A4092" s="12" t="s">
        <v>96</v>
      </c>
      <c r="B4092" s="12" t="s">
        <v>201</v>
      </c>
      <c r="C4092" s="12" t="s">
        <v>123</v>
      </c>
      <c r="D4092" s="12" t="s">
        <v>209</v>
      </c>
      <c r="E4092" s="12" t="s">
        <v>110</v>
      </c>
      <c r="F4092" s="12" t="s">
        <v>114</v>
      </c>
      <c r="G4092" s="12" t="s">
        <v>43</v>
      </c>
      <c r="H4092" s="12" t="s">
        <v>902</v>
      </c>
      <c r="I4092" s="12">
        <v>150</v>
      </c>
      <c r="J4092" s="12">
        <v>70.150000000000006</v>
      </c>
      <c r="K4092" s="12">
        <v>69.95</v>
      </c>
      <c r="L4092" s="12">
        <v>-10522.5</v>
      </c>
      <c r="M4092" s="12">
        <v>0</v>
      </c>
      <c r="N4092" s="12">
        <v>10522.5</v>
      </c>
      <c r="O4092" s="12">
        <v>0</v>
      </c>
      <c r="P4092" s="12">
        <v>-30</v>
      </c>
      <c r="Q4092" s="12" t="s">
        <v>215</v>
      </c>
    </row>
    <row r="4093" spans="1:17" x14ac:dyDescent="0.3">
      <c r="A4093" s="12" t="s">
        <v>96</v>
      </c>
      <c r="B4093" s="12" t="s">
        <v>201</v>
      </c>
      <c r="C4093" s="12" t="s">
        <v>123</v>
      </c>
      <c r="D4093" s="12" t="s">
        <v>209</v>
      </c>
      <c r="E4093" s="12" t="s">
        <v>110</v>
      </c>
      <c r="F4093" s="12" t="s">
        <v>114</v>
      </c>
      <c r="G4093" s="12" t="s">
        <v>43</v>
      </c>
      <c r="H4093" s="12" t="s">
        <v>1084</v>
      </c>
      <c r="I4093" s="12">
        <v>100</v>
      </c>
      <c r="J4093" s="12">
        <v>73.06</v>
      </c>
      <c r="K4093" s="12">
        <v>73.28</v>
      </c>
      <c r="L4093" s="12">
        <v>-7306</v>
      </c>
      <c r="M4093" s="12">
        <v>0</v>
      </c>
      <c r="N4093" s="12">
        <v>7306</v>
      </c>
      <c r="O4093" s="12">
        <v>0</v>
      </c>
      <c r="P4093" s="12">
        <v>22</v>
      </c>
      <c r="Q4093" s="12" t="s">
        <v>215</v>
      </c>
    </row>
    <row r="4094" spans="1:17" x14ac:dyDescent="0.3">
      <c r="A4094" s="12" t="s">
        <v>96</v>
      </c>
      <c r="B4094" s="12" t="s">
        <v>201</v>
      </c>
      <c r="C4094" s="12" t="s">
        <v>213</v>
      </c>
      <c r="E4094" s="12" t="s">
        <v>110</v>
      </c>
      <c r="F4094" s="12" t="s">
        <v>114</v>
      </c>
      <c r="G4094" s="12" t="s">
        <v>43</v>
      </c>
      <c r="I4094" s="12">
        <v>330</v>
      </c>
      <c r="L4094" s="12">
        <v>-22716.5</v>
      </c>
      <c r="M4094" s="12">
        <v>-1.3</v>
      </c>
      <c r="N4094" s="12">
        <v>22717.8</v>
      </c>
      <c r="O4094" s="12">
        <v>0</v>
      </c>
      <c r="P4094" s="12">
        <v>-99.2</v>
      </c>
    </row>
    <row r="4095" spans="1:17" x14ac:dyDescent="0.3">
      <c r="A4095" s="12" t="s">
        <v>96</v>
      </c>
      <c r="B4095" s="12" t="s">
        <v>201</v>
      </c>
      <c r="C4095" s="12" t="s">
        <v>123</v>
      </c>
      <c r="D4095" s="12" t="s">
        <v>209</v>
      </c>
      <c r="E4095" s="12" t="s">
        <v>110</v>
      </c>
      <c r="F4095" s="12" t="s">
        <v>114</v>
      </c>
      <c r="G4095" s="12" t="s">
        <v>44</v>
      </c>
      <c r="H4095" s="12" t="s">
        <v>592</v>
      </c>
      <c r="I4095" s="12">
        <v>30</v>
      </c>
      <c r="J4095" s="12">
        <v>145.11000000000001</v>
      </c>
      <c r="K4095" s="12">
        <v>145.15</v>
      </c>
      <c r="L4095" s="12">
        <v>-4353.3</v>
      </c>
      <c r="M4095" s="12">
        <v>-1.3</v>
      </c>
      <c r="N4095" s="12">
        <v>4354.6000000000004</v>
      </c>
      <c r="O4095" s="12">
        <v>0</v>
      </c>
      <c r="P4095" s="12">
        <v>1.2</v>
      </c>
      <c r="Q4095" s="12" t="s">
        <v>215</v>
      </c>
    </row>
    <row r="4096" spans="1:17" x14ac:dyDescent="0.3">
      <c r="A4096" s="12" t="s">
        <v>96</v>
      </c>
      <c r="B4096" s="12" t="s">
        <v>201</v>
      </c>
      <c r="C4096" s="12" t="s">
        <v>123</v>
      </c>
      <c r="D4096" s="12" t="s">
        <v>209</v>
      </c>
      <c r="E4096" s="12" t="s">
        <v>110</v>
      </c>
      <c r="F4096" s="12" t="s">
        <v>114</v>
      </c>
      <c r="G4096" s="12" t="s">
        <v>44</v>
      </c>
      <c r="H4096" s="12" t="s">
        <v>743</v>
      </c>
      <c r="I4096" s="12">
        <v>30</v>
      </c>
      <c r="J4096" s="12">
        <v>141.125</v>
      </c>
      <c r="K4096" s="12">
        <v>140.33000000000001</v>
      </c>
      <c r="L4096" s="12">
        <v>-4233.75</v>
      </c>
      <c r="M4096" s="12">
        <v>-1.3</v>
      </c>
      <c r="N4096" s="12">
        <v>4235.05</v>
      </c>
      <c r="O4096" s="12">
        <v>0</v>
      </c>
      <c r="P4096" s="12">
        <v>-23.85</v>
      </c>
      <c r="Q4096" s="12" t="s">
        <v>215</v>
      </c>
    </row>
    <row r="4097" spans="1:17" x14ac:dyDescent="0.3">
      <c r="A4097" s="12" t="s">
        <v>96</v>
      </c>
      <c r="B4097" s="12" t="s">
        <v>201</v>
      </c>
      <c r="C4097" s="12" t="s">
        <v>213</v>
      </c>
      <c r="E4097" s="12" t="s">
        <v>110</v>
      </c>
      <c r="F4097" s="12" t="s">
        <v>114</v>
      </c>
      <c r="G4097" s="12" t="s">
        <v>44</v>
      </c>
      <c r="I4097" s="12">
        <v>60</v>
      </c>
      <c r="L4097" s="12">
        <v>-8587.0499999999993</v>
      </c>
      <c r="M4097" s="12">
        <v>-2.6</v>
      </c>
      <c r="N4097" s="12">
        <v>8589.65</v>
      </c>
      <c r="O4097" s="12">
        <v>0</v>
      </c>
      <c r="P4097" s="12">
        <v>-22.65</v>
      </c>
    </row>
    <row r="4098" spans="1:17" x14ac:dyDescent="0.3">
      <c r="A4098" s="12" t="s">
        <v>96</v>
      </c>
      <c r="B4098" s="12" t="s">
        <v>201</v>
      </c>
      <c r="C4098" s="12" t="s">
        <v>123</v>
      </c>
      <c r="D4098" s="12" t="s">
        <v>209</v>
      </c>
      <c r="E4098" s="12" t="s">
        <v>110</v>
      </c>
      <c r="F4098" s="12" t="s">
        <v>114</v>
      </c>
      <c r="G4098" s="12" t="s">
        <v>84</v>
      </c>
      <c r="H4098" s="12" t="s">
        <v>1028</v>
      </c>
      <c r="I4098" s="12">
        <v>90</v>
      </c>
      <c r="J4098" s="12">
        <v>185.51</v>
      </c>
      <c r="K4098" s="12">
        <v>181.3</v>
      </c>
      <c r="L4098" s="12">
        <v>-16695.900000000001</v>
      </c>
      <c r="M4098" s="12">
        <v>0</v>
      </c>
      <c r="N4098" s="12">
        <v>16695.900000000001</v>
      </c>
      <c r="O4098" s="12">
        <v>0</v>
      </c>
      <c r="P4098" s="12">
        <v>-378.9</v>
      </c>
      <c r="Q4098" s="12" t="s">
        <v>211</v>
      </c>
    </row>
    <row r="4099" spans="1:17" x14ac:dyDescent="0.3">
      <c r="A4099" s="12" t="s">
        <v>96</v>
      </c>
      <c r="B4099" s="12" t="s">
        <v>201</v>
      </c>
      <c r="C4099" s="12" t="s">
        <v>213</v>
      </c>
      <c r="E4099" s="12" t="s">
        <v>110</v>
      </c>
      <c r="F4099" s="12" t="s">
        <v>114</v>
      </c>
      <c r="G4099" s="12" t="s">
        <v>84</v>
      </c>
      <c r="I4099" s="12">
        <v>90</v>
      </c>
      <c r="L4099" s="12">
        <v>-16695.900000000001</v>
      </c>
      <c r="M4099" s="12">
        <v>0</v>
      </c>
      <c r="N4099" s="12">
        <v>16695.900000000001</v>
      </c>
      <c r="O4099" s="12">
        <v>0</v>
      </c>
      <c r="P4099" s="12">
        <v>-378.9</v>
      </c>
    </row>
    <row r="4100" spans="1:17" x14ac:dyDescent="0.3">
      <c r="A4100" s="12" t="s">
        <v>96</v>
      </c>
      <c r="B4100" s="12" t="s">
        <v>201</v>
      </c>
      <c r="C4100" s="12" t="s">
        <v>123</v>
      </c>
      <c r="D4100" s="12" t="s">
        <v>209</v>
      </c>
      <c r="E4100" s="12" t="s">
        <v>110</v>
      </c>
      <c r="F4100" s="12" t="s">
        <v>114</v>
      </c>
      <c r="G4100" s="12" t="s">
        <v>35</v>
      </c>
      <c r="H4100" s="12" t="s">
        <v>256</v>
      </c>
      <c r="I4100" s="12">
        <v>24</v>
      </c>
      <c r="J4100" s="12">
        <v>103.51</v>
      </c>
      <c r="K4100" s="12">
        <v>102.32</v>
      </c>
      <c r="L4100" s="12">
        <v>-2484.2399999999998</v>
      </c>
      <c r="M4100" s="12">
        <v>-1.3</v>
      </c>
      <c r="N4100" s="12">
        <v>2485.54</v>
      </c>
      <c r="O4100" s="12">
        <v>0</v>
      </c>
      <c r="P4100" s="12">
        <v>-28.56</v>
      </c>
      <c r="Q4100" s="12" t="s">
        <v>215</v>
      </c>
    </row>
    <row r="4101" spans="1:17" x14ac:dyDescent="0.3">
      <c r="A4101" s="12" t="s">
        <v>96</v>
      </c>
      <c r="B4101" s="12" t="s">
        <v>201</v>
      </c>
      <c r="C4101" s="12" t="s">
        <v>123</v>
      </c>
      <c r="D4101" s="12" t="s">
        <v>209</v>
      </c>
      <c r="E4101" s="12" t="s">
        <v>110</v>
      </c>
      <c r="F4101" s="12" t="s">
        <v>114</v>
      </c>
      <c r="G4101" s="12" t="s">
        <v>35</v>
      </c>
      <c r="H4101" s="12" t="s">
        <v>593</v>
      </c>
      <c r="I4101" s="12">
        <v>-24</v>
      </c>
      <c r="J4101" s="12">
        <v>101.97</v>
      </c>
      <c r="K4101" s="12">
        <v>101.97</v>
      </c>
      <c r="L4101" s="12">
        <v>2447.2800000000002</v>
      </c>
      <c r="M4101" s="12">
        <v>-1.3</v>
      </c>
      <c r="N4101" s="12">
        <v>-2485.54</v>
      </c>
      <c r="O4101" s="12">
        <v>-39.56</v>
      </c>
      <c r="P4101" s="12">
        <v>0</v>
      </c>
      <c r="Q4101" s="12" t="s">
        <v>3</v>
      </c>
    </row>
    <row r="4102" spans="1:17" x14ac:dyDescent="0.3">
      <c r="A4102" s="12" t="s">
        <v>96</v>
      </c>
      <c r="B4102" s="12" t="s">
        <v>201</v>
      </c>
      <c r="C4102" s="12" t="s">
        <v>123</v>
      </c>
      <c r="D4102" s="12" t="s">
        <v>209</v>
      </c>
      <c r="E4102" s="12" t="s">
        <v>110</v>
      </c>
      <c r="F4102" s="12" t="s">
        <v>114</v>
      </c>
      <c r="G4102" s="12" t="s">
        <v>35</v>
      </c>
      <c r="H4102" s="12" t="s">
        <v>594</v>
      </c>
      <c r="I4102" s="12">
        <v>100</v>
      </c>
      <c r="J4102" s="12">
        <v>102.51</v>
      </c>
      <c r="K4102" s="12">
        <v>101.77</v>
      </c>
      <c r="L4102" s="12">
        <v>-10251</v>
      </c>
      <c r="M4102" s="12">
        <v>-1.3</v>
      </c>
      <c r="N4102" s="12">
        <v>10252.299999999999</v>
      </c>
      <c r="O4102" s="12">
        <v>0</v>
      </c>
      <c r="P4102" s="12">
        <v>-74</v>
      </c>
      <c r="Q4102" s="12" t="s">
        <v>215</v>
      </c>
    </row>
    <row r="4103" spans="1:17" x14ac:dyDescent="0.3">
      <c r="A4103" s="12" t="s">
        <v>96</v>
      </c>
      <c r="B4103" s="12" t="s">
        <v>201</v>
      </c>
      <c r="C4103" s="12" t="s">
        <v>123</v>
      </c>
      <c r="D4103" s="12" t="s">
        <v>209</v>
      </c>
      <c r="E4103" s="12" t="s">
        <v>110</v>
      </c>
      <c r="F4103" s="12" t="s">
        <v>114</v>
      </c>
      <c r="G4103" s="12" t="s">
        <v>35</v>
      </c>
      <c r="H4103" s="12" t="s">
        <v>744</v>
      </c>
      <c r="I4103" s="12">
        <v>-100</v>
      </c>
      <c r="J4103" s="12">
        <v>117.3</v>
      </c>
      <c r="K4103" s="12">
        <v>117.96</v>
      </c>
      <c r="L4103" s="12">
        <v>11730</v>
      </c>
      <c r="M4103" s="12">
        <v>-1.3</v>
      </c>
      <c r="N4103" s="12">
        <v>-10252.299999999999</v>
      </c>
      <c r="O4103" s="12">
        <v>1476.4</v>
      </c>
      <c r="P4103" s="12">
        <v>-66</v>
      </c>
      <c r="Q4103" s="12" t="s">
        <v>3</v>
      </c>
    </row>
    <row r="4104" spans="1:17" x14ac:dyDescent="0.3">
      <c r="A4104" s="12" t="s">
        <v>96</v>
      </c>
      <c r="B4104" s="12" t="s">
        <v>201</v>
      </c>
      <c r="C4104" s="12" t="s">
        <v>123</v>
      </c>
      <c r="D4104" s="12" t="s">
        <v>209</v>
      </c>
      <c r="E4104" s="12" t="s">
        <v>110</v>
      </c>
      <c r="F4104" s="12" t="s">
        <v>114</v>
      </c>
      <c r="G4104" s="12" t="s">
        <v>35</v>
      </c>
      <c r="H4104" s="12" t="s">
        <v>814</v>
      </c>
      <c r="I4104" s="12">
        <v>100</v>
      </c>
      <c r="J4104" s="12">
        <v>118.5</v>
      </c>
      <c r="K4104" s="12">
        <v>117.96</v>
      </c>
      <c r="L4104" s="12">
        <v>-11850</v>
      </c>
      <c r="M4104" s="12">
        <v>0</v>
      </c>
      <c r="N4104" s="12">
        <v>11850</v>
      </c>
      <c r="O4104" s="12">
        <v>0</v>
      </c>
      <c r="P4104" s="12">
        <v>-54</v>
      </c>
      <c r="Q4104" s="12" t="s">
        <v>211</v>
      </c>
    </row>
    <row r="4105" spans="1:17" x14ac:dyDescent="0.3">
      <c r="A4105" s="12" t="s">
        <v>96</v>
      </c>
      <c r="B4105" s="12" t="s">
        <v>201</v>
      </c>
      <c r="C4105" s="12" t="s">
        <v>123</v>
      </c>
      <c r="D4105" s="12" t="s">
        <v>209</v>
      </c>
      <c r="E4105" s="12" t="s">
        <v>110</v>
      </c>
      <c r="F4105" s="12" t="s">
        <v>114</v>
      </c>
      <c r="G4105" s="12" t="s">
        <v>35</v>
      </c>
      <c r="H4105" s="12" t="s">
        <v>903</v>
      </c>
      <c r="I4105" s="12">
        <v>-50</v>
      </c>
      <c r="J4105" s="12">
        <v>108.91</v>
      </c>
      <c r="K4105" s="12">
        <v>108.36</v>
      </c>
      <c r="L4105" s="12">
        <v>5445.5</v>
      </c>
      <c r="M4105" s="12">
        <v>0</v>
      </c>
      <c r="N4105" s="12">
        <v>-5925</v>
      </c>
      <c r="O4105" s="12">
        <v>-479.5</v>
      </c>
      <c r="P4105" s="12">
        <v>27.5</v>
      </c>
      <c r="Q4105" s="12" t="s">
        <v>3</v>
      </c>
    </row>
    <row r="4106" spans="1:17" x14ac:dyDescent="0.3">
      <c r="A4106" s="12" t="s">
        <v>96</v>
      </c>
      <c r="B4106" s="12" t="s">
        <v>201</v>
      </c>
      <c r="C4106" s="12" t="s">
        <v>123</v>
      </c>
      <c r="D4106" s="12" t="s">
        <v>209</v>
      </c>
      <c r="E4106" s="12" t="s">
        <v>110</v>
      </c>
      <c r="F4106" s="12" t="s">
        <v>114</v>
      </c>
      <c r="G4106" s="12" t="s">
        <v>35</v>
      </c>
      <c r="H4106" s="12" t="s">
        <v>1029</v>
      </c>
      <c r="I4106" s="12">
        <v>-50</v>
      </c>
      <c r="J4106" s="12">
        <v>117.75</v>
      </c>
      <c r="K4106" s="12">
        <v>117.64</v>
      </c>
      <c r="L4106" s="12">
        <v>5887.5</v>
      </c>
      <c r="M4106" s="12">
        <v>0</v>
      </c>
      <c r="N4106" s="12">
        <v>-5925</v>
      </c>
      <c r="O4106" s="12">
        <v>-37.5</v>
      </c>
      <c r="P4106" s="12">
        <v>5.5</v>
      </c>
      <c r="Q4106" s="12" t="s">
        <v>3</v>
      </c>
    </row>
    <row r="4107" spans="1:17" x14ac:dyDescent="0.3">
      <c r="A4107" s="12" t="s">
        <v>96</v>
      </c>
      <c r="B4107" s="12" t="s">
        <v>201</v>
      </c>
      <c r="C4107" s="12" t="s">
        <v>213</v>
      </c>
      <c r="E4107" s="12" t="s">
        <v>110</v>
      </c>
      <c r="F4107" s="12" t="s">
        <v>114</v>
      </c>
      <c r="G4107" s="12" t="s">
        <v>35</v>
      </c>
      <c r="I4107" s="12">
        <v>0</v>
      </c>
      <c r="L4107" s="12">
        <v>925.04</v>
      </c>
      <c r="M4107" s="12">
        <v>-5.2</v>
      </c>
      <c r="N4107" s="12">
        <v>0</v>
      </c>
      <c r="O4107" s="12">
        <v>919.84</v>
      </c>
      <c r="P4107" s="12">
        <v>-189.56</v>
      </c>
    </row>
    <row r="4108" spans="1:17" x14ac:dyDescent="0.3">
      <c r="A4108" s="12" t="s">
        <v>96</v>
      </c>
      <c r="B4108" s="12" t="s">
        <v>201</v>
      </c>
      <c r="C4108" s="12" t="s">
        <v>97</v>
      </c>
      <c r="E4108" s="12" t="s">
        <v>110</v>
      </c>
      <c r="F4108" s="12" t="s">
        <v>114</v>
      </c>
      <c r="L4108" s="12">
        <v>-487721.83187499997</v>
      </c>
      <c r="M4108" s="12">
        <v>-194.81700000000001</v>
      </c>
      <c r="N4108" s="12">
        <v>527921.62278500001</v>
      </c>
      <c r="O4108" s="12">
        <v>22896.973910000001</v>
      </c>
      <c r="P4108" s="12">
        <v>-513.71190000000001</v>
      </c>
      <c r="Q4108" s="12" t="s">
        <v>257</v>
      </c>
    </row>
    <row r="4109" spans="1:17" x14ac:dyDescent="0.3">
      <c r="A4109" s="12" t="s">
        <v>96</v>
      </c>
      <c r="B4109" s="12" t="s">
        <v>201</v>
      </c>
      <c r="C4109" s="12" t="s">
        <v>120</v>
      </c>
      <c r="D4109" s="12" t="s">
        <v>192</v>
      </c>
      <c r="E4109" s="12" t="s">
        <v>100</v>
      </c>
      <c r="F4109" s="12" t="s">
        <v>181</v>
      </c>
      <c r="G4109" s="12" t="s">
        <v>0</v>
      </c>
      <c r="H4109" s="12" t="s">
        <v>202</v>
      </c>
      <c r="I4109" s="12" t="s">
        <v>193</v>
      </c>
      <c r="J4109" s="12" t="s">
        <v>203</v>
      </c>
      <c r="K4109" s="12" t="s">
        <v>204</v>
      </c>
      <c r="L4109" s="12" t="s">
        <v>258</v>
      </c>
      <c r="M4109" s="12" t="s">
        <v>206</v>
      </c>
      <c r="N4109" s="12" t="s">
        <v>1</v>
      </c>
      <c r="O4109" s="12" t="s">
        <v>207</v>
      </c>
      <c r="P4109" s="12" t="s">
        <v>208</v>
      </c>
      <c r="Q4109" s="12" t="s">
        <v>165</v>
      </c>
    </row>
    <row r="4110" spans="1:17" x14ac:dyDescent="0.3">
      <c r="A4110" s="12" t="s">
        <v>96</v>
      </c>
      <c r="B4110" s="12" t="s">
        <v>201</v>
      </c>
      <c r="C4110" s="12" t="s">
        <v>123</v>
      </c>
      <c r="D4110" s="12" t="s">
        <v>209</v>
      </c>
      <c r="E4110" s="12" t="s">
        <v>112</v>
      </c>
      <c r="F4110" s="12" t="s">
        <v>114</v>
      </c>
      <c r="G4110" s="12" t="s">
        <v>36</v>
      </c>
      <c r="H4110" s="12" t="s">
        <v>259</v>
      </c>
      <c r="I4110" s="12">
        <v>-1</v>
      </c>
      <c r="J4110" s="12">
        <v>4756.75</v>
      </c>
      <c r="K4110" s="12">
        <v>4746.5</v>
      </c>
      <c r="L4110" s="12">
        <v>23783.75</v>
      </c>
      <c r="M4110" s="12">
        <v>-3</v>
      </c>
      <c r="N4110" s="12">
        <v>-23780.75</v>
      </c>
      <c r="O4110" s="12">
        <v>0</v>
      </c>
      <c r="P4110" s="12">
        <v>51.25</v>
      </c>
      <c r="Q4110" s="12" t="s">
        <v>215</v>
      </c>
    </row>
    <row r="4111" spans="1:17" x14ac:dyDescent="0.3">
      <c r="A4111" s="12" t="s">
        <v>96</v>
      </c>
      <c r="B4111" s="12" t="s">
        <v>201</v>
      </c>
      <c r="C4111" s="12" t="s">
        <v>123</v>
      </c>
      <c r="D4111" s="12" t="s">
        <v>209</v>
      </c>
      <c r="E4111" s="12" t="s">
        <v>112</v>
      </c>
      <c r="F4111" s="12" t="s">
        <v>114</v>
      </c>
      <c r="G4111" s="12" t="s">
        <v>36</v>
      </c>
      <c r="H4111" s="12" t="s">
        <v>260</v>
      </c>
      <c r="I4111" s="12">
        <v>-1</v>
      </c>
      <c r="J4111" s="12">
        <v>4746.25</v>
      </c>
      <c r="K4111" s="12">
        <v>4746.5</v>
      </c>
      <c r="L4111" s="12">
        <v>23731.25</v>
      </c>
      <c r="M4111" s="12">
        <v>-3</v>
      </c>
      <c r="N4111" s="12">
        <v>-23728.25</v>
      </c>
      <c r="O4111" s="12">
        <v>0</v>
      </c>
      <c r="P4111" s="12">
        <v>-1.25</v>
      </c>
      <c r="Q4111" s="12" t="s">
        <v>215</v>
      </c>
    </row>
    <row r="4112" spans="1:17" x14ac:dyDescent="0.3">
      <c r="A4112" s="12" t="s">
        <v>96</v>
      </c>
      <c r="B4112" s="12" t="s">
        <v>201</v>
      </c>
      <c r="C4112" s="12" t="s">
        <v>123</v>
      </c>
      <c r="D4112" s="12" t="s">
        <v>209</v>
      </c>
      <c r="E4112" s="12" t="s">
        <v>112</v>
      </c>
      <c r="F4112" s="12" t="s">
        <v>114</v>
      </c>
      <c r="G4112" s="12" t="s">
        <v>36</v>
      </c>
      <c r="H4112" s="12" t="s">
        <v>261</v>
      </c>
      <c r="I4112" s="12">
        <v>-1</v>
      </c>
      <c r="J4112" s="12">
        <v>4748.25</v>
      </c>
      <c r="K4112" s="12">
        <v>4729.5</v>
      </c>
      <c r="L4112" s="12">
        <v>23741.25</v>
      </c>
      <c r="M4112" s="12">
        <v>-3</v>
      </c>
      <c r="N4112" s="12">
        <v>-23738.25</v>
      </c>
      <c r="O4112" s="12">
        <v>0</v>
      </c>
      <c r="P4112" s="12">
        <v>93.75</v>
      </c>
      <c r="Q4112" s="12" t="s">
        <v>215</v>
      </c>
    </row>
    <row r="4113" spans="1:17" x14ac:dyDescent="0.3">
      <c r="A4113" s="12" t="s">
        <v>96</v>
      </c>
      <c r="B4113" s="12" t="s">
        <v>201</v>
      </c>
      <c r="C4113" s="12" t="s">
        <v>123</v>
      </c>
      <c r="D4113" s="12" t="s">
        <v>209</v>
      </c>
      <c r="E4113" s="12" t="s">
        <v>112</v>
      </c>
      <c r="F4113" s="12" t="s">
        <v>114</v>
      </c>
      <c r="G4113" s="12" t="s">
        <v>36</v>
      </c>
      <c r="H4113" s="12" t="s">
        <v>262</v>
      </c>
      <c r="I4113" s="12">
        <v>-1</v>
      </c>
      <c r="J4113" s="12">
        <v>4745.5</v>
      </c>
      <c r="K4113" s="12">
        <v>4729.5</v>
      </c>
      <c r="L4113" s="12">
        <v>23727.5</v>
      </c>
      <c r="M4113" s="12">
        <v>-3</v>
      </c>
      <c r="N4113" s="12">
        <v>-23724.5</v>
      </c>
      <c r="O4113" s="12">
        <v>0</v>
      </c>
      <c r="P4113" s="12">
        <v>80</v>
      </c>
      <c r="Q4113" s="12" t="s">
        <v>215</v>
      </c>
    </row>
    <row r="4114" spans="1:17" x14ac:dyDescent="0.3">
      <c r="A4114" s="12" t="s">
        <v>96</v>
      </c>
      <c r="B4114" s="12" t="s">
        <v>201</v>
      </c>
      <c r="C4114" s="12" t="s">
        <v>123</v>
      </c>
      <c r="D4114" s="12" t="s">
        <v>209</v>
      </c>
      <c r="E4114" s="12" t="s">
        <v>112</v>
      </c>
      <c r="F4114" s="12" t="s">
        <v>114</v>
      </c>
      <c r="G4114" s="12" t="s">
        <v>36</v>
      </c>
      <c r="H4114" s="12" t="s">
        <v>263</v>
      </c>
      <c r="I4114" s="12">
        <v>-2</v>
      </c>
      <c r="J4114" s="12">
        <v>4757.5</v>
      </c>
      <c r="K4114" s="12">
        <v>4729.5</v>
      </c>
      <c r="L4114" s="12">
        <v>47575</v>
      </c>
      <c r="M4114" s="12">
        <v>-6</v>
      </c>
      <c r="N4114" s="12">
        <v>-47569</v>
      </c>
      <c r="O4114" s="12">
        <v>0</v>
      </c>
      <c r="P4114" s="12">
        <v>280</v>
      </c>
      <c r="Q4114" s="12" t="s">
        <v>215</v>
      </c>
    </row>
    <row r="4115" spans="1:17" x14ac:dyDescent="0.3">
      <c r="A4115" s="12" t="s">
        <v>96</v>
      </c>
      <c r="B4115" s="12" t="s">
        <v>201</v>
      </c>
      <c r="C4115" s="12" t="s">
        <v>123</v>
      </c>
      <c r="D4115" s="12" t="s">
        <v>209</v>
      </c>
      <c r="E4115" s="12" t="s">
        <v>112</v>
      </c>
      <c r="F4115" s="12" t="s">
        <v>114</v>
      </c>
      <c r="G4115" s="12" t="s">
        <v>36</v>
      </c>
      <c r="H4115" s="12" t="s">
        <v>264</v>
      </c>
      <c r="I4115" s="12">
        <v>-1</v>
      </c>
      <c r="J4115" s="12">
        <v>4742</v>
      </c>
      <c r="K4115" s="12">
        <v>4729.5</v>
      </c>
      <c r="L4115" s="12">
        <v>23710</v>
      </c>
      <c r="M4115" s="12">
        <v>-3</v>
      </c>
      <c r="N4115" s="12">
        <v>-23707</v>
      </c>
      <c r="O4115" s="12">
        <v>0</v>
      </c>
      <c r="P4115" s="12">
        <v>62.5</v>
      </c>
      <c r="Q4115" s="12" t="s">
        <v>215</v>
      </c>
    </row>
    <row r="4116" spans="1:17" x14ac:dyDescent="0.3">
      <c r="A4116" s="12" t="s">
        <v>96</v>
      </c>
      <c r="B4116" s="12" t="s">
        <v>201</v>
      </c>
      <c r="C4116" s="12" t="s">
        <v>123</v>
      </c>
      <c r="D4116" s="12" t="s">
        <v>209</v>
      </c>
      <c r="E4116" s="12" t="s">
        <v>112</v>
      </c>
      <c r="F4116" s="12" t="s">
        <v>114</v>
      </c>
      <c r="G4116" s="12" t="s">
        <v>36</v>
      </c>
      <c r="H4116" s="12" t="s">
        <v>265</v>
      </c>
      <c r="I4116" s="12">
        <v>-1</v>
      </c>
      <c r="J4116" s="12">
        <v>4797.5</v>
      </c>
      <c r="K4116" s="12">
        <v>4792.75</v>
      </c>
      <c r="L4116" s="12">
        <v>23987.5</v>
      </c>
      <c r="M4116" s="12">
        <v>-3</v>
      </c>
      <c r="N4116" s="12">
        <v>-23984.5</v>
      </c>
      <c r="O4116" s="12">
        <v>0</v>
      </c>
      <c r="P4116" s="12">
        <v>23.75</v>
      </c>
      <c r="Q4116" s="12" t="s">
        <v>215</v>
      </c>
    </row>
    <row r="4117" spans="1:17" x14ac:dyDescent="0.3">
      <c r="A4117" s="12" t="s">
        <v>96</v>
      </c>
      <c r="B4117" s="12" t="s">
        <v>201</v>
      </c>
      <c r="C4117" s="12" t="s">
        <v>123</v>
      </c>
      <c r="D4117" s="12" t="s">
        <v>209</v>
      </c>
      <c r="E4117" s="12" t="s">
        <v>112</v>
      </c>
      <c r="F4117" s="12" t="s">
        <v>114</v>
      </c>
      <c r="G4117" s="12" t="s">
        <v>36</v>
      </c>
      <c r="H4117" s="12" t="s">
        <v>595</v>
      </c>
      <c r="I4117" s="12">
        <v>1</v>
      </c>
      <c r="J4117" s="12">
        <v>5012.5</v>
      </c>
      <c r="K4117" s="12">
        <v>4996.25</v>
      </c>
      <c r="L4117" s="12">
        <v>-25062.5</v>
      </c>
      <c r="M4117" s="12">
        <v>-3</v>
      </c>
      <c r="N4117" s="12">
        <v>23780.75</v>
      </c>
      <c r="O4117" s="12">
        <v>-1284.75</v>
      </c>
      <c r="P4117" s="12">
        <v>-81.25</v>
      </c>
      <c r="Q4117" s="12" t="s">
        <v>3</v>
      </c>
    </row>
    <row r="4118" spans="1:17" x14ac:dyDescent="0.3">
      <c r="A4118" s="12" t="s">
        <v>96</v>
      </c>
      <c r="B4118" s="12" t="s">
        <v>201</v>
      </c>
      <c r="C4118" s="12" t="s">
        <v>123</v>
      </c>
      <c r="D4118" s="12" t="s">
        <v>209</v>
      </c>
      <c r="E4118" s="12" t="s">
        <v>112</v>
      </c>
      <c r="F4118" s="12" t="s">
        <v>114</v>
      </c>
      <c r="G4118" s="12" t="s">
        <v>36</v>
      </c>
      <c r="H4118" s="12" t="s">
        <v>596</v>
      </c>
      <c r="I4118" s="12">
        <v>-1</v>
      </c>
      <c r="J4118" s="12">
        <v>5103</v>
      </c>
      <c r="K4118" s="12">
        <v>5101.5</v>
      </c>
      <c r="L4118" s="12">
        <v>25515</v>
      </c>
      <c r="M4118" s="12">
        <v>-3</v>
      </c>
      <c r="N4118" s="12">
        <v>-25512</v>
      </c>
      <c r="O4118" s="12">
        <v>0</v>
      </c>
      <c r="P4118" s="12">
        <v>7.5</v>
      </c>
      <c r="Q4118" s="12" t="s">
        <v>215</v>
      </c>
    </row>
    <row r="4119" spans="1:17" x14ac:dyDescent="0.3">
      <c r="A4119" s="12" t="s">
        <v>96</v>
      </c>
      <c r="B4119" s="12" t="s">
        <v>201</v>
      </c>
      <c r="C4119" s="12" t="s">
        <v>123</v>
      </c>
      <c r="D4119" s="12" t="s">
        <v>209</v>
      </c>
      <c r="E4119" s="12" t="s">
        <v>112</v>
      </c>
      <c r="F4119" s="12" t="s">
        <v>114</v>
      </c>
      <c r="G4119" s="12" t="s">
        <v>36</v>
      </c>
      <c r="H4119" s="12" t="s">
        <v>660</v>
      </c>
      <c r="I4119" s="12">
        <v>2</v>
      </c>
      <c r="J4119" s="12">
        <v>5144.75</v>
      </c>
      <c r="K4119" s="12">
        <v>5138.25</v>
      </c>
      <c r="L4119" s="12">
        <v>-51447.5</v>
      </c>
      <c r="M4119" s="12">
        <v>-6</v>
      </c>
      <c r="N4119" s="12">
        <v>47466.5</v>
      </c>
      <c r="O4119" s="12">
        <v>-3987</v>
      </c>
      <c r="P4119" s="12">
        <v>-65</v>
      </c>
      <c r="Q4119" s="12" t="s">
        <v>230</v>
      </c>
    </row>
    <row r="4120" spans="1:17" x14ac:dyDescent="0.3">
      <c r="A4120" s="12" t="s">
        <v>96</v>
      </c>
      <c r="B4120" s="12" t="s">
        <v>201</v>
      </c>
      <c r="C4120" s="12" t="s">
        <v>123</v>
      </c>
      <c r="D4120" s="12" t="s">
        <v>209</v>
      </c>
      <c r="E4120" s="12" t="s">
        <v>112</v>
      </c>
      <c r="F4120" s="12" t="s">
        <v>114</v>
      </c>
      <c r="G4120" s="12" t="s">
        <v>36</v>
      </c>
      <c r="H4120" s="12" t="s">
        <v>661</v>
      </c>
      <c r="I4120" s="12">
        <v>3</v>
      </c>
      <c r="J4120" s="12">
        <v>5088.75</v>
      </c>
      <c r="K4120" s="12">
        <v>5085.75</v>
      </c>
      <c r="L4120" s="12">
        <v>-76331.25</v>
      </c>
      <c r="M4120" s="12">
        <v>-9</v>
      </c>
      <c r="N4120" s="12">
        <v>71293.5</v>
      </c>
      <c r="O4120" s="12">
        <v>-5046.75</v>
      </c>
      <c r="P4120" s="12">
        <v>-45</v>
      </c>
      <c r="Q4120" s="12" t="s">
        <v>230</v>
      </c>
    </row>
    <row r="4121" spans="1:17" x14ac:dyDescent="0.3">
      <c r="A4121" s="12" t="s">
        <v>96</v>
      </c>
      <c r="B4121" s="12" t="s">
        <v>201</v>
      </c>
      <c r="C4121" s="12" t="s">
        <v>123</v>
      </c>
      <c r="D4121" s="12" t="s">
        <v>209</v>
      </c>
      <c r="E4121" s="12" t="s">
        <v>112</v>
      </c>
      <c r="F4121" s="12" t="s">
        <v>114</v>
      </c>
      <c r="G4121" s="12" t="s">
        <v>36</v>
      </c>
      <c r="H4121" s="12" t="s">
        <v>662</v>
      </c>
      <c r="I4121" s="12">
        <v>3</v>
      </c>
      <c r="J4121" s="12">
        <v>5084</v>
      </c>
      <c r="K4121" s="12">
        <v>5085.75</v>
      </c>
      <c r="L4121" s="12">
        <v>-76260</v>
      </c>
      <c r="M4121" s="12">
        <v>-9</v>
      </c>
      <c r="N4121" s="12">
        <v>73203.5</v>
      </c>
      <c r="O4121" s="12">
        <v>-3065.5</v>
      </c>
      <c r="P4121" s="12">
        <v>26.25</v>
      </c>
      <c r="Q4121" s="12" t="s">
        <v>3</v>
      </c>
    </row>
    <row r="4122" spans="1:17" x14ac:dyDescent="0.3">
      <c r="A4122" s="12" t="s">
        <v>96</v>
      </c>
      <c r="B4122" s="12" t="s">
        <v>201</v>
      </c>
      <c r="C4122" s="12" t="s">
        <v>213</v>
      </c>
      <c r="E4122" s="12" t="s">
        <v>112</v>
      </c>
      <c r="F4122" s="12" t="s">
        <v>114</v>
      </c>
      <c r="G4122" s="12" t="s">
        <v>36</v>
      </c>
      <c r="I4122" s="12">
        <v>0</v>
      </c>
      <c r="L4122" s="12">
        <v>-13330</v>
      </c>
      <c r="M4122" s="12">
        <v>-54</v>
      </c>
      <c r="N4122" s="12">
        <v>0</v>
      </c>
      <c r="O4122" s="12">
        <v>-13384</v>
      </c>
      <c r="P4122" s="12">
        <v>432.5</v>
      </c>
    </row>
    <row r="4123" spans="1:17" x14ac:dyDescent="0.3">
      <c r="A4123" s="12" t="s">
        <v>96</v>
      </c>
      <c r="B4123" s="12" t="s">
        <v>201</v>
      </c>
      <c r="C4123" s="12" t="s">
        <v>123</v>
      </c>
      <c r="D4123" s="12" t="s">
        <v>209</v>
      </c>
      <c r="E4123" s="12" t="s">
        <v>112</v>
      </c>
      <c r="F4123" s="12" t="s">
        <v>114</v>
      </c>
      <c r="G4123" s="12" t="s">
        <v>52</v>
      </c>
      <c r="H4123" s="12" t="s">
        <v>663</v>
      </c>
      <c r="I4123" s="12">
        <v>-1</v>
      </c>
      <c r="J4123" s="12">
        <v>5208</v>
      </c>
      <c r="K4123" s="12">
        <v>5200.75</v>
      </c>
      <c r="L4123" s="12">
        <v>26040</v>
      </c>
      <c r="M4123" s="12">
        <v>-3</v>
      </c>
      <c r="N4123" s="12">
        <v>-26037</v>
      </c>
      <c r="O4123" s="12">
        <v>0</v>
      </c>
      <c r="P4123" s="12">
        <v>36.25</v>
      </c>
      <c r="Q4123" s="12" t="s">
        <v>215</v>
      </c>
    </row>
    <row r="4124" spans="1:17" x14ac:dyDescent="0.3">
      <c r="A4124" s="12" t="s">
        <v>96</v>
      </c>
      <c r="B4124" s="12" t="s">
        <v>201</v>
      </c>
      <c r="C4124" s="12" t="s">
        <v>123</v>
      </c>
      <c r="D4124" s="12" t="s">
        <v>209</v>
      </c>
      <c r="E4124" s="12" t="s">
        <v>112</v>
      </c>
      <c r="F4124" s="12" t="s">
        <v>114</v>
      </c>
      <c r="G4124" s="12" t="s">
        <v>52</v>
      </c>
      <c r="H4124" s="12" t="s">
        <v>664</v>
      </c>
      <c r="I4124" s="12">
        <v>-3</v>
      </c>
      <c r="J4124" s="12">
        <v>5156.1666666669998</v>
      </c>
      <c r="K4124" s="12">
        <v>5147.25</v>
      </c>
      <c r="L4124" s="12">
        <v>77342.5</v>
      </c>
      <c r="M4124" s="12">
        <v>-9</v>
      </c>
      <c r="N4124" s="12">
        <v>-77333.5</v>
      </c>
      <c r="O4124" s="12">
        <v>0</v>
      </c>
      <c r="P4124" s="12">
        <v>133.75</v>
      </c>
      <c r="Q4124" s="12" t="s">
        <v>211</v>
      </c>
    </row>
    <row r="4125" spans="1:17" x14ac:dyDescent="0.3">
      <c r="A4125" s="12" t="s">
        <v>96</v>
      </c>
      <c r="B4125" s="12" t="s">
        <v>201</v>
      </c>
      <c r="C4125" s="12" t="s">
        <v>123</v>
      </c>
      <c r="D4125" s="12" t="s">
        <v>209</v>
      </c>
      <c r="E4125" s="12" t="s">
        <v>112</v>
      </c>
      <c r="F4125" s="12" t="s">
        <v>114</v>
      </c>
      <c r="G4125" s="12" t="s">
        <v>52</v>
      </c>
      <c r="H4125" s="12" t="s">
        <v>665</v>
      </c>
      <c r="I4125" s="12">
        <v>-1</v>
      </c>
      <c r="J4125" s="12">
        <v>5129.25</v>
      </c>
      <c r="K4125" s="12">
        <v>5147.25</v>
      </c>
      <c r="L4125" s="12">
        <v>25646.25</v>
      </c>
      <c r="M4125" s="12">
        <v>-3</v>
      </c>
      <c r="N4125" s="12">
        <v>-25643.25</v>
      </c>
      <c r="O4125" s="12">
        <v>0</v>
      </c>
      <c r="P4125" s="12">
        <v>-90</v>
      </c>
      <c r="Q4125" s="12" t="s">
        <v>215</v>
      </c>
    </row>
    <row r="4126" spans="1:17" x14ac:dyDescent="0.3">
      <c r="A4126" s="12" t="s">
        <v>96</v>
      </c>
      <c r="B4126" s="12" t="s">
        <v>201</v>
      </c>
      <c r="C4126" s="12" t="s">
        <v>123</v>
      </c>
      <c r="D4126" s="12" t="s">
        <v>209</v>
      </c>
      <c r="E4126" s="12" t="s">
        <v>112</v>
      </c>
      <c r="F4126" s="12" t="s">
        <v>114</v>
      </c>
      <c r="G4126" s="12" t="s">
        <v>52</v>
      </c>
      <c r="H4126" s="12" t="s">
        <v>666</v>
      </c>
      <c r="I4126" s="12">
        <v>-2</v>
      </c>
      <c r="J4126" s="12">
        <v>5136.75</v>
      </c>
      <c r="K4126" s="12">
        <v>5147.25</v>
      </c>
      <c r="L4126" s="12">
        <v>51367.5</v>
      </c>
      <c r="M4126" s="12">
        <v>-6</v>
      </c>
      <c r="N4126" s="12">
        <v>-51361.5</v>
      </c>
      <c r="O4126" s="12">
        <v>0</v>
      </c>
      <c r="P4126" s="12">
        <v>-105</v>
      </c>
      <c r="Q4126" s="12" t="s">
        <v>215</v>
      </c>
    </row>
    <row r="4127" spans="1:17" x14ac:dyDescent="0.3">
      <c r="A4127" s="12" t="s">
        <v>96</v>
      </c>
      <c r="B4127" s="12" t="s">
        <v>201</v>
      </c>
      <c r="C4127" s="12" t="s">
        <v>123</v>
      </c>
      <c r="D4127" s="12" t="s">
        <v>209</v>
      </c>
      <c r="E4127" s="12" t="s">
        <v>112</v>
      </c>
      <c r="F4127" s="12" t="s">
        <v>114</v>
      </c>
      <c r="G4127" s="12" t="s">
        <v>52</v>
      </c>
      <c r="H4127" s="12" t="s">
        <v>667</v>
      </c>
      <c r="I4127" s="12">
        <v>-1</v>
      </c>
      <c r="J4127" s="12">
        <v>5170.75</v>
      </c>
      <c r="K4127" s="12">
        <v>5185.75</v>
      </c>
      <c r="L4127" s="12">
        <v>25853.75</v>
      </c>
      <c r="M4127" s="12">
        <v>-3</v>
      </c>
      <c r="N4127" s="12">
        <v>-25850.75</v>
      </c>
      <c r="O4127" s="12">
        <v>0</v>
      </c>
      <c r="P4127" s="12">
        <v>-75</v>
      </c>
      <c r="Q4127" s="12" t="s">
        <v>215</v>
      </c>
    </row>
    <row r="4128" spans="1:17" x14ac:dyDescent="0.3">
      <c r="A4128" s="12" t="s">
        <v>96</v>
      </c>
      <c r="B4128" s="12" t="s">
        <v>201</v>
      </c>
      <c r="C4128" s="12" t="s">
        <v>123</v>
      </c>
      <c r="D4128" s="12" t="s">
        <v>209</v>
      </c>
      <c r="E4128" s="12" t="s">
        <v>112</v>
      </c>
      <c r="F4128" s="12" t="s">
        <v>114</v>
      </c>
      <c r="G4128" s="12" t="s">
        <v>52</v>
      </c>
      <c r="H4128" s="12" t="s">
        <v>745</v>
      </c>
      <c r="I4128" s="12">
        <v>1</v>
      </c>
      <c r="J4128" s="12">
        <v>5124</v>
      </c>
      <c r="K4128" s="12">
        <v>5131.5</v>
      </c>
      <c r="L4128" s="12">
        <v>-25620</v>
      </c>
      <c r="M4128" s="12">
        <v>-3</v>
      </c>
      <c r="N4128" s="12">
        <v>26037</v>
      </c>
      <c r="O4128" s="12">
        <v>414</v>
      </c>
      <c r="P4128" s="12">
        <v>37.5</v>
      </c>
      <c r="Q4128" s="12" t="s">
        <v>3</v>
      </c>
    </row>
    <row r="4129" spans="1:17" x14ac:dyDescent="0.3">
      <c r="A4129" s="12" t="s">
        <v>96</v>
      </c>
      <c r="B4129" s="12" t="s">
        <v>201</v>
      </c>
      <c r="C4129" s="12" t="s">
        <v>123</v>
      </c>
      <c r="D4129" s="12" t="s">
        <v>209</v>
      </c>
      <c r="E4129" s="12" t="s">
        <v>112</v>
      </c>
      <c r="F4129" s="12" t="s">
        <v>114</v>
      </c>
      <c r="G4129" s="12" t="s">
        <v>52</v>
      </c>
      <c r="H4129" s="12" t="s">
        <v>815</v>
      </c>
      <c r="I4129" s="12">
        <v>-1</v>
      </c>
      <c r="J4129" s="12">
        <v>5110.5</v>
      </c>
      <c r="K4129" s="12">
        <v>5154.75</v>
      </c>
      <c r="L4129" s="12">
        <v>25552.5</v>
      </c>
      <c r="M4129" s="12">
        <v>0</v>
      </c>
      <c r="N4129" s="12">
        <v>-25552.5</v>
      </c>
      <c r="O4129" s="12">
        <v>0</v>
      </c>
      <c r="P4129" s="12">
        <v>-221.25</v>
      </c>
      <c r="Q4129" s="12" t="s">
        <v>215</v>
      </c>
    </row>
    <row r="4130" spans="1:17" x14ac:dyDescent="0.3">
      <c r="A4130" s="12" t="s">
        <v>96</v>
      </c>
      <c r="B4130" s="12" t="s">
        <v>201</v>
      </c>
      <c r="C4130" s="12" t="s">
        <v>123</v>
      </c>
      <c r="D4130" s="12" t="s">
        <v>209</v>
      </c>
      <c r="E4130" s="12" t="s">
        <v>112</v>
      </c>
      <c r="F4130" s="12" t="s">
        <v>114</v>
      </c>
      <c r="G4130" s="12" t="s">
        <v>52</v>
      </c>
      <c r="H4130" s="12" t="s">
        <v>816</v>
      </c>
      <c r="I4130" s="12">
        <v>-2</v>
      </c>
      <c r="J4130" s="12">
        <v>5248.25</v>
      </c>
      <c r="K4130" s="12">
        <v>5246.25</v>
      </c>
      <c r="L4130" s="12">
        <v>52482.5</v>
      </c>
      <c r="M4130" s="12">
        <v>0</v>
      </c>
      <c r="N4130" s="12">
        <v>-52482.5</v>
      </c>
      <c r="O4130" s="12">
        <v>0</v>
      </c>
      <c r="P4130" s="12">
        <v>20</v>
      </c>
      <c r="Q4130" s="12" t="s">
        <v>215</v>
      </c>
    </row>
    <row r="4131" spans="1:17" x14ac:dyDescent="0.3">
      <c r="A4131" s="12" t="s">
        <v>96</v>
      </c>
      <c r="B4131" s="12" t="s">
        <v>201</v>
      </c>
      <c r="C4131" s="12" t="s">
        <v>123</v>
      </c>
      <c r="D4131" s="12" t="s">
        <v>209</v>
      </c>
      <c r="E4131" s="12" t="s">
        <v>112</v>
      </c>
      <c r="F4131" s="12" t="s">
        <v>114</v>
      </c>
      <c r="G4131" s="12" t="s">
        <v>52</v>
      </c>
      <c r="H4131" s="12" t="s">
        <v>817</v>
      </c>
      <c r="I4131" s="12">
        <v>-3</v>
      </c>
      <c r="J4131" s="12">
        <v>5250</v>
      </c>
      <c r="K4131" s="12">
        <v>5246.25</v>
      </c>
      <c r="L4131" s="12">
        <v>78750</v>
      </c>
      <c r="M4131" s="12">
        <v>0</v>
      </c>
      <c r="N4131" s="12">
        <v>-78750</v>
      </c>
      <c r="O4131" s="12">
        <v>0</v>
      </c>
      <c r="P4131" s="12">
        <v>56.25</v>
      </c>
      <c r="Q4131" s="12" t="s">
        <v>215</v>
      </c>
    </row>
    <row r="4132" spans="1:17" x14ac:dyDescent="0.3">
      <c r="A4132" s="12" t="s">
        <v>96</v>
      </c>
      <c r="B4132" s="12" t="s">
        <v>201</v>
      </c>
      <c r="C4132" s="12" t="s">
        <v>123</v>
      </c>
      <c r="D4132" s="12" t="s">
        <v>209</v>
      </c>
      <c r="E4132" s="12" t="s">
        <v>112</v>
      </c>
      <c r="F4132" s="12" t="s">
        <v>114</v>
      </c>
      <c r="G4132" s="12" t="s">
        <v>52</v>
      </c>
      <c r="H4132" s="12" t="s">
        <v>818</v>
      </c>
      <c r="I4132" s="12">
        <v>2</v>
      </c>
      <c r="J4132" s="12">
        <v>5244.25</v>
      </c>
      <c r="K4132" s="12">
        <v>5246.25</v>
      </c>
      <c r="L4132" s="12">
        <v>-52442.5</v>
      </c>
      <c r="M4132" s="12">
        <v>0</v>
      </c>
      <c r="N4132" s="12">
        <v>51555.25</v>
      </c>
      <c r="O4132" s="12">
        <v>-887.25</v>
      </c>
      <c r="P4132" s="12">
        <v>20</v>
      </c>
      <c r="Q4132" s="12" t="s">
        <v>3</v>
      </c>
    </row>
    <row r="4133" spans="1:17" x14ac:dyDescent="0.3">
      <c r="A4133" s="12" t="s">
        <v>96</v>
      </c>
      <c r="B4133" s="12" t="s">
        <v>201</v>
      </c>
      <c r="C4133" s="12" t="s">
        <v>123</v>
      </c>
      <c r="D4133" s="12" t="s">
        <v>209</v>
      </c>
      <c r="E4133" s="12" t="s">
        <v>112</v>
      </c>
      <c r="F4133" s="12" t="s">
        <v>114</v>
      </c>
      <c r="G4133" s="12" t="s">
        <v>52</v>
      </c>
      <c r="H4133" s="12" t="s">
        <v>819</v>
      </c>
      <c r="I4133" s="12">
        <v>-1</v>
      </c>
      <c r="J4133" s="12">
        <v>5262</v>
      </c>
      <c r="K4133" s="12">
        <v>5269.5</v>
      </c>
      <c r="L4133" s="12">
        <v>26310</v>
      </c>
      <c r="M4133" s="12">
        <v>0</v>
      </c>
      <c r="N4133" s="12">
        <v>-26310</v>
      </c>
      <c r="O4133" s="12">
        <v>0</v>
      </c>
      <c r="P4133" s="12">
        <v>-37.5</v>
      </c>
      <c r="Q4133" s="12" t="s">
        <v>215</v>
      </c>
    </row>
    <row r="4134" spans="1:17" x14ac:dyDescent="0.3">
      <c r="A4134" s="12" t="s">
        <v>96</v>
      </c>
      <c r="B4134" s="12" t="s">
        <v>201</v>
      </c>
      <c r="C4134" s="12" t="s">
        <v>123</v>
      </c>
      <c r="D4134" s="12" t="s">
        <v>209</v>
      </c>
      <c r="E4134" s="12" t="s">
        <v>112</v>
      </c>
      <c r="F4134" s="12" t="s">
        <v>114</v>
      </c>
      <c r="G4134" s="12" t="s">
        <v>52</v>
      </c>
      <c r="H4134" s="12" t="s">
        <v>904</v>
      </c>
      <c r="I4134" s="12">
        <v>-1</v>
      </c>
      <c r="J4134" s="12">
        <v>5443.75</v>
      </c>
      <c r="K4134" s="12">
        <v>5427.5</v>
      </c>
      <c r="L4134" s="12">
        <v>27218.75</v>
      </c>
      <c r="M4134" s="12">
        <v>0</v>
      </c>
      <c r="N4134" s="12">
        <v>-27218.75</v>
      </c>
      <c r="O4134" s="12">
        <v>0</v>
      </c>
      <c r="P4134" s="12">
        <v>81.25</v>
      </c>
      <c r="Q4134" s="12" t="s">
        <v>215</v>
      </c>
    </row>
    <row r="4135" spans="1:17" x14ac:dyDescent="0.3">
      <c r="A4135" s="12" t="s">
        <v>96</v>
      </c>
      <c r="B4135" s="12" t="s">
        <v>201</v>
      </c>
      <c r="C4135" s="12" t="s">
        <v>123</v>
      </c>
      <c r="D4135" s="12" t="s">
        <v>209</v>
      </c>
      <c r="E4135" s="12" t="s">
        <v>112</v>
      </c>
      <c r="F4135" s="12" t="s">
        <v>114</v>
      </c>
      <c r="G4135" s="12" t="s">
        <v>52</v>
      </c>
      <c r="H4135" s="12" t="s">
        <v>905</v>
      </c>
      <c r="I4135" s="12">
        <v>1</v>
      </c>
      <c r="J4135" s="12">
        <v>5486.5</v>
      </c>
      <c r="K4135" s="12">
        <v>5478.5</v>
      </c>
      <c r="L4135" s="12">
        <v>-27432.5</v>
      </c>
      <c r="M4135" s="12">
        <v>0</v>
      </c>
      <c r="N4135" s="12">
        <v>25778.25</v>
      </c>
      <c r="O4135" s="12">
        <v>-1654.25</v>
      </c>
      <c r="P4135" s="12">
        <v>-40</v>
      </c>
      <c r="Q4135" s="12" t="s">
        <v>3</v>
      </c>
    </row>
    <row r="4136" spans="1:17" x14ac:dyDescent="0.3">
      <c r="A4136" s="12" t="s">
        <v>96</v>
      </c>
      <c r="B4136" s="12" t="s">
        <v>201</v>
      </c>
      <c r="C4136" s="12" t="s">
        <v>123</v>
      </c>
      <c r="D4136" s="12" t="s">
        <v>209</v>
      </c>
      <c r="E4136" s="12" t="s">
        <v>112</v>
      </c>
      <c r="F4136" s="12" t="s">
        <v>114</v>
      </c>
      <c r="G4136" s="12" t="s">
        <v>52</v>
      </c>
      <c r="H4136" s="12" t="s">
        <v>906</v>
      </c>
      <c r="I4136" s="12">
        <v>3</v>
      </c>
      <c r="J4136" s="12">
        <v>5495.25</v>
      </c>
      <c r="K4136" s="12">
        <v>5476.75</v>
      </c>
      <c r="L4136" s="12">
        <v>-82428.75</v>
      </c>
      <c r="M4136" s="12">
        <v>0</v>
      </c>
      <c r="N4136" s="12">
        <v>77004.75</v>
      </c>
      <c r="O4136" s="12">
        <v>-5424</v>
      </c>
      <c r="P4136" s="12">
        <v>-277.5</v>
      </c>
      <c r="Q4136" s="12" t="s">
        <v>3</v>
      </c>
    </row>
    <row r="4137" spans="1:17" x14ac:dyDescent="0.3">
      <c r="A4137" s="12" t="s">
        <v>96</v>
      </c>
      <c r="B4137" s="12" t="s">
        <v>201</v>
      </c>
      <c r="C4137" s="12" t="s">
        <v>123</v>
      </c>
      <c r="D4137" s="12" t="s">
        <v>209</v>
      </c>
      <c r="E4137" s="12" t="s">
        <v>112</v>
      </c>
      <c r="F4137" s="12" t="s">
        <v>114</v>
      </c>
      <c r="G4137" s="12" t="s">
        <v>52</v>
      </c>
      <c r="H4137" s="12" t="s">
        <v>907</v>
      </c>
      <c r="I4137" s="12">
        <v>9</v>
      </c>
      <c r="J4137" s="12">
        <v>5499.25</v>
      </c>
      <c r="K4137" s="12">
        <v>5476.75</v>
      </c>
      <c r="L4137" s="12">
        <v>-247466.25</v>
      </c>
      <c r="M4137" s="12">
        <v>0</v>
      </c>
      <c r="N4137" s="12">
        <v>236164.5</v>
      </c>
      <c r="O4137" s="12">
        <v>-11301.75</v>
      </c>
      <c r="P4137" s="12">
        <v>-1012.5</v>
      </c>
      <c r="Q4137" s="12" t="s">
        <v>3</v>
      </c>
    </row>
    <row r="4138" spans="1:17" x14ac:dyDescent="0.3">
      <c r="A4138" s="12" t="s">
        <v>96</v>
      </c>
      <c r="B4138" s="12" t="s">
        <v>201</v>
      </c>
      <c r="C4138" s="12" t="s">
        <v>213</v>
      </c>
      <c r="E4138" s="12" t="s">
        <v>112</v>
      </c>
      <c r="F4138" s="12" t="s">
        <v>114</v>
      </c>
      <c r="G4138" s="12" t="s">
        <v>52</v>
      </c>
      <c r="I4138" s="12">
        <v>0</v>
      </c>
      <c r="L4138" s="12">
        <v>-18826.25</v>
      </c>
      <c r="M4138" s="12">
        <v>-27</v>
      </c>
      <c r="N4138" s="12">
        <v>0</v>
      </c>
      <c r="O4138" s="12">
        <v>-18853.25</v>
      </c>
      <c r="P4138" s="12">
        <v>-1473.75</v>
      </c>
    </row>
    <row r="4139" spans="1:17" x14ac:dyDescent="0.3">
      <c r="A4139" s="12" t="s">
        <v>96</v>
      </c>
      <c r="B4139" s="12" t="s">
        <v>201</v>
      </c>
      <c r="C4139" s="12" t="s">
        <v>123</v>
      </c>
      <c r="D4139" s="12" t="s">
        <v>209</v>
      </c>
      <c r="E4139" s="12" t="s">
        <v>112</v>
      </c>
      <c r="F4139" s="12" t="s">
        <v>114</v>
      </c>
      <c r="G4139" s="12" t="s">
        <v>80</v>
      </c>
      <c r="H4139" s="12" t="s">
        <v>908</v>
      </c>
      <c r="I4139" s="12">
        <v>-10</v>
      </c>
      <c r="J4139" s="12">
        <v>5564.25</v>
      </c>
      <c r="K4139" s="12">
        <v>5544.5</v>
      </c>
      <c r="L4139" s="12">
        <v>278212.5</v>
      </c>
      <c r="M4139" s="12">
        <v>0</v>
      </c>
      <c r="N4139" s="12">
        <v>-278212.5</v>
      </c>
      <c r="O4139" s="12">
        <v>0</v>
      </c>
      <c r="P4139" s="12">
        <v>987.5</v>
      </c>
      <c r="Q4139" s="12" t="s">
        <v>215</v>
      </c>
    </row>
    <row r="4140" spans="1:17" x14ac:dyDescent="0.3">
      <c r="A4140" s="12" t="s">
        <v>96</v>
      </c>
      <c r="B4140" s="12" t="s">
        <v>201</v>
      </c>
      <c r="C4140" s="12" t="s">
        <v>123</v>
      </c>
      <c r="D4140" s="12" t="s">
        <v>209</v>
      </c>
      <c r="E4140" s="12" t="s">
        <v>112</v>
      </c>
      <c r="F4140" s="12" t="s">
        <v>114</v>
      </c>
      <c r="G4140" s="12" t="s">
        <v>80</v>
      </c>
      <c r="H4140" s="12" t="s">
        <v>909</v>
      </c>
      <c r="I4140" s="12">
        <v>-3</v>
      </c>
      <c r="J4140" s="12">
        <v>5564</v>
      </c>
      <c r="K4140" s="12">
        <v>5544.5</v>
      </c>
      <c r="L4140" s="12">
        <v>83460</v>
      </c>
      <c r="M4140" s="12">
        <v>0</v>
      </c>
      <c r="N4140" s="12">
        <v>-83460</v>
      </c>
      <c r="O4140" s="12">
        <v>0</v>
      </c>
      <c r="P4140" s="12">
        <v>292.5</v>
      </c>
      <c r="Q4140" s="12" t="s">
        <v>215</v>
      </c>
    </row>
    <row r="4141" spans="1:17" x14ac:dyDescent="0.3">
      <c r="A4141" s="12" t="s">
        <v>96</v>
      </c>
      <c r="B4141" s="12" t="s">
        <v>201</v>
      </c>
      <c r="C4141" s="12" t="s">
        <v>123</v>
      </c>
      <c r="D4141" s="12" t="s">
        <v>209</v>
      </c>
      <c r="E4141" s="12" t="s">
        <v>112</v>
      </c>
      <c r="F4141" s="12" t="s">
        <v>114</v>
      </c>
      <c r="G4141" s="12" t="s">
        <v>80</v>
      </c>
      <c r="H4141" s="12" t="s">
        <v>1030</v>
      </c>
      <c r="I4141" s="12">
        <v>1</v>
      </c>
      <c r="J4141" s="12">
        <v>5695.25</v>
      </c>
      <c r="K4141" s="12">
        <v>5683</v>
      </c>
      <c r="L4141" s="12">
        <v>-28476.25</v>
      </c>
      <c r="M4141" s="12">
        <v>0</v>
      </c>
      <c r="N4141" s="12">
        <v>27821.25</v>
      </c>
      <c r="O4141" s="12">
        <v>-655</v>
      </c>
      <c r="P4141" s="12">
        <v>-61.25</v>
      </c>
      <c r="Q4141" s="12" t="s">
        <v>3</v>
      </c>
    </row>
    <row r="4142" spans="1:17" x14ac:dyDescent="0.3">
      <c r="A4142" s="12" t="s">
        <v>96</v>
      </c>
      <c r="B4142" s="12" t="s">
        <v>201</v>
      </c>
      <c r="C4142" s="12" t="s">
        <v>123</v>
      </c>
      <c r="D4142" s="12" t="s">
        <v>209</v>
      </c>
      <c r="E4142" s="12" t="s">
        <v>112</v>
      </c>
      <c r="F4142" s="12" t="s">
        <v>114</v>
      </c>
      <c r="G4142" s="12" t="s">
        <v>80</v>
      </c>
      <c r="H4142" s="12" t="s">
        <v>1031</v>
      </c>
      <c r="I4142" s="12">
        <v>3</v>
      </c>
      <c r="J4142" s="12">
        <v>5458.5</v>
      </c>
      <c r="K4142" s="12">
        <v>5441.25</v>
      </c>
      <c r="L4142" s="12">
        <v>-81877.5</v>
      </c>
      <c r="M4142" s="12">
        <v>0</v>
      </c>
      <c r="N4142" s="12">
        <v>83463.75</v>
      </c>
      <c r="O4142" s="12">
        <v>1586.25</v>
      </c>
      <c r="P4142" s="12">
        <v>-258.75</v>
      </c>
      <c r="Q4142" s="12" t="s">
        <v>3</v>
      </c>
    </row>
    <row r="4143" spans="1:17" x14ac:dyDescent="0.3">
      <c r="A4143" s="12" t="s">
        <v>96</v>
      </c>
      <c r="B4143" s="12" t="s">
        <v>201</v>
      </c>
      <c r="C4143" s="12" t="s">
        <v>123</v>
      </c>
      <c r="D4143" s="12" t="s">
        <v>209</v>
      </c>
      <c r="E4143" s="12" t="s">
        <v>112</v>
      </c>
      <c r="F4143" s="12" t="s">
        <v>114</v>
      </c>
      <c r="G4143" s="12" t="s">
        <v>80</v>
      </c>
      <c r="H4143" s="12" t="s">
        <v>1032</v>
      </c>
      <c r="I4143" s="12">
        <v>1</v>
      </c>
      <c r="J4143" s="12">
        <v>5488.5</v>
      </c>
      <c r="K4143" s="12">
        <v>5441.25</v>
      </c>
      <c r="L4143" s="12">
        <v>-27442.5</v>
      </c>
      <c r="M4143" s="12">
        <v>0</v>
      </c>
      <c r="N4143" s="12">
        <v>27821.25</v>
      </c>
      <c r="O4143" s="12">
        <v>378.75</v>
      </c>
      <c r="P4143" s="12">
        <v>-236.25</v>
      </c>
      <c r="Q4143" s="12" t="s">
        <v>3</v>
      </c>
    </row>
    <row r="4144" spans="1:17" x14ac:dyDescent="0.3">
      <c r="A4144" s="12" t="s">
        <v>96</v>
      </c>
      <c r="B4144" s="12" t="s">
        <v>201</v>
      </c>
      <c r="C4144" s="12" t="s">
        <v>123</v>
      </c>
      <c r="D4144" s="12" t="s">
        <v>209</v>
      </c>
      <c r="E4144" s="12" t="s">
        <v>112</v>
      </c>
      <c r="F4144" s="12" t="s">
        <v>114</v>
      </c>
      <c r="G4144" s="12" t="s">
        <v>80</v>
      </c>
      <c r="H4144" s="12" t="s">
        <v>1033</v>
      </c>
      <c r="I4144" s="12">
        <v>1</v>
      </c>
      <c r="J4144" s="12">
        <v>5503</v>
      </c>
      <c r="K4144" s="12">
        <v>5503</v>
      </c>
      <c r="L4144" s="12">
        <v>-27515</v>
      </c>
      <c r="M4144" s="12">
        <v>0</v>
      </c>
      <c r="N4144" s="12">
        <v>27821.25</v>
      </c>
      <c r="O4144" s="12">
        <v>306.25</v>
      </c>
      <c r="P4144" s="12">
        <v>0</v>
      </c>
      <c r="Q4144" s="12" t="s">
        <v>3</v>
      </c>
    </row>
    <row r="4145" spans="1:17" x14ac:dyDescent="0.3">
      <c r="A4145" s="12" t="s">
        <v>96</v>
      </c>
      <c r="B4145" s="12" t="s">
        <v>201</v>
      </c>
      <c r="C4145" s="12" t="s">
        <v>123</v>
      </c>
      <c r="D4145" s="12" t="s">
        <v>209</v>
      </c>
      <c r="E4145" s="12" t="s">
        <v>112</v>
      </c>
      <c r="F4145" s="12" t="s">
        <v>114</v>
      </c>
      <c r="G4145" s="12" t="s">
        <v>80</v>
      </c>
      <c r="H4145" s="12" t="s">
        <v>1085</v>
      </c>
      <c r="I4145" s="12">
        <v>1</v>
      </c>
      <c r="J4145" s="12">
        <v>5288.75</v>
      </c>
      <c r="K4145" s="12">
        <v>5266.25</v>
      </c>
      <c r="L4145" s="12">
        <v>-26443.75</v>
      </c>
      <c r="M4145" s="12">
        <v>0</v>
      </c>
      <c r="N4145" s="12">
        <v>27821.25</v>
      </c>
      <c r="O4145" s="12">
        <v>1377.5</v>
      </c>
      <c r="P4145" s="12">
        <v>-112.5</v>
      </c>
      <c r="Q4145" s="12" t="s">
        <v>3</v>
      </c>
    </row>
    <row r="4146" spans="1:17" x14ac:dyDescent="0.3">
      <c r="A4146" s="12" t="s">
        <v>96</v>
      </c>
      <c r="B4146" s="12" t="s">
        <v>201</v>
      </c>
      <c r="C4146" s="12" t="s">
        <v>123</v>
      </c>
      <c r="D4146" s="12" t="s">
        <v>209</v>
      </c>
      <c r="E4146" s="12" t="s">
        <v>112</v>
      </c>
      <c r="F4146" s="12" t="s">
        <v>114</v>
      </c>
      <c r="G4146" s="12" t="s">
        <v>80</v>
      </c>
      <c r="H4146" s="12" t="s">
        <v>1086</v>
      </c>
      <c r="I4146" s="12">
        <v>-1</v>
      </c>
      <c r="J4146" s="12">
        <v>5344.5</v>
      </c>
      <c r="K4146" s="12">
        <v>5348.25</v>
      </c>
      <c r="L4146" s="12">
        <v>26722.5</v>
      </c>
      <c r="M4146" s="12">
        <v>0</v>
      </c>
      <c r="N4146" s="12">
        <v>-26722.5</v>
      </c>
      <c r="O4146" s="12">
        <v>0</v>
      </c>
      <c r="P4146" s="12">
        <v>-18.75</v>
      </c>
      <c r="Q4146" s="12" t="s">
        <v>215</v>
      </c>
    </row>
    <row r="4147" spans="1:17" x14ac:dyDescent="0.3">
      <c r="A4147" s="12" t="s">
        <v>96</v>
      </c>
      <c r="B4147" s="12" t="s">
        <v>201</v>
      </c>
      <c r="C4147" s="12" t="s">
        <v>123</v>
      </c>
      <c r="D4147" s="12" t="s">
        <v>209</v>
      </c>
      <c r="E4147" s="12" t="s">
        <v>112</v>
      </c>
      <c r="F4147" s="12" t="s">
        <v>114</v>
      </c>
      <c r="G4147" s="12" t="s">
        <v>80</v>
      </c>
      <c r="H4147" s="12" t="s">
        <v>1087</v>
      </c>
      <c r="I4147" s="12">
        <v>1</v>
      </c>
      <c r="J4147" s="12">
        <v>5649.5</v>
      </c>
      <c r="K4147" s="12">
        <v>5594</v>
      </c>
      <c r="L4147" s="12">
        <v>-28247.5</v>
      </c>
      <c r="M4147" s="12">
        <v>0</v>
      </c>
      <c r="N4147" s="12">
        <v>27821.25</v>
      </c>
      <c r="O4147" s="12">
        <v>-426.25</v>
      </c>
      <c r="P4147" s="12">
        <v>-277.5</v>
      </c>
      <c r="Q4147" s="12" t="s">
        <v>3</v>
      </c>
    </row>
    <row r="4148" spans="1:17" x14ac:dyDescent="0.3">
      <c r="A4148" s="12" t="s">
        <v>96</v>
      </c>
      <c r="B4148" s="12" t="s">
        <v>201</v>
      </c>
      <c r="C4148" s="12" t="s">
        <v>213</v>
      </c>
      <c r="E4148" s="12" t="s">
        <v>112</v>
      </c>
      <c r="F4148" s="12" t="s">
        <v>114</v>
      </c>
      <c r="G4148" s="12" t="s">
        <v>80</v>
      </c>
      <c r="I4148" s="12">
        <v>-6</v>
      </c>
      <c r="L4148" s="12">
        <v>168392.5</v>
      </c>
      <c r="M4148" s="12">
        <v>0</v>
      </c>
      <c r="N4148" s="12">
        <v>-165825</v>
      </c>
      <c r="O4148" s="12">
        <v>2567.5</v>
      </c>
      <c r="P4148" s="12">
        <v>315</v>
      </c>
    </row>
    <row r="4149" spans="1:17" x14ac:dyDescent="0.3">
      <c r="A4149" s="12" t="s">
        <v>96</v>
      </c>
      <c r="B4149" s="12" t="s">
        <v>201</v>
      </c>
      <c r="C4149" s="12" t="s">
        <v>123</v>
      </c>
      <c r="D4149" s="12" t="s">
        <v>209</v>
      </c>
      <c r="E4149" s="12" t="s">
        <v>112</v>
      </c>
      <c r="F4149" s="12" t="s">
        <v>114</v>
      </c>
      <c r="G4149" s="12" t="s">
        <v>53</v>
      </c>
      <c r="H4149" s="12" t="s">
        <v>668</v>
      </c>
      <c r="I4149" s="12">
        <v>-1</v>
      </c>
      <c r="J4149" s="12">
        <v>18550.75</v>
      </c>
      <c r="K4149" s="12">
        <v>18509.75</v>
      </c>
      <c r="L4149" s="12">
        <v>37101.5</v>
      </c>
      <c r="M4149" s="12">
        <v>-3</v>
      </c>
      <c r="N4149" s="12">
        <v>-37098.5</v>
      </c>
      <c r="O4149" s="12">
        <v>0</v>
      </c>
      <c r="P4149" s="12">
        <v>82</v>
      </c>
      <c r="Q4149" s="12" t="s">
        <v>215</v>
      </c>
    </row>
    <row r="4150" spans="1:17" x14ac:dyDescent="0.3">
      <c r="A4150" s="12" t="s">
        <v>96</v>
      </c>
      <c r="B4150" s="12" t="s">
        <v>201</v>
      </c>
      <c r="C4150" s="12" t="s">
        <v>123</v>
      </c>
      <c r="D4150" s="12" t="s">
        <v>209</v>
      </c>
      <c r="E4150" s="12" t="s">
        <v>112</v>
      </c>
      <c r="F4150" s="12" t="s">
        <v>114</v>
      </c>
      <c r="G4150" s="12" t="s">
        <v>53</v>
      </c>
      <c r="H4150" s="12" t="s">
        <v>820</v>
      </c>
      <c r="I4150" s="12">
        <v>-1</v>
      </c>
      <c r="J4150" s="12">
        <v>18251.5</v>
      </c>
      <c r="K4150" s="12">
        <v>18255</v>
      </c>
      <c r="L4150" s="12">
        <v>36503</v>
      </c>
      <c r="M4150" s="12">
        <v>0</v>
      </c>
      <c r="N4150" s="12">
        <v>-36503</v>
      </c>
      <c r="O4150" s="12">
        <v>0</v>
      </c>
      <c r="P4150" s="12">
        <v>-7</v>
      </c>
      <c r="Q4150" s="12" t="s">
        <v>215</v>
      </c>
    </row>
    <row r="4151" spans="1:17" x14ac:dyDescent="0.3">
      <c r="A4151" s="12" t="s">
        <v>96</v>
      </c>
      <c r="B4151" s="12" t="s">
        <v>201</v>
      </c>
      <c r="C4151" s="12" t="s">
        <v>123</v>
      </c>
      <c r="D4151" s="12" t="s">
        <v>209</v>
      </c>
      <c r="E4151" s="12" t="s">
        <v>112</v>
      </c>
      <c r="F4151" s="12" t="s">
        <v>114</v>
      </c>
      <c r="G4151" s="12" t="s">
        <v>53</v>
      </c>
      <c r="H4151" s="12" t="s">
        <v>821</v>
      </c>
      <c r="I4151" s="12">
        <v>-1</v>
      </c>
      <c r="J4151" s="12">
        <v>18266.25</v>
      </c>
      <c r="K4151" s="12">
        <v>18255</v>
      </c>
      <c r="L4151" s="12">
        <v>36532.5</v>
      </c>
      <c r="M4151" s="12">
        <v>0</v>
      </c>
      <c r="N4151" s="12">
        <v>-36532.5</v>
      </c>
      <c r="O4151" s="12">
        <v>0</v>
      </c>
      <c r="P4151" s="12">
        <v>22.5</v>
      </c>
      <c r="Q4151" s="12" t="s">
        <v>215</v>
      </c>
    </row>
    <row r="4152" spans="1:17" x14ac:dyDescent="0.3">
      <c r="A4152" s="12" t="s">
        <v>96</v>
      </c>
      <c r="B4152" s="12" t="s">
        <v>201</v>
      </c>
      <c r="C4152" s="12" t="s">
        <v>123</v>
      </c>
      <c r="D4152" s="12" t="s">
        <v>209</v>
      </c>
      <c r="E4152" s="12" t="s">
        <v>112</v>
      </c>
      <c r="F4152" s="12" t="s">
        <v>114</v>
      </c>
      <c r="G4152" s="12" t="s">
        <v>53</v>
      </c>
      <c r="H4152" s="12" t="s">
        <v>910</v>
      </c>
      <c r="I4152" s="12">
        <v>3</v>
      </c>
      <c r="J4152" s="12">
        <v>19938</v>
      </c>
      <c r="K4152" s="12">
        <v>19763.25</v>
      </c>
      <c r="L4152" s="12">
        <v>-119628</v>
      </c>
      <c r="M4152" s="12">
        <v>0</v>
      </c>
      <c r="N4152" s="12">
        <v>110134</v>
      </c>
      <c r="O4152" s="12">
        <v>-9494</v>
      </c>
      <c r="P4152" s="12">
        <v>-1048.5</v>
      </c>
      <c r="Q4152" s="12" t="s">
        <v>3</v>
      </c>
    </row>
    <row r="4153" spans="1:17" x14ac:dyDescent="0.3">
      <c r="A4153" s="12" t="s">
        <v>96</v>
      </c>
      <c r="B4153" s="12" t="s">
        <v>201</v>
      </c>
      <c r="C4153" s="12" t="s">
        <v>213</v>
      </c>
      <c r="E4153" s="12" t="s">
        <v>112</v>
      </c>
      <c r="F4153" s="12" t="s">
        <v>114</v>
      </c>
      <c r="G4153" s="12" t="s">
        <v>53</v>
      </c>
      <c r="I4153" s="12">
        <v>0</v>
      </c>
      <c r="L4153" s="12">
        <v>-9491</v>
      </c>
      <c r="M4153" s="12">
        <v>-3</v>
      </c>
      <c r="N4153" s="12">
        <v>0</v>
      </c>
      <c r="O4153" s="12">
        <v>-9494</v>
      </c>
      <c r="P4153" s="12">
        <v>-951</v>
      </c>
    </row>
    <row r="4154" spans="1:17" x14ac:dyDescent="0.3">
      <c r="A4154" s="12" t="s">
        <v>96</v>
      </c>
      <c r="B4154" s="12" t="s">
        <v>201</v>
      </c>
      <c r="C4154" s="12" t="s">
        <v>123</v>
      </c>
      <c r="D4154" s="12" t="s">
        <v>209</v>
      </c>
      <c r="E4154" s="12" t="s">
        <v>112</v>
      </c>
      <c r="F4154" s="12" t="s">
        <v>114</v>
      </c>
      <c r="G4154" s="12" t="s">
        <v>81</v>
      </c>
      <c r="H4154" s="12" t="s">
        <v>911</v>
      </c>
      <c r="I4154" s="12">
        <v>-2</v>
      </c>
      <c r="J4154" s="12">
        <v>20199</v>
      </c>
      <c r="K4154" s="12">
        <v>20031.5</v>
      </c>
      <c r="L4154" s="12">
        <v>80796</v>
      </c>
      <c r="M4154" s="12">
        <v>0</v>
      </c>
      <c r="N4154" s="12">
        <v>-80796</v>
      </c>
      <c r="O4154" s="12">
        <v>0</v>
      </c>
      <c r="P4154" s="12">
        <v>670</v>
      </c>
      <c r="Q4154" s="12" t="s">
        <v>211</v>
      </c>
    </row>
    <row r="4155" spans="1:17" x14ac:dyDescent="0.3">
      <c r="A4155" s="12" t="s">
        <v>96</v>
      </c>
      <c r="B4155" s="12" t="s">
        <v>201</v>
      </c>
      <c r="C4155" s="12" t="s">
        <v>123</v>
      </c>
      <c r="D4155" s="12" t="s">
        <v>209</v>
      </c>
      <c r="E4155" s="12" t="s">
        <v>112</v>
      </c>
      <c r="F4155" s="12" t="s">
        <v>114</v>
      </c>
      <c r="G4155" s="12" t="s">
        <v>81</v>
      </c>
      <c r="H4155" s="12" t="s">
        <v>1034</v>
      </c>
      <c r="I4155" s="12">
        <v>-1</v>
      </c>
      <c r="J4155" s="12">
        <v>19188.25</v>
      </c>
      <c r="K4155" s="12">
        <v>18992.25</v>
      </c>
      <c r="L4155" s="12">
        <v>38376.5</v>
      </c>
      <c r="M4155" s="12">
        <v>0</v>
      </c>
      <c r="N4155" s="12">
        <v>-38376.5</v>
      </c>
      <c r="O4155" s="12">
        <v>0</v>
      </c>
      <c r="P4155" s="12">
        <v>392</v>
      </c>
      <c r="Q4155" s="12" t="s">
        <v>215</v>
      </c>
    </row>
    <row r="4156" spans="1:17" x14ac:dyDescent="0.3">
      <c r="A4156" s="12" t="s">
        <v>96</v>
      </c>
      <c r="B4156" s="12" t="s">
        <v>201</v>
      </c>
      <c r="C4156" s="12" t="s">
        <v>123</v>
      </c>
      <c r="D4156" s="12" t="s">
        <v>209</v>
      </c>
      <c r="E4156" s="12" t="s">
        <v>112</v>
      </c>
      <c r="F4156" s="12" t="s">
        <v>114</v>
      </c>
      <c r="G4156" s="12" t="s">
        <v>81</v>
      </c>
      <c r="H4156" s="12" t="s">
        <v>1035</v>
      </c>
      <c r="I4156" s="12">
        <v>-2</v>
      </c>
      <c r="J4156" s="12">
        <v>19125</v>
      </c>
      <c r="K4156" s="12">
        <v>18992.25</v>
      </c>
      <c r="L4156" s="12">
        <v>76500</v>
      </c>
      <c r="M4156" s="12">
        <v>0</v>
      </c>
      <c r="N4156" s="12">
        <v>-76500</v>
      </c>
      <c r="O4156" s="12">
        <v>0</v>
      </c>
      <c r="P4156" s="12">
        <v>531</v>
      </c>
      <c r="Q4156" s="12" t="s">
        <v>215</v>
      </c>
    </row>
    <row r="4157" spans="1:17" x14ac:dyDescent="0.3">
      <c r="A4157" s="12" t="s">
        <v>96</v>
      </c>
      <c r="B4157" s="12" t="s">
        <v>201</v>
      </c>
      <c r="C4157" s="12" t="s">
        <v>123</v>
      </c>
      <c r="D4157" s="12" t="s">
        <v>209</v>
      </c>
      <c r="E4157" s="12" t="s">
        <v>112</v>
      </c>
      <c r="F4157" s="12" t="s">
        <v>114</v>
      </c>
      <c r="G4157" s="12" t="s">
        <v>81</v>
      </c>
      <c r="H4157" s="12" t="s">
        <v>1036</v>
      </c>
      <c r="I4157" s="12">
        <v>-1</v>
      </c>
      <c r="J4157" s="12">
        <v>18916.75</v>
      </c>
      <c r="K4157" s="12">
        <v>18992.25</v>
      </c>
      <c r="L4157" s="12">
        <v>37833.5</v>
      </c>
      <c r="M4157" s="12">
        <v>0</v>
      </c>
      <c r="N4157" s="12">
        <v>-37833.5</v>
      </c>
      <c r="O4157" s="12">
        <v>0</v>
      </c>
      <c r="P4157" s="12">
        <v>-151</v>
      </c>
      <c r="Q4157" s="12" t="s">
        <v>215</v>
      </c>
    </row>
    <row r="4158" spans="1:17" x14ac:dyDescent="0.3">
      <c r="A4158" s="12" t="s">
        <v>96</v>
      </c>
      <c r="B4158" s="12" t="s">
        <v>201</v>
      </c>
      <c r="C4158" s="12" t="s">
        <v>123</v>
      </c>
      <c r="D4158" s="12" t="s">
        <v>209</v>
      </c>
      <c r="E4158" s="12" t="s">
        <v>112</v>
      </c>
      <c r="F4158" s="12" t="s">
        <v>114</v>
      </c>
      <c r="G4158" s="12" t="s">
        <v>81</v>
      </c>
      <c r="H4158" s="12" t="s">
        <v>1037</v>
      </c>
      <c r="I4158" s="12">
        <v>1</v>
      </c>
      <c r="J4158" s="12">
        <v>19208.5</v>
      </c>
      <c r="K4158" s="12">
        <v>19174.5</v>
      </c>
      <c r="L4158" s="12">
        <v>-38417</v>
      </c>
      <c r="M4158" s="12">
        <v>0</v>
      </c>
      <c r="N4158" s="12">
        <v>40398</v>
      </c>
      <c r="O4158" s="12">
        <v>1981</v>
      </c>
      <c r="P4158" s="12">
        <v>-68</v>
      </c>
      <c r="Q4158" s="12" t="s">
        <v>3</v>
      </c>
    </row>
    <row r="4159" spans="1:17" x14ac:dyDescent="0.3">
      <c r="A4159" s="12" t="s">
        <v>96</v>
      </c>
      <c r="B4159" s="12" t="s">
        <v>201</v>
      </c>
      <c r="C4159" s="12" t="s">
        <v>123</v>
      </c>
      <c r="D4159" s="12" t="s">
        <v>209</v>
      </c>
      <c r="E4159" s="12" t="s">
        <v>112</v>
      </c>
      <c r="F4159" s="12" t="s">
        <v>114</v>
      </c>
      <c r="G4159" s="12" t="s">
        <v>81</v>
      </c>
      <c r="H4159" s="12" t="s">
        <v>1038</v>
      </c>
      <c r="I4159" s="12">
        <v>-1</v>
      </c>
      <c r="J4159" s="12">
        <v>19154.5</v>
      </c>
      <c r="K4159" s="12">
        <v>19174.5</v>
      </c>
      <c r="L4159" s="12">
        <v>38309</v>
      </c>
      <c r="M4159" s="12">
        <v>0</v>
      </c>
      <c r="N4159" s="12">
        <v>-38309</v>
      </c>
      <c r="O4159" s="12">
        <v>0</v>
      </c>
      <c r="P4159" s="12">
        <v>-40</v>
      </c>
      <c r="Q4159" s="12" t="s">
        <v>215</v>
      </c>
    </row>
    <row r="4160" spans="1:17" x14ac:dyDescent="0.3">
      <c r="A4160" s="12" t="s">
        <v>96</v>
      </c>
      <c r="B4160" s="12" t="s">
        <v>201</v>
      </c>
      <c r="C4160" s="12" t="s">
        <v>123</v>
      </c>
      <c r="D4160" s="12" t="s">
        <v>209</v>
      </c>
      <c r="E4160" s="12" t="s">
        <v>112</v>
      </c>
      <c r="F4160" s="12" t="s">
        <v>114</v>
      </c>
      <c r="G4160" s="12" t="s">
        <v>81</v>
      </c>
      <c r="H4160" s="12" t="s">
        <v>1088</v>
      </c>
      <c r="I4160" s="12">
        <v>-2</v>
      </c>
      <c r="J4160" s="12">
        <v>18771.375</v>
      </c>
      <c r="K4160" s="12">
        <v>18556.25</v>
      </c>
      <c r="L4160" s="12">
        <v>75085.5</v>
      </c>
      <c r="M4160" s="12">
        <v>0</v>
      </c>
      <c r="N4160" s="12">
        <v>-75085.5</v>
      </c>
      <c r="O4160" s="12">
        <v>0</v>
      </c>
      <c r="P4160" s="12">
        <v>860.5</v>
      </c>
      <c r="Q4160" s="12" t="s">
        <v>211</v>
      </c>
    </row>
    <row r="4161" spans="1:17" x14ac:dyDescent="0.3">
      <c r="A4161" s="12" t="s">
        <v>96</v>
      </c>
      <c r="B4161" s="12" t="s">
        <v>201</v>
      </c>
      <c r="C4161" s="12" t="s">
        <v>123</v>
      </c>
      <c r="D4161" s="12" t="s">
        <v>209</v>
      </c>
      <c r="E4161" s="12" t="s">
        <v>112</v>
      </c>
      <c r="F4161" s="12" t="s">
        <v>114</v>
      </c>
      <c r="G4161" s="12" t="s">
        <v>81</v>
      </c>
      <c r="H4161" s="12" t="s">
        <v>1089</v>
      </c>
      <c r="I4161" s="12">
        <v>1</v>
      </c>
      <c r="J4161" s="12">
        <v>18525.25</v>
      </c>
      <c r="K4161" s="12">
        <v>18556.25</v>
      </c>
      <c r="L4161" s="12">
        <v>-37050.5</v>
      </c>
      <c r="M4161" s="12">
        <v>0</v>
      </c>
      <c r="N4161" s="12">
        <v>40398</v>
      </c>
      <c r="O4161" s="12">
        <v>3347.5</v>
      </c>
      <c r="P4161" s="12">
        <v>62</v>
      </c>
      <c r="Q4161" s="12" t="s">
        <v>3</v>
      </c>
    </row>
    <row r="4162" spans="1:17" x14ac:dyDescent="0.3">
      <c r="A4162" s="12" t="s">
        <v>96</v>
      </c>
      <c r="B4162" s="12" t="s">
        <v>201</v>
      </c>
      <c r="C4162" s="12" t="s">
        <v>123</v>
      </c>
      <c r="D4162" s="12" t="s">
        <v>209</v>
      </c>
      <c r="E4162" s="12" t="s">
        <v>112</v>
      </c>
      <c r="F4162" s="12" t="s">
        <v>114</v>
      </c>
      <c r="G4162" s="12" t="s">
        <v>81</v>
      </c>
      <c r="H4162" s="12" t="s">
        <v>1090</v>
      </c>
      <c r="I4162" s="12">
        <v>-1</v>
      </c>
      <c r="J4162" s="12">
        <v>17961.5</v>
      </c>
      <c r="K4162" s="12">
        <v>18013.25</v>
      </c>
      <c r="L4162" s="12">
        <v>35923</v>
      </c>
      <c r="M4162" s="12">
        <v>0</v>
      </c>
      <c r="N4162" s="12">
        <v>-35923</v>
      </c>
      <c r="O4162" s="12">
        <v>0</v>
      </c>
      <c r="P4162" s="12">
        <v>-103.5</v>
      </c>
      <c r="Q4162" s="12" t="s">
        <v>215</v>
      </c>
    </row>
    <row r="4163" spans="1:17" x14ac:dyDescent="0.3">
      <c r="A4163" s="12" t="s">
        <v>96</v>
      </c>
      <c r="B4163" s="12" t="s">
        <v>201</v>
      </c>
      <c r="C4163" s="12" t="s">
        <v>123</v>
      </c>
      <c r="D4163" s="12" t="s">
        <v>209</v>
      </c>
      <c r="E4163" s="12" t="s">
        <v>112</v>
      </c>
      <c r="F4163" s="12" t="s">
        <v>114</v>
      </c>
      <c r="G4163" s="12" t="s">
        <v>81</v>
      </c>
      <c r="H4163" s="12" t="s">
        <v>1091</v>
      </c>
      <c r="I4163" s="12">
        <v>1</v>
      </c>
      <c r="J4163" s="12">
        <v>17969.25</v>
      </c>
      <c r="K4163" s="12">
        <v>18013.25</v>
      </c>
      <c r="L4163" s="12">
        <v>-35938.5</v>
      </c>
      <c r="M4163" s="12">
        <v>0</v>
      </c>
      <c r="N4163" s="12">
        <v>38376.5</v>
      </c>
      <c r="O4163" s="12">
        <v>2438</v>
      </c>
      <c r="P4163" s="12">
        <v>88</v>
      </c>
      <c r="Q4163" s="12" t="s">
        <v>3</v>
      </c>
    </row>
    <row r="4164" spans="1:17" x14ac:dyDescent="0.3">
      <c r="A4164" s="12" t="s">
        <v>96</v>
      </c>
      <c r="B4164" s="12" t="s">
        <v>201</v>
      </c>
      <c r="C4164" s="12" t="s">
        <v>123</v>
      </c>
      <c r="D4164" s="12" t="s">
        <v>209</v>
      </c>
      <c r="E4164" s="12" t="s">
        <v>112</v>
      </c>
      <c r="F4164" s="12" t="s">
        <v>114</v>
      </c>
      <c r="G4164" s="12" t="s">
        <v>81</v>
      </c>
      <c r="H4164" s="12" t="s">
        <v>1092</v>
      </c>
      <c r="I4164" s="12">
        <v>1</v>
      </c>
      <c r="J4164" s="12">
        <v>18392.25</v>
      </c>
      <c r="K4164" s="12">
        <v>18179</v>
      </c>
      <c r="L4164" s="12">
        <v>-36784.5</v>
      </c>
      <c r="M4164" s="12">
        <v>0</v>
      </c>
      <c r="N4164" s="12">
        <v>38250</v>
      </c>
      <c r="O4164" s="12">
        <v>1465.5</v>
      </c>
      <c r="P4164" s="12">
        <v>-426.5</v>
      </c>
      <c r="Q4164" s="12" t="s">
        <v>3</v>
      </c>
    </row>
    <row r="4165" spans="1:17" x14ac:dyDescent="0.3">
      <c r="A4165" s="12" t="s">
        <v>96</v>
      </c>
      <c r="B4165" s="12" t="s">
        <v>201</v>
      </c>
      <c r="C4165" s="12" t="s">
        <v>123</v>
      </c>
      <c r="D4165" s="12" t="s">
        <v>209</v>
      </c>
      <c r="E4165" s="12" t="s">
        <v>112</v>
      </c>
      <c r="F4165" s="12" t="s">
        <v>114</v>
      </c>
      <c r="G4165" s="12" t="s">
        <v>81</v>
      </c>
      <c r="H4165" s="12" t="s">
        <v>1093</v>
      </c>
      <c r="I4165" s="12">
        <v>1</v>
      </c>
      <c r="J4165" s="12">
        <v>18286.5</v>
      </c>
      <c r="K4165" s="12">
        <v>18179</v>
      </c>
      <c r="L4165" s="12">
        <v>-36573</v>
      </c>
      <c r="M4165" s="12">
        <v>0</v>
      </c>
      <c r="N4165" s="12">
        <v>38250</v>
      </c>
      <c r="O4165" s="12">
        <v>1677</v>
      </c>
      <c r="P4165" s="12">
        <v>-215</v>
      </c>
      <c r="Q4165" s="12" t="s">
        <v>3</v>
      </c>
    </row>
    <row r="4166" spans="1:17" x14ac:dyDescent="0.3">
      <c r="A4166" s="12" t="s">
        <v>96</v>
      </c>
      <c r="B4166" s="12" t="s">
        <v>201</v>
      </c>
      <c r="C4166" s="12" t="s">
        <v>123</v>
      </c>
      <c r="D4166" s="12" t="s">
        <v>209</v>
      </c>
      <c r="E4166" s="12" t="s">
        <v>112</v>
      </c>
      <c r="F4166" s="12" t="s">
        <v>114</v>
      </c>
      <c r="G4166" s="12" t="s">
        <v>81</v>
      </c>
      <c r="H4166" s="12" t="s">
        <v>1094</v>
      </c>
      <c r="I4166" s="12">
        <v>-1</v>
      </c>
      <c r="J4166" s="12">
        <v>18124.75</v>
      </c>
      <c r="K4166" s="12">
        <v>18179</v>
      </c>
      <c r="L4166" s="12">
        <v>36249.5</v>
      </c>
      <c r="M4166" s="12">
        <v>0</v>
      </c>
      <c r="N4166" s="12">
        <v>-36249.5</v>
      </c>
      <c r="O4166" s="12">
        <v>0</v>
      </c>
      <c r="P4166" s="12">
        <v>-108.5</v>
      </c>
      <c r="Q4166" s="12" t="s">
        <v>215</v>
      </c>
    </row>
    <row r="4167" spans="1:17" x14ac:dyDescent="0.3">
      <c r="A4167" s="12" t="s">
        <v>96</v>
      </c>
      <c r="B4167" s="12" t="s">
        <v>201</v>
      </c>
      <c r="C4167" s="12" t="s">
        <v>123</v>
      </c>
      <c r="D4167" s="12" t="s">
        <v>209</v>
      </c>
      <c r="E4167" s="12" t="s">
        <v>112</v>
      </c>
      <c r="F4167" s="12" t="s">
        <v>114</v>
      </c>
      <c r="G4167" s="12" t="s">
        <v>81</v>
      </c>
      <c r="H4167" s="12" t="s">
        <v>1095</v>
      </c>
      <c r="I4167" s="12">
        <v>-1</v>
      </c>
      <c r="J4167" s="12">
        <v>18113.75</v>
      </c>
      <c r="K4167" s="12">
        <v>18179</v>
      </c>
      <c r="L4167" s="12">
        <v>36227.5</v>
      </c>
      <c r="M4167" s="12">
        <v>0</v>
      </c>
      <c r="N4167" s="12">
        <v>-36227.5</v>
      </c>
      <c r="O4167" s="12">
        <v>0</v>
      </c>
      <c r="P4167" s="12">
        <v>-130.5</v>
      </c>
      <c r="Q4167" s="12" t="s">
        <v>215</v>
      </c>
    </row>
    <row r="4168" spans="1:17" x14ac:dyDescent="0.3">
      <c r="A4168" s="12" t="s">
        <v>96</v>
      </c>
      <c r="B4168" s="12" t="s">
        <v>201</v>
      </c>
      <c r="C4168" s="12" t="s">
        <v>123</v>
      </c>
      <c r="D4168" s="12" t="s">
        <v>209</v>
      </c>
      <c r="E4168" s="12" t="s">
        <v>112</v>
      </c>
      <c r="F4168" s="12" t="s">
        <v>114</v>
      </c>
      <c r="G4168" s="12" t="s">
        <v>81</v>
      </c>
      <c r="H4168" s="12" t="s">
        <v>1096</v>
      </c>
      <c r="I4168" s="12">
        <v>1</v>
      </c>
      <c r="J4168" s="12">
        <v>18162.5</v>
      </c>
      <c r="K4168" s="12">
        <v>18525.25</v>
      </c>
      <c r="L4168" s="12">
        <v>-36325</v>
      </c>
      <c r="M4168" s="12">
        <v>0</v>
      </c>
      <c r="N4168" s="12">
        <v>37833.5</v>
      </c>
      <c r="O4168" s="12">
        <v>1508.5</v>
      </c>
      <c r="P4168" s="12">
        <v>725.5</v>
      </c>
      <c r="Q4168" s="12" t="s">
        <v>3</v>
      </c>
    </row>
    <row r="4169" spans="1:17" x14ac:dyDescent="0.3">
      <c r="A4169" s="12" t="s">
        <v>96</v>
      </c>
      <c r="B4169" s="12" t="s">
        <v>201</v>
      </c>
      <c r="C4169" s="12" t="s">
        <v>123</v>
      </c>
      <c r="D4169" s="12" t="s">
        <v>209</v>
      </c>
      <c r="E4169" s="12" t="s">
        <v>112</v>
      </c>
      <c r="F4169" s="12" t="s">
        <v>114</v>
      </c>
      <c r="G4169" s="12" t="s">
        <v>81</v>
      </c>
      <c r="H4169" s="12" t="s">
        <v>1097</v>
      </c>
      <c r="I4169" s="12">
        <v>1</v>
      </c>
      <c r="J4169" s="12">
        <v>19976.25</v>
      </c>
      <c r="K4169" s="12">
        <v>19578.25</v>
      </c>
      <c r="L4169" s="12">
        <v>-39952.5</v>
      </c>
      <c r="M4169" s="12">
        <v>0</v>
      </c>
      <c r="N4169" s="12">
        <v>38309</v>
      </c>
      <c r="O4169" s="12">
        <v>-1643.5</v>
      </c>
      <c r="P4169" s="12">
        <v>-796</v>
      </c>
      <c r="Q4169" s="12" t="s">
        <v>3</v>
      </c>
    </row>
    <row r="4170" spans="1:17" x14ac:dyDescent="0.3">
      <c r="A4170" s="12" t="s">
        <v>96</v>
      </c>
      <c r="B4170" s="12" t="s">
        <v>201</v>
      </c>
      <c r="C4170" s="12" t="s">
        <v>123</v>
      </c>
      <c r="D4170" s="12" t="s">
        <v>209</v>
      </c>
      <c r="E4170" s="12" t="s">
        <v>112</v>
      </c>
      <c r="F4170" s="12" t="s">
        <v>114</v>
      </c>
      <c r="G4170" s="12" t="s">
        <v>81</v>
      </c>
      <c r="H4170" s="12" t="s">
        <v>1098</v>
      </c>
      <c r="I4170" s="12">
        <v>-1</v>
      </c>
      <c r="J4170" s="12">
        <v>19427.5</v>
      </c>
      <c r="K4170" s="12">
        <v>19415.75</v>
      </c>
      <c r="L4170" s="12">
        <v>38855</v>
      </c>
      <c r="M4170" s="12">
        <v>0</v>
      </c>
      <c r="N4170" s="12">
        <v>-38855</v>
      </c>
      <c r="O4170" s="12">
        <v>0</v>
      </c>
      <c r="P4170" s="12">
        <v>23.5</v>
      </c>
      <c r="Q4170" s="12" t="s">
        <v>215</v>
      </c>
    </row>
    <row r="4171" spans="1:17" x14ac:dyDescent="0.3">
      <c r="A4171" s="12" t="s">
        <v>96</v>
      </c>
      <c r="B4171" s="12" t="s">
        <v>201</v>
      </c>
      <c r="C4171" s="12" t="s">
        <v>123</v>
      </c>
      <c r="D4171" s="12" t="s">
        <v>209</v>
      </c>
      <c r="E4171" s="12" t="s">
        <v>112</v>
      </c>
      <c r="F4171" s="12" t="s">
        <v>114</v>
      </c>
      <c r="G4171" s="12" t="s">
        <v>81</v>
      </c>
      <c r="H4171" s="12" t="s">
        <v>1099</v>
      </c>
      <c r="I4171" s="12">
        <v>1</v>
      </c>
      <c r="J4171" s="12">
        <v>19328</v>
      </c>
      <c r="K4171" s="12">
        <v>19415.75</v>
      </c>
      <c r="L4171" s="12">
        <v>-38656</v>
      </c>
      <c r="M4171" s="12">
        <v>0</v>
      </c>
      <c r="N4171" s="12">
        <v>37543</v>
      </c>
      <c r="O4171" s="12">
        <v>-1113</v>
      </c>
      <c r="P4171" s="12">
        <v>175.5</v>
      </c>
      <c r="Q4171" s="12" t="s">
        <v>3</v>
      </c>
    </row>
    <row r="4172" spans="1:17" x14ac:dyDescent="0.3">
      <c r="A4172" s="12" t="s">
        <v>96</v>
      </c>
      <c r="B4172" s="12" t="s">
        <v>201</v>
      </c>
      <c r="C4172" s="12" t="s">
        <v>123</v>
      </c>
      <c r="D4172" s="12" t="s">
        <v>209</v>
      </c>
      <c r="E4172" s="12" t="s">
        <v>112</v>
      </c>
      <c r="F4172" s="12" t="s">
        <v>114</v>
      </c>
      <c r="G4172" s="12" t="s">
        <v>81</v>
      </c>
      <c r="H4172" s="12" t="s">
        <v>1100</v>
      </c>
      <c r="I4172" s="12">
        <v>-2</v>
      </c>
      <c r="J4172" s="12">
        <v>19308</v>
      </c>
      <c r="K4172" s="12">
        <v>19393.25</v>
      </c>
      <c r="L4172" s="12">
        <v>77232</v>
      </c>
      <c r="M4172" s="12">
        <v>0</v>
      </c>
      <c r="N4172" s="12">
        <v>-77232</v>
      </c>
      <c r="O4172" s="12">
        <v>0</v>
      </c>
      <c r="P4172" s="12">
        <v>-341</v>
      </c>
      <c r="Q4172" s="12" t="s">
        <v>215</v>
      </c>
    </row>
    <row r="4173" spans="1:17" x14ac:dyDescent="0.3">
      <c r="A4173" s="12" t="s">
        <v>96</v>
      </c>
      <c r="B4173" s="12" t="s">
        <v>201</v>
      </c>
      <c r="C4173" s="12" t="s">
        <v>123</v>
      </c>
      <c r="D4173" s="12" t="s">
        <v>209</v>
      </c>
      <c r="E4173" s="12" t="s">
        <v>112</v>
      </c>
      <c r="F4173" s="12" t="s">
        <v>114</v>
      </c>
      <c r="G4173" s="12" t="s">
        <v>81</v>
      </c>
      <c r="H4173" s="12" t="s">
        <v>1101</v>
      </c>
      <c r="I4173" s="12">
        <v>1</v>
      </c>
      <c r="J4173" s="12">
        <v>19364.5</v>
      </c>
      <c r="K4173" s="12">
        <v>19393.25</v>
      </c>
      <c r="L4173" s="12">
        <v>-38729</v>
      </c>
      <c r="M4173" s="12">
        <v>0</v>
      </c>
      <c r="N4173" s="12">
        <v>37542.5</v>
      </c>
      <c r="O4173" s="12">
        <v>-1186.5</v>
      </c>
      <c r="P4173" s="12">
        <v>57.5</v>
      </c>
      <c r="Q4173" s="12" t="s">
        <v>3</v>
      </c>
    </row>
    <row r="4174" spans="1:17" x14ac:dyDescent="0.3">
      <c r="A4174" s="12" t="s">
        <v>96</v>
      </c>
      <c r="B4174" s="12" t="s">
        <v>201</v>
      </c>
      <c r="C4174" s="12" t="s">
        <v>123</v>
      </c>
      <c r="D4174" s="12" t="s">
        <v>209</v>
      </c>
      <c r="E4174" s="12" t="s">
        <v>112</v>
      </c>
      <c r="F4174" s="12" t="s">
        <v>114</v>
      </c>
      <c r="G4174" s="12" t="s">
        <v>81</v>
      </c>
      <c r="H4174" s="12" t="s">
        <v>1102</v>
      </c>
      <c r="I4174" s="12">
        <v>1</v>
      </c>
      <c r="J4174" s="12">
        <v>19468.75</v>
      </c>
      <c r="K4174" s="12">
        <v>19393.25</v>
      </c>
      <c r="L4174" s="12">
        <v>-38937.5</v>
      </c>
      <c r="M4174" s="12">
        <v>0</v>
      </c>
      <c r="N4174" s="12">
        <v>35923</v>
      </c>
      <c r="O4174" s="12">
        <v>-3014.5</v>
      </c>
      <c r="P4174" s="12">
        <v>-151</v>
      </c>
      <c r="Q4174" s="12" t="s">
        <v>3</v>
      </c>
    </row>
    <row r="4175" spans="1:17" x14ac:dyDescent="0.3">
      <c r="A4175" s="12" t="s">
        <v>96</v>
      </c>
      <c r="B4175" s="12" t="s">
        <v>201</v>
      </c>
      <c r="C4175" s="12" t="s">
        <v>123</v>
      </c>
      <c r="D4175" s="12" t="s">
        <v>209</v>
      </c>
      <c r="E4175" s="12" t="s">
        <v>112</v>
      </c>
      <c r="F4175" s="12" t="s">
        <v>114</v>
      </c>
      <c r="G4175" s="12" t="s">
        <v>81</v>
      </c>
      <c r="H4175" s="12" t="s">
        <v>1103</v>
      </c>
      <c r="I4175" s="12">
        <v>-1</v>
      </c>
      <c r="J4175" s="12">
        <v>19554.75</v>
      </c>
      <c r="K4175" s="12">
        <v>19393.25</v>
      </c>
      <c r="L4175" s="12">
        <v>39109.5</v>
      </c>
      <c r="M4175" s="12">
        <v>0</v>
      </c>
      <c r="N4175" s="12">
        <v>-39109.5</v>
      </c>
      <c r="O4175" s="12">
        <v>0</v>
      </c>
      <c r="P4175" s="12">
        <v>323</v>
      </c>
      <c r="Q4175" s="12" t="s">
        <v>215</v>
      </c>
    </row>
    <row r="4176" spans="1:17" x14ac:dyDescent="0.3">
      <c r="A4176" s="12" t="s">
        <v>96</v>
      </c>
      <c r="B4176" s="12" t="s">
        <v>201</v>
      </c>
      <c r="C4176" s="12" t="s">
        <v>123</v>
      </c>
      <c r="D4176" s="12" t="s">
        <v>209</v>
      </c>
      <c r="E4176" s="12" t="s">
        <v>112</v>
      </c>
      <c r="F4176" s="12" t="s">
        <v>114</v>
      </c>
      <c r="G4176" s="12" t="s">
        <v>81</v>
      </c>
      <c r="H4176" s="12" t="s">
        <v>1104</v>
      </c>
      <c r="I4176" s="12">
        <v>-1</v>
      </c>
      <c r="J4176" s="12">
        <v>19473.5</v>
      </c>
      <c r="K4176" s="12">
        <v>19393.25</v>
      </c>
      <c r="L4176" s="12">
        <v>38947</v>
      </c>
      <c r="M4176" s="12">
        <v>0</v>
      </c>
      <c r="N4176" s="12">
        <v>-38947</v>
      </c>
      <c r="O4176" s="12">
        <v>0</v>
      </c>
      <c r="P4176" s="12">
        <v>160.5</v>
      </c>
      <c r="Q4176" s="12" t="s">
        <v>215</v>
      </c>
    </row>
    <row r="4177" spans="1:17" x14ac:dyDescent="0.3">
      <c r="A4177" s="12" t="s">
        <v>96</v>
      </c>
      <c r="B4177" s="12" t="s">
        <v>201</v>
      </c>
      <c r="C4177" s="12" t="s">
        <v>123</v>
      </c>
      <c r="D4177" s="12" t="s">
        <v>209</v>
      </c>
      <c r="E4177" s="12" t="s">
        <v>112</v>
      </c>
      <c r="F4177" s="12" t="s">
        <v>114</v>
      </c>
      <c r="G4177" s="12" t="s">
        <v>81</v>
      </c>
      <c r="H4177" s="12" t="s">
        <v>1105</v>
      </c>
      <c r="I4177" s="12">
        <v>-1</v>
      </c>
      <c r="J4177" s="12">
        <v>19389</v>
      </c>
      <c r="K4177" s="12">
        <v>19393.25</v>
      </c>
      <c r="L4177" s="12">
        <v>38778</v>
      </c>
      <c r="M4177" s="12">
        <v>0</v>
      </c>
      <c r="N4177" s="12">
        <v>-38778</v>
      </c>
      <c r="O4177" s="12">
        <v>0</v>
      </c>
      <c r="P4177" s="12">
        <v>-8.5</v>
      </c>
      <c r="Q4177" s="12" t="s">
        <v>215</v>
      </c>
    </row>
    <row r="4178" spans="1:17" x14ac:dyDescent="0.3">
      <c r="A4178" s="12" t="s">
        <v>96</v>
      </c>
      <c r="B4178" s="12" t="s">
        <v>201</v>
      </c>
      <c r="C4178" s="12" t="s">
        <v>123</v>
      </c>
      <c r="D4178" s="12" t="s">
        <v>209</v>
      </c>
      <c r="E4178" s="12" t="s">
        <v>112</v>
      </c>
      <c r="F4178" s="12" t="s">
        <v>114</v>
      </c>
      <c r="G4178" s="12" t="s">
        <v>81</v>
      </c>
      <c r="H4178" s="12" t="s">
        <v>1106</v>
      </c>
      <c r="I4178" s="12">
        <v>1</v>
      </c>
      <c r="J4178" s="12">
        <v>19444</v>
      </c>
      <c r="K4178" s="12">
        <v>19393.25</v>
      </c>
      <c r="L4178" s="12">
        <v>-38888</v>
      </c>
      <c r="M4178" s="12">
        <v>0</v>
      </c>
      <c r="N4178" s="12">
        <v>36249.5</v>
      </c>
      <c r="O4178" s="12">
        <v>-2638.5</v>
      </c>
      <c r="P4178" s="12">
        <v>-101.5</v>
      </c>
      <c r="Q4178" s="12" t="s">
        <v>3</v>
      </c>
    </row>
    <row r="4179" spans="1:17" x14ac:dyDescent="0.3">
      <c r="A4179" s="12" t="s">
        <v>96</v>
      </c>
      <c r="B4179" s="12" t="s">
        <v>201</v>
      </c>
      <c r="C4179" s="12" t="s">
        <v>123</v>
      </c>
      <c r="D4179" s="12" t="s">
        <v>209</v>
      </c>
      <c r="E4179" s="12" t="s">
        <v>112</v>
      </c>
      <c r="F4179" s="12" t="s">
        <v>114</v>
      </c>
      <c r="G4179" s="12" t="s">
        <v>81</v>
      </c>
      <c r="H4179" s="12" t="s">
        <v>1107</v>
      </c>
      <c r="I4179" s="12">
        <v>1</v>
      </c>
      <c r="J4179" s="12">
        <v>19438.25</v>
      </c>
      <c r="K4179" s="12">
        <v>19623</v>
      </c>
      <c r="L4179" s="12">
        <v>-38876.5</v>
      </c>
      <c r="M4179" s="12">
        <v>0</v>
      </c>
      <c r="N4179" s="12">
        <v>36227.5</v>
      </c>
      <c r="O4179" s="12">
        <v>-2649</v>
      </c>
      <c r="P4179" s="12">
        <v>369.5</v>
      </c>
      <c r="Q4179" s="12" t="s">
        <v>3</v>
      </c>
    </row>
    <row r="4180" spans="1:17" x14ac:dyDescent="0.3">
      <c r="A4180" s="12" t="s">
        <v>96</v>
      </c>
      <c r="B4180" s="12" t="s">
        <v>201</v>
      </c>
      <c r="C4180" s="12" t="s">
        <v>123</v>
      </c>
      <c r="D4180" s="12" t="s">
        <v>209</v>
      </c>
      <c r="E4180" s="12" t="s">
        <v>112</v>
      </c>
      <c r="F4180" s="12" t="s">
        <v>114</v>
      </c>
      <c r="G4180" s="12" t="s">
        <v>81</v>
      </c>
      <c r="H4180" s="12" t="s">
        <v>1108</v>
      </c>
      <c r="I4180" s="12">
        <v>1</v>
      </c>
      <c r="J4180" s="12">
        <v>19449</v>
      </c>
      <c r="K4180" s="12">
        <v>19623</v>
      </c>
      <c r="L4180" s="12">
        <v>-38898</v>
      </c>
      <c r="M4180" s="12">
        <v>0</v>
      </c>
      <c r="N4180" s="12">
        <v>38855</v>
      </c>
      <c r="O4180" s="12">
        <v>-43</v>
      </c>
      <c r="P4180" s="12">
        <v>348</v>
      </c>
      <c r="Q4180" s="12" t="s">
        <v>3</v>
      </c>
    </row>
    <row r="4181" spans="1:17" x14ac:dyDescent="0.3">
      <c r="A4181" s="12" t="s">
        <v>96</v>
      </c>
      <c r="B4181" s="12" t="s">
        <v>201</v>
      </c>
      <c r="C4181" s="12" t="s">
        <v>213</v>
      </c>
      <c r="E4181" s="12" t="s">
        <v>112</v>
      </c>
      <c r="F4181" s="12" t="s">
        <v>114</v>
      </c>
      <c r="G4181" s="12" t="s">
        <v>81</v>
      </c>
      <c r="I4181" s="12">
        <v>-5</v>
      </c>
      <c r="L4181" s="12">
        <v>194196</v>
      </c>
      <c r="M4181" s="12">
        <v>0</v>
      </c>
      <c r="N4181" s="12">
        <v>-194066.5</v>
      </c>
      <c r="O4181" s="12">
        <v>129.5</v>
      </c>
      <c r="P4181" s="12">
        <v>2145.5</v>
      </c>
    </row>
    <row r="4182" spans="1:17" x14ac:dyDescent="0.3">
      <c r="A4182" s="12" t="s">
        <v>96</v>
      </c>
      <c r="B4182" s="12" t="s">
        <v>201</v>
      </c>
      <c r="C4182" s="12" t="s">
        <v>97</v>
      </c>
      <c r="E4182" s="12" t="s">
        <v>112</v>
      </c>
      <c r="F4182" s="12" t="s">
        <v>114</v>
      </c>
      <c r="L4182" s="12">
        <v>320941.25</v>
      </c>
      <c r="M4182" s="12">
        <v>-84</v>
      </c>
      <c r="N4182" s="12">
        <v>-359891.5</v>
      </c>
      <c r="O4182" s="12">
        <v>-39034.25</v>
      </c>
      <c r="P4182" s="12">
        <v>468.25</v>
      </c>
      <c r="Q4182" s="12" t="s">
        <v>257</v>
      </c>
    </row>
    <row r="4183" spans="1:17" x14ac:dyDescent="0.3">
      <c r="A4183" s="12" t="s">
        <v>96</v>
      </c>
      <c r="B4183" s="12" t="s">
        <v>746</v>
      </c>
      <c r="C4183" s="12" t="s">
        <v>120</v>
      </c>
      <c r="D4183" s="12" t="s">
        <v>100</v>
      </c>
      <c r="E4183" s="12" t="s">
        <v>181</v>
      </c>
      <c r="F4183" s="12" t="s">
        <v>747</v>
      </c>
      <c r="G4183" s="12" t="s">
        <v>202</v>
      </c>
      <c r="H4183" s="12" t="s">
        <v>269</v>
      </c>
      <c r="I4183" s="12" t="s">
        <v>193</v>
      </c>
      <c r="J4183" s="12" t="s">
        <v>205</v>
      </c>
      <c r="K4183" s="12" t="s">
        <v>198</v>
      </c>
      <c r="L4183" s="12" t="s">
        <v>207</v>
      </c>
      <c r="M4183" s="12" t="s">
        <v>165</v>
      </c>
    </row>
    <row r="4184" spans="1:17" x14ac:dyDescent="0.3">
      <c r="A4184" s="12" t="s">
        <v>96</v>
      </c>
      <c r="B4184" s="12" t="s">
        <v>746</v>
      </c>
      <c r="C4184" s="12" t="s">
        <v>123</v>
      </c>
      <c r="D4184" s="12" t="s">
        <v>110</v>
      </c>
      <c r="E4184" s="12" t="s">
        <v>114</v>
      </c>
      <c r="F4184" s="20">
        <v>45384</v>
      </c>
      <c r="G4184" s="12" t="s">
        <v>723</v>
      </c>
      <c r="H4184" s="12" t="s">
        <v>748</v>
      </c>
      <c r="I4184" s="12">
        <v>6.25</v>
      </c>
      <c r="J4184" s="12">
        <v>0</v>
      </c>
      <c r="K4184" s="12">
        <v>0</v>
      </c>
      <c r="L4184" s="12">
        <v>0</v>
      </c>
    </row>
    <row r="4185" spans="1:17" x14ac:dyDescent="0.3">
      <c r="A4185" s="12" t="s">
        <v>96</v>
      </c>
      <c r="B4185" s="12" t="s">
        <v>746</v>
      </c>
      <c r="C4185" s="12" t="s">
        <v>123</v>
      </c>
      <c r="D4185" s="12" t="s">
        <v>110</v>
      </c>
      <c r="E4185" s="12" t="s">
        <v>114</v>
      </c>
      <c r="F4185" s="20">
        <v>45455</v>
      </c>
      <c r="G4185" s="12" t="s">
        <v>912</v>
      </c>
      <c r="H4185" s="12" t="s">
        <v>913</v>
      </c>
      <c r="I4185" s="12">
        <v>-35</v>
      </c>
      <c r="J4185" s="12">
        <v>0</v>
      </c>
      <c r="K4185" s="12">
        <v>0</v>
      </c>
      <c r="L4185" s="12">
        <v>0</v>
      </c>
      <c r="M4185" s="12" t="s">
        <v>403</v>
      </c>
    </row>
    <row r="4186" spans="1:17" x14ac:dyDescent="0.3">
      <c r="A4186" s="12" t="s">
        <v>96</v>
      </c>
      <c r="B4186" s="12" t="s">
        <v>746</v>
      </c>
      <c r="C4186" s="12" t="s">
        <v>123</v>
      </c>
      <c r="D4186" s="12" t="s">
        <v>110</v>
      </c>
      <c r="E4186" s="12" t="s">
        <v>114</v>
      </c>
      <c r="F4186" s="20">
        <v>45455</v>
      </c>
      <c r="G4186" s="12" t="s">
        <v>912</v>
      </c>
      <c r="H4186" s="12" t="s">
        <v>913</v>
      </c>
      <c r="I4186" s="12">
        <v>35</v>
      </c>
      <c r="J4186" s="12">
        <v>0</v>
      </c>
      <c r="K4186" s="12">
        <v>0</v>
      </c>
      <c r="L4186" s="12">
        <v>0</v>
      </c>
    </row>
    <row r="4187" spans="1:17" x14ac:dyDescent="0.3">
      <c r="A4187" s="12" t="s">
        <v>96</v>
      </c>
      <c r="B4187" s="12" t="s">
        <v>746</v>
      </c>
      <c r="C4187" s="12" t="s">
        <v>123</v>
      </c>
      <c r="D4187" s="12" t="s">
        <v>110</v>
      </c>
      <c r="E4187" s="12" t="s">
        <v>114</v>
      </c>
      <c r="F4187" s="20">
        <v>45455</v>
      </c>
      <c r="G4187" s="12" t="s">
        <v>912</v>
      </c>
      <c r="H4187" s="12" t="s">
        <v>913</v>
      </c>
      <c r="I4187" s="12">
        <v>-35</v>
      </c>
      <c r="J4187" s="12">
        <v>0</v>
      </c>
      <c r="K4187" s="12">
        <v>0</v>
      </c>
      <c r="L4187" s="12">
        <v>0</v>
      </c>
      <c r="M4187" s="12" t="s">
        <v>403</v>
      </c>
    </row>
    <row r="4188" spans="1:17" x14ac:dyDescent="0.3">
      <c r="A4188" s="12" t="s">
        <v>96</v>
      </c>
      <c r="B4188" s="12" t="s">
        <v>746</v>
      </c>
      <c r="C4188" s="12" t="s">
        <v>123</v>
      </c>
      <c r="D4188" s="12" t="s">
        <v>110</v>
      </c>
      <c r="E4188" s="12" t="s">
        <v>114</v>
      </c>
      <c r="F4188" s="20">
        <v>45455</v>
      </c>
      <c r="G4188" s="12" t="s">
        <v>912</v>
      </c>
      <c r="H4188" s="12" t="s">
        <v>913</v>
      </c>
      <c r="I4188" s="12">
        <v>35</v>
      </c>
      <c r="J4188" s="12">
        <v>0</v>
      </c>
      <c r="K4188" s="12">
        <v>0</v>
      </c>
      <c r="L4188" s="12">
        <v>0</v>
      </c>
    </row>
    <row r="4189" spans="1:17" x14ac:dyDescent="0.3">
      <c r="A4189" s="12" t="s">
        <v>96</v>
      </c>
      <c r="B4189" s="12" t="s">
        <v>746</v>
      </c>
      <c r="C4189" s="12" t="s">
        <v>123</v>
      </c>
      <c r="D4189" s="12" t="s">
        <v>110</v>
      </c>
      <c r="E4189" s="12" t="s">
        <v>114</v>
      </c>
      <c r="F4189" s="20">
        <v>45455</v>
      </c>
      <c r="G4189" s="12" t="s">
        <v>912</v>
      </c>
      <c r="H4189" s="12" t="s">
        <v>913</v>
      </c>
      <c r="I4189" s="12">
        <v>-35</v>
      </c>
      <c r="J4189" s="12">
        <v>0</v>
      </c>
      <c r="K4189" s="12">
        <v>0</v>
      </c>
      <c r="L4189" s="12">
        <v>0</v>
      </c>
      <c r="M4189" s="12" t="s">
        <v>403</v>
      </c>
    </row>
    <row r="4190" spans="1:17" x14ac:dyDescent="0.3">
      <c r="A4190" s="12" t="s">
        <v>96</v>
      </c>
      <c r="B4190" s="12" t="s">
        <v>746</v>
      </c>
      <c r="C4190" s="12" t="s">
        <v>123</v>
      </c>
      <c r="D4190" s="12" t="s">
        <v>110</v>
      </c>
      <c r="E4190" s="12" t="s">
        <v>114</v>
      </c>
      <c r="F4190" s="20">
        <v>45455</v>
      </c>
      <c r="G4190" s="12" t="s">
        <v>912</v>
      </c>
      <c r="H4190" s="12" t="s">
        <v>913</v>
      </c>
      <c r="I4190" s="12">
        <v>35</v>
      </c>
      <c r="J4190" s="12">
        <v>0</v>
      </c>
      <c r="K4190" s="12">
        <v>0</v>
      </c>
      <c r="L4190" s="12">
        <v>0</v>
      </c>
    </row>
    <row r="4191" spans="1:17" x14ac:dyDescent="0.3">
      <c r="A4191" s="12" t="s">
        <v>96</v>
      </c>
      <c r="B4191" s="12" t="s">
        <v>746</v>
      </c>
      <c r="C4191" s="12" t="s">
        <v>123</v>
      </c>
      <c r="D4191" s="12" t="s">
        <v>110</v>
      </c>
      <c r="E4191" s="12" t="s">
        <v>114</v>
      </c>
      <c r="F4191" s="20">
        <v>45455</v>
      </c>
      <c r="G4191" s="12" t="s">
        <v>912</v>
      </c>
      <c r="H4191" s="12" t="s">
        <v>913</v>
      </c>
      <c r="I4191" s="12">
        <v>-35</v>
      </c>
      <c r="J4191" s="12">
        <v>0</v>
      </c>
      <c r="K4191" s="12">
        <v>0</v>
      </c>
      <c r="L4191" s="12">
        <v>0</v>
      </c>
      <c r="M4191" s="12" t="s">
        <v>403</v>
      </c>
    </row>
    <row r="4192" spans="1:17" x14ac:dyDescent="0.3">
      <c r="A4192" s="12" t="s">
        <v>96</v>
      </c>
      <c r="B4192" s="12" t="s">
        <v>746</v>
      </c>
      <c r="C4192" s="12" t="s">
        <v>123</v>
      </c>
      <c r="D4192" s="12" t="s">
        <v>110</v>
      </c>
      <c r="E4192" s="12" t="s">
        <v>114</v>
      </c>
      <c r="F4192" s="20">
        <v>45455</v>
      </c>
      <c r="G4192" s="12" t="s">
        <v>912</v>
      </c>
      <c r="H4192" s="12" t="s">
        <v>913</v>
      </c>
      <c r="I4192" s="12">
        <v>35</v>
      </c>
      <c r="J4192" s="12">
        <v>0</v>
      </c>
      <c r="K4192" s="12">
        <v>0</v>
      </c>
      <c r="L4192" s="12">
        <v>0</v>
      </c>
    </row>
    <row r="4193" spans="1:13" x14ac:dyDescent="0.3">
      <c r="A4193" s="12" t="s">
        <v>96</v>
      </c>
      <c r="B4193" s="12" t="s">
        <v>746</v>
      </c>
      <c r="C4193" s="12" t="s">
        <v>123</v>
      </c>
      <c r="D4193" s="12" t="s">
        <v>110</v>
      </c>
      <c r="E4193" s="12" t="s">
        <v>114</v>
      </c>
      <c r="F4193" s="20">
        <v>45455</v>
      </c>
      <c r="G4193" s="12" t="s">
        <v>912</v>
      </c>
      <c r="H4193" s="12" t="s">
        <v>913</v>
      </c>
      <c r="I4193" s="12">
        <v>35</v>
      </c>
      <c r="J4193" s="12">
        <v>0</v>
      </c>
      <c r="K4193" s="12">
        <v>0</v>
      </c>
      <c r="L4193" s="12">
        <v>0</v>
      </c>
    </row>
    <row r="4194" spans="1:13" x14ac:dyDescent="0.3">
      <c r="A4194" s="12" t="s">
        <v>96</v>
      </c>
      <c r="B4194" s="12" t="s">
        <v>746</v>
      </c>
      <c r="C4194" s="12" t="s">
        <v>123</v>
      </c>
      <c r="D4194" s="12" t="s">
        <v>110</v>
      </c>
      <c r="E4194" s="12" t="s">
        <v>114</v>
      </c>
      <c r="F4194" s="20">
        <v>45455</v>
      </c>
      <c r="G4194" s="12" t="s">
        <v>912</v>
      </c>
      <c r="H4194" s="12" t="s">
        <v>913</v>
      </c>
      <c r="I4194" s="12">
        <v>35</v>
      </c>
      <c r="J4194" s="12">
        <v>0</v>
      </c>
      <c r="K4194" s="12">
        <v>0</v>
      </c>
      <c r="L4194" s="12">
        <v>0</v>
      </c>
    </row>
    <row r="4195" spans="1:13" x14ac:dyDescent="0.3">
      <c r="A4195" s="12" t="s">
        <v>96</v>
      </c>
      <c r="B4195" s="12" t="s">
        <v>746</v>
      </c>
      <c r="C4195" s="12" t="s">
        <v>123</v>
      </c>
      <c r="D4195" s="12" t="s">
        <v>110</v>
      </c>
      <c r="E4195" s="12" t="s">
        <v>114</v>
      </c>
      <c r="F4195" s="20">
        <v>45455</v>
      </c>
      <c r="G4195" s="12" t="s">
        <v>912</v>
      </c>
      <c r="H4195" s="12" t="s">
        <v>913</v>
      </c>
      <c r="I4195" s="12">
        <v>35</v>
      </c>
      <c r="J4195" s="12">
        <v>0</v>
      </c>
      <c r="K4195" s="12">
        <v>0</v>
      </c>
      <c r="L4195" s="12">
        <v>0</v>
      </c>
    </row>
    <row r="4196" spans="1:13" x14ac:dyDescent="0.3">
      <c r="A4196" s="12" t="s">
        <v>96</v>
      </c>
      <c r="B4196" s="12" t="s">
        <v>746</v>
      </c>
      <c r="C4196" s="12" t="s">
        <v>123</v>
      </c>
      <c r="D4196" s="12" t="s">
        <v>110</v>
      </c>
      <c r="E4196" s="12" t="s">
        <v>114</v>
      </c>
      <c r="F4196" s="20">
        <v>45455</v>
      </c>
      <c r="G4196" s="12" t="s">
        <v>912</v>
      </c>
      <c r="H4196" s="12" t="s">
        <v>913</v>
      </c>
      <c r="I4196" s="12">
        <v>-35</v>
      </c>
      <c r="J4196" s="12">
        <v>0</v>
      </c>
      <c r="K4196" s="12">
        <v>0</v>
      </c>
      <c r="L4196" s="12">
        <v>0</v>
      </c>
      <c r="M4196" s="12" t="s">
        <v>403</v>
      </c>
    </row>
    <row r="4197" spans="1:13" x14ac:dyDescent="0.3">
      <c r="A4197" s="12" t="s">
        <v>96</v>
      </c>
      <c r="B4197" s="12" t="s">
        <v>746</v>
      </c>
      <c r="C4197" s="12" t="s">
        <v>123</v>
      </c>
      <c r="D4197" s="12" t="s">
        <v>110</v>
      </c>
      <c r="E4197" s="12" t="s">
        <v>114</v>
      </c>
      <c r="F4197" s="20">
        <v>45455</v>
      </c>
      <c r="G4197" s="12" t="s">
        <v>912</v>
      </c>
      <c r="H4197" s="12" t="s">
        <v>913</v>
      </c>
      <c r="I4197" s="12">
        <v>-35</v>
      </c>
      <c r="J4197" s="12">
        <v>0</v>
      </c>
      <c r="K4197" s="12">
        <v>0</v>
      </c>
      <c r="L4197" s="12">
        <v>0</v>
      </c>
      <c r="M4197" s="12" t="s">
        <v>403</v>
      </c>
    </row>
    <row r="4198" spans="1:13" x14ac:dyDescent="0.3">
      <c r="A4198" s="12" t="s">
        <v>96</v>
      </c>
      <c r="B4198" s="12" t="s">
        <v>746</v>
      </c>
      <c r="C4198" s="12" t="s">
        <v>123</v>
      </c>
      <c r="D4198" s="12" t="s">
        <v>110</v>
      </c>
      <c r="E4198" s="12" t="s">
        <v>114</v>
      </c>
      <c r="F4198" s="20">
        <v>45455</v>
      </c>
      <c r="G4198" s="12" t="s">
        <v>912</v>
      </c>
      <c r="H4198" s="12" t="s">
        <v>913</v>
      </c>
      <c r="I4198" s="12">
        <v>-35</v>
      </c>
      <c r="J4198" s="12">
        <v>0</v>
      </c>
      <c r="K4198" s="12">
        <v>0</v>
      </c>
      <c r="L4198" s="12">
        <v>0</v>
      </c>
      <c r="M4198" s="12" t="s">
        <v>403</v>
      </c>
    </row>
    <row r="4199" spans="1:13" x14ac:dyDescent="0.3">
      <c r="A4199" s="12" t="s">
        <v>96</v>
      </c>
      <c r="B4199" s="12" t="s">
        <v>746</v>
      </c>
      <c r="C4199" s="12" t="s">
        <v>123</v>
      </c>
      <c r="D4199" s="12" t="s">
        <v>110</v>
      </c>
      <c r="E4199" s="12" t="s">
        <v>114</v>
      </c>
      <c r="F4199" s="20">
        <v>45455</v>
      </c>
      <c r="G4199" s="12" t="s">
        <v>912</v>
      </c>
      <c r="H4199" s="12" t="s">
        <v>913</v>
      </c>
      <c r="I4199" s="12">
        <v>35</v>
      </c>
      <c r="J4199" s="12">
        <v>0</v>
      </c>
      <c r="K4199" s="12">
        <v>0</v>
      </c>
      <c r="L4199" s="12">
        <v>0</v>
      </c>
    </row>
    <row r="4200" spans="1:13" x14ac:dyDescent="0.3">
      <c r="A4200" s="12" t="s">
        <v>96</v>
      </c>
      <c r="B4200" s="12" t="s">
        <v>746</v>
      </c>
      <c r="C4200" s="12" t="s">
        <v>123</v>
      </c>
      <c r="D4200" s="12" t="s">
        <v>110</v>
      </c>
      <c r="E4200" s="12" t="s">
        <v>114</v>
      </c>
      <c r="F4200" s="20">
        <v>45455</v>
      </c>
      <c r="G4200" s="12" t="s">
        <v>912</v>
      </c>
      <c r="H4200" s="12" t="s">
        <v>913</v>
      </c>
      <c r="I4200" s="12">
        <v>-35</v>
      </c>
      <c r="J4200" s="12">
        <v>0</v>
      </c>
      <c r="K4200" s="12">
        <v>0</v>
      </c>
      <c r="L4200" s="12">
        <v>0</v>
      </c>
      <c r="M4200" s="12" t="s">
        <v>403</v>
      </c>
    </row>
    <row r="4201" spans="1:13" x14ac:dyDescent="0.3">
      <c r="A4201" s="12" t="s">
        <v>96</v>
      </c>
      <c r="B4201" s="12" t="s">
        <v>746</v>
      </c>
      <c r="C4201" s="12" t="s">
        <v>123</v>
      </c>
      <c r="D4201" s="12" t="s">
        <v>110</v>
      </c>
      <c r="E4201" s="12" t="s">
        <v>114</v>
      </c>
      <c r="F4201" s="20">
        <v>45455</v>
      </c>
      <c r="G4201" s="12" t="s">
        <v>912</v>
      </c>
      <c r="H4201" s="12" t="s">
        <v>913</v>
      </c>
      <c r="I4201" s="12">
        <v>35</v>
      </c>
      <c r="J4201" s="12">
        <v>0</v>
      </c>
      <c r="K4201" s="12">
        <v>0</v>
      </c>
      <c r="L4201" s="12">
        <v>0</v>
      </c>
    </row>
    <row r="4202" spans="1:13" x14ac:dyDescent="0.3">
      <c r="A4202" s="12" t="s">
        <v>96</v>
      </c>
      <c r="B4202" s="12" t="s">
        <v>746</v>
      </c>
      <c r="C4202" s="12" t="s">
        <v>123</v>
      </c>
      <c r="D4202" s="12" t="s">
        <v>110</v>
      </c>
      <c r="E4202" s="12" t="s">
        <v>114</v>
      </c>
      <c r="F4202" s="20">
        <v>45455</v>
      </c>
      <c r="G4202" s="12" t="s">
        <v>912</v>
      </c>
      <c r="H4202" s="12" t="s">
        <v>913</v>
      </c>
      <c r="I4202" s="12">
        <v>-35</v>
      </c>
      <c r="J4202" s="12">
        <v>0</v>
      </c>
      <c r="K4202" s="12">
        <v>0</v>
      </c>
      <c r="L4202" s="12">
        <v>0</v>
      </c>
      <c r="M4202" s="12" t="s">
        <v>403</v>
      </c>
    </row>
    <row r="4203" spans="1:13" x14ac:dyDescent="0.3">
      <c r="A4203" s="12" t="s">
        <v>96</v>
      </c>
      <c r="B4203" s="12" t="s">
        <v>746</v>
      </c>
      <c r="C4203" s="12" t="s">
        <v>123</v>
      </c>
      <c r="D4203" s="12" t="s">
        <v>110</v>
      </c>
      <c r="E4203" s="12" t="s">
        <v>114</v>
      </c>
      <c r="F4203" s="20">
        <v>45455</v>
      </c>
      <c r="G4203" s="12" t="s">
        <v>912</v>
      </c>
      <c r="H4203" s="12" t="s">
        <v>913</v>
      </c>
      <c r="I4203" s="12">
        <v>35</v>
      </c>
      <c r="J4203" s="12">
        <v>0</v>
      </c>
      <c r="K4203" s="12">
        <v>0</v>
      </c>
      <c r="L4203" s="12">
        <v>0</v>
      </c>
    </row>
    <row r="4204" spans="1:13" x14ac:dyDescent="0.3">
      <c r="A4204" s="12" t="s">
        <v>96</v>
      </c>
      <c r="B4204" s="12" t="s">
        <v>746</v>
      </c>
      <c r="C4204" s="12" t="s">
        <v>123</v>
      </c>
      <c r="D4204" s="12" t="s">
        <v>110</v>
      </c>
      <c r="E4204" s="12" t="s">
        <v>114</v>
      </c>
      <c r="F4204" s="20">
        <v>45455</v>
      </c>
      <c r="G4204" s="12" t="s">
        <v>912</v>
      </c>
      <c r="H4204" s="12" t="s">
        <v>913</v>
      </c>
      <c r="I4204" s="12">
        <v>-35</v>
      </c>
      <c r="J4204" s="12">
        <v>0</v>
      </c>
      <c r="K4204" s="12">
        <v>0</v>
      </c>
      <c r="L4204" s="12">
        <v>0</v>
      </c>
      <c r="M4204" s="12" t="s">
        <v>403</v>
      </c>
    </row>
    <row r="4205" spans="1:13" x14ac:dyDescent="0.3">
      <c r="A4205" s="12" t="s">
        <v>96</v>
      </c>
      <c r="B4205" s="12" t="s">
        <v>746</v>
      </c>
      <c r="C4205" s="12" t="s">
        <v>123</v>
      </c>
      <c r="D4205" s="12" t="s">
        <v>110</v>
      </c>
      <c r="E4205" s="12" t="s">
        <v>114</v>
      </c>
      <c r="F4205" s="20">
        <v>45455</v>
      </c>
      <c r="G4205" s="12" t="s">
        <v>912</v>
      </c>
      <c r="H4205" s="12" t="s">
        <v>913</v>
      </c>
      <c r="I4205" s="12">
        <v>35</v>
      </c>
      <c r="J4205" s="12">
        <v>0</v>
      </c>
      <c r="K4205" s="12">
        <v>0</v>
      </c>
      <c r="L4205" s="12">
        <v>0</v>
      </c>
    </row>
    <row r="4206" spans="1:13" x14ac:dyDescent="0.3">
      <c r="A4206" s="12" t="s">
        <v>96</v>
      </c>
      <c r="B4206" s="12" t="s">
        <v>746</v>
      </c>
      <c r="C4206" s="12" t="s">
        <v>123</v>
      </c>
      <c r="D4206" s="12" t="s">
        <v>110</v>
      </c>
      <c r="E4206" s="12" t="s">
        <v>114</v>
      </c>
      <c r="F4206" s="20">
        <v>45455</v>
      </c>
      <c r="G4206" s="12" t="s">
        <v>912</v>
      </c>
      <c r="H4206" s="12" t="s">
        <v>913</v>
      </c>
      <c r="I4206" s="12">
        <v>-35</v>
      </c>
      <c r="J4206" s="12">
        <v>0</v>
      </c>
      <c r="K4206" s="12">
        <v>0</v>
      </c>
      <c r="L4206" s="12">
        <v>0</v>
      </c>
      <c r="M4206" s="12" t="s">
        <v>403</v>
      </c>
    </row>
    <row r="4207" spans="1:13" x14ac:dyDescent="0.3">
      <c r="A4207" s="12" t="s">
        <v>96</v>
      </c>
      <c r="B4207" s="12" t="s">
        <v>746</v>
      </c>
      <c r="C4207" s="12" t="s">
        <v>123</v>
      </c>
      <c r="D4207" s="12" t="s">
        <v>110</v>
      </c>
      <c r="E4207" s="12" t="s">
        <v>114</v>
      </c>
      <c r="F4207" s="20">
        <v>45455</v>
      </c>
      <c r="G4207" s="12" t="s">
        <v>912</v>
      </c>
      <c r="H4207" s="12" t="s">
        <v>913</v>
      </c>
      <c r="I4207" s="12">
        <v>35</v>
      </c>
      <c r="J4207" s="12">
        <v>0</v>
      </c>
      <c r="K4207" s="12">
        <v>0</v>
      </c>
      <c r="L4207" s="12">
        <v>0</v>
      </c>
    </row>
    <row r="4208" spans="1:13" x14ac:dyDescent="0.3">
      <c r="A4208" s="12" t="s">
        <v>96</v>
      </c>
      <c r="B4208" s="12" t="s">
        <v>746</v>
      </c>
      <c r="C4208" s="12" t="s">
        <v>123</v>
      </c>
      <c r="D4208" s="12" t="s">
        <v>110</v>
      </c>
      <c r="E4208" s="12" t="s">
        <v>114</v>
      </c>
      <c r="F4208" s="20">
        <v>45455</v>
      </c>
      <c r="G4208" s="12" t="s">
        <v>912</v>
      </c>
      <c r="H4208" s="12" t="s">
        <v>913</v>
      </c>
      <c r="I4208" s="12">
        <v>-35</v>
      </c>
      <c r="J4208" s="12">
        <v>0</v>
      </c>
      <c r="K4208" s="12">
        <v>0</v>
      </c>
      <c r="L4208" s="12">
        <v>0</v>
      </c>
      <c r="M4208" s="12" t="s">
        <v>403</v>
      </c>
    </row>
    <row r="4209" spans="1:13" x14ac:dyDescent="0.3">
      <c r="A4209" s="12" t="s">
        <v>96</v>
      </c>
      <c r="B4209" s="12" t="s">
        <v>746</v>
      </c>
      <c r="C4209" s="12" t="s">
        <v>123</v>
      </c>
      <c r="D4209" s="12" t="s">
        <v>110</v>
      </c>
      <c r="E4209" s="12" t="s">
        <v>114</v>
      </c>
      <c r="F4209" s="20">
        <v>45455</v>
      </c>
      <c r="G4209" s="12" t="s">
        <v>912</v>
      </c>
      <c r="H4209" s="12" t="s">
        <v>913</v>
      </c>
      <c r="I4209" s="12">
        <v>35</v>
      </c>
      <c r="J4209" s="12">
        <v>0</v>
      </c>
      <c r="K4209" s="12">
        <v>0</v>
      </c>
      <c r="L4209" s="12">
        <v>0</v>
      </c>
    </row>
    <row r="4210" spans="1:13" x14ac:dyDescent="0.3">
      <c r="A4210" s="12" t="s">
        <v>96</v>
      </c>
      <c r="B4210" s="12" t="s">
        <v>746</v>
      </c>
      <c r="C4210" s="12" t="s">
        <v>123</v>
      </c>
      <c r="D4210" s="12" t="s">
        <v>110</v>
      </c>
      <c r="E4210" s="12" t="s">
        <v>114</v>
      </c>
      <c r="F4210" s="20">
        <v>45455</v>
      </c>
      <c r="G4210" s="12" t="s">
        <v>912</v>
      </c>
      <c r="H4210" s="12" t="s">
        <v>913</v>
      </c>
      <c r="I4210" s="12">
        <v>-35</v>
      </c>
      <c r="J4210" s="12">
        <v>0</v>
      </c>
      <c r="K4210" s="12">
        <v>0</v>
      </c>
      <c r="L4210" s="12">
        <v>0</v>
      </c>
      <c r="M4210" s="12" t="s">
        <v>403</v>
      </c>
    </row>
    <row r="4211" spans="1:13" x14ac:dyDescent="0.3">
      <c r="A4211" s="12" t="s">
        <v>96</v>
      </c>
      <c r="B4211" s="12" t="s">
        <v>746</v>
      </c>
      <c r="C4211" s="12" t="s">
        <v>123</v>
      </c>
      <c r="D4211" s="12" t="s">
        <v>110</v>
      </c>
      <c r="E4211" s="12" t="s">
        <v>114</v>
      </c>
      <c r="F4211" s="20">
        <v>45455</v>
      </c>
      <c r="G4211" s="12" t="s">
        <v>912</v>
      </c>
      <c r="H4211" s="12" t="s">
        <v>913</v>
      </c>
      <c r="I4211" s="12">
        <v>35</v>
      </c>
      <c r="J4211" s="12">
        <v>0</v>
      </c>
      <c r="K4211" s="12">
        <v>0</v>
      </c>
      <c r="L4211" s="12">
        <v>0</v>
      </c>
    </row>
    <row r="4212" spans="1:13" x14ac:dyDescent="0.3">
      <c r="A4212" s="12" t="s">
        <v>96</v>
      </c>
      <c r="B4212" s="12" t="s">
        <v>746</v>
      </c>
      <c r="C4212" s="12" t="s">
        <v>123</v>
      </c>
      <c r="D4212" s="12" t="s">
        <v>110</v>
      </c>
      <c r="E4212" s="12" t="s">
        <v>114</v>
      </c>
      <c r="F4212" s="20">
        <v>45455</v>
      </c>
      <c r="G4212" s="12" t="s">
        <v>912</v>
      </c>
      <c r="H4212" s="12" t="s">
        <v>913</v>
      </c>
      <c r="I4212" s="12">
        <v>-35</v>
      </c>
      <c r="J4212" s="12">
        <v>0</v>
      </c>
      <c r="K4212" s="12">
        <v>0</v>
      </c>
      <c r="L4212" s="12">
        <v>0</v>
      </c>
      <c r="M4212" s="12" t="s">
        <v>403</v>
      </c>
    </row>
    <row r="4213" spans="1:13" x14ac:dyDescent="0.3">
      <c r="A4213" s="12" t="s">
        <v>96</v>
      </c>
      <c r="B4213" s="12" t="s">
        <v>746</v>
      </c>
      <c r="C4213" s="12" t="s">
        <v>123</v>
      </c>
      <c r="D4213" s="12" t="s">
        <v>110</v>
      </c>
      <c r="E4213" s="12" t="s">
        <v>114</v>
      </c>
      <c r="F4213" s="20">
        <v>45455</v>
      </c>
      <c r="G4213" s="12" t="s">
        <v>912</v>
      </c>
      <c r="H4213" s="12" t="s">
        <v>913</v>
      </c>
      <c r="I4213" s="12">
        <v>35</v>
      </c>
      <c r="J4213" s="12">
        <v>0</v>
      </c>
      <c r="K4213" s="12">
        <v>0</v>
      </c>
      <c r="L4213" s="12">
        <v>0</v>
      </c>
    </row>
    <row r="4214" spans="1:13" x14ac:dyDescent="0.3">
      <c r="A4214" s="12" t="s">
        <v>96</v>
      </c>
      <c r="B4214" s="12" t="s">
        <v>746</v>
      </c>
      <c r="C4214" s="12" t="s">
        <v>123</v>
      </c>
      <c r="D4214" s="12" t="s">
        <v>110</v>
      </c>
      <c r="E4214" s="12" t="s">
        <v>114</v>
      </c>
      <c r="F4214" s="20">
        <v>45455</v>
      </c>
      <c r="G4214" s="12" t="s">
        <v>912</v>
      </c>
      <c r="H4214" s="12" t="s">
        <v>913</v>
      </c>
      <c r="I4214" s="12">
        <v>-35</v>
      </c>
      <c r="J4214" s="12">
        <v>0</v>
      </c>
      <c r="K4214" s="12">
        <v>0</v>
      </c>
      <c r="L4214" s="12">
        <v>0</v>
      </c>
      <c r="M4214" s="12" t="s">
        <v>403</v>
      </c>
    </row>
    <row r="4215" spans="1:13" x14ac:dyDescent="0.3">
      <c r="A4215" s="12" t="s">
        <v>96</v>
      </c>
      <c r="B4215" s="12" t="s">
        <v>746</v>
      </c>
      <c r="C4215" s="12" t="s">
        <v>123</v>
      </c>
      <c r="D4215" s="12" t="s">
        <v>110</v>
      </c>
      <c r="E4215" s="12" t="s">
        <v>114</v>
      </c>
      <c r="F4215" s="20">
        <v>45455</v>
      </c>
      <c r="G4215" s="12" t="s">
        <v>912</v>
      </c>
      <c r="H4215" s="12" t="s">
        <v>913</v>
      </c>
      <c r="I4215" s="12">
        <v>35</v>
      </c>
      <c r="J4215" s="12">
        <v>0</v>
      </c>
      <c r="K4215" s="12">
        <v>0</v>
      </c>
      <c r="L4215" s="12">
        <v>0</v>
      </c>
    </row>
    <row r="4216" spans="1:13" x14ac:dyDescent="0.3">
      <c r="A4216" s="12" t="s">
        <v>96</v>
      </c>
      <c r="B4216" s="12" t="s">
        <v>746</v>
      </c>
      <c r="C4216" s="12" t="s">
        <v>123</v>
      </c>
      <c r="D4216" s="12" t="s">
        <v>110</v>
      </c>
      <c r="E4216" s="12" t="s">
        <v>114</v>
      </c>
      <c r="F4216" s="20">
        <v>45455</v>
      </c>
      <c r="G4216" s="12" t="s">
        <v>912</v>
      </c>
      <c r="H4216" s="12" t="s">
        <v>913</v>
      </c>
      <c r="I4216" s="12">
        <v>-35</v>
      </c>
      <c r="J4216" s="12">
        <v>0</v>
      </c>
      <c r="K4216" s="12">
        <v>0</v>
      </c>
      <c r="L4216" s="12">
        <v>0</v>
      </c>
      <c r="M4216" s="12" t="s">
        <v>403</v>
      </c>
    </row>
    <row r="4217" spans="1:13" x14ac:dyDescent="0.3">
      <c r="A4217" s="12" t="s">
        <v>96</v>
      </c>
      <c r="B4217" s="12" t="s">
        <v>746</v>
      </c>
      <c r="C4217" s="12" t="s">
        <v>123</v>
      </c>
      <c r="D4217" s="12" t="s">
        <v>110</v>
      </c>
      <c r="E4217" s="12" t="s">
        <v>114</v>
      </c>
      <c r="F4217" s="20">
        <v>45455</v>
      </c>
      <c r="G4217" s="12" t="s">
        <v>912</v>
      </c>
      <c r="H4217" s="12" t="s">
        <v>913</v>
      </c>
      <c r="I4217" s="12">
        <v>35</v>
      </c>
      <c r="J4217" s="12">
        <v>0</v>
      </c>
      <c r="K4217" s="12">
        <v>0</v>
      </c>
      <c r="L4217" s="12">
        <v>0</v>
      </c>
    </row>
    <row r="4218" spans="1:13" x14ac:dyDescent="0.3">
      <c r="A4218" s="12" t="s">
        <v>96</v>
      </c>
      <c r="B4218" s="12" t="s">
        <v>746</v>
      </c>
      <c r="C4218" s="12" t="s">
        <v>123</v>
      </c>
      <c r="D4218" s="12" t="s">
        <v>110</v>
      </c>
      <c r="E4218" s="12" t="s">
        <v>114</v>
      </c>
      <c r="F4218" s="20">
        <v>45455</v>
      </c>
      <c r="G4218" s="12" t="s">
        <v>912</v>
      </c>
      <c r="H4218" s="12" t="s">
        <v>913</v>
      </c>
      <c r="I4218" s="12">
        <v>-35</v>
      </c>
      <c r="J4218" s="12">
        <v>0</v>
      </c>
      <c r="K4218" s="12">
        <v>0</v>
      </c>
      <c r="L4218" s="12">
        <v>0</v>
      </c>
      <c r="M4218" s="12" t="s">
        <v>403</v>
      </c>
    </row>
    <row r="4219" spans="1:13" x14ac:dyDescent="0.3">
      <c r="A4219" s="12" t="s">
        <v>96</v>
      </c>
      <c r="B4219" s="12" t="s">
        <v>746</v>
      </c>
      <c r="C4219" s="12" t="s">
        <v>123</v>
      </c>
      <c r="D4219" s="12" t="s">
        <v>110</v>
      </c>
      <c r="E4219" s="12" t="s">
        <v>114</v>
      </c>
      <c r="F4219" s="20">
        <v>45455</v>
      </c>
      <c r="G4219" s="12" t="s">
        <v>912</v>
      </c>
      <c r="H4219" s="12" t="s">
        <v>913</v>
      </c>
      <c r="I4219" s="12">
        <v>35</v>
      </c>
      <c r="J4219" s="12">
        <v>0</v>
      </c>
      <c r="K4219" s="12">
        <v>0</v>
      </c>
      <c r="L4219" s="12">
        <v>0</v>
      </c>
    </row>
    <row r="4220" spans="1:13" x14ac:dyDescent="0.3">
      <c r="A4220" s="12" t="s">
        <v>96</v>
      </c>
      <c r="B4220" s="12" t="s">
        <v>746</v>
      </c>
      <c r="C4220" s="12" t="s">
        <v>123</v>
      </c>
      <c r="D4220" s="12" t="s">
        <v>110</v>
      </c>
      <c r="E4220" s="12" t="s">
        <v>114</v>
      </c>
      <c r="F4220" s="20">
        <v>45455</v>
      </c>
      <c r="G4220" s="12" t="s">
        <v>912</v>
      </c>
      <c r="H4220" s="12" t="s">
        <v>913</v>
      </c>
      <c r="I4220" s="12">
        <v>-35</v>
      </c>
      <c r="J4220" s="12">
        <v>0</v>
      </c>
      <c r="K4220" s="12">
        <v>0</v>
      </c>
      <c r="L4220" s="12">
        <v>0</v>
      </c>
      <c r="M4220" s="12" t="s">
        <v>403</v>
      </c>
    </row>
    <row r="4221" spans="1:13" x14ac:dyDescent="0.3">
      <c r="A4221" s="12" t="s">
        <v>96</v>
      </c>
      <c r="B4221" s="12" t="s">
        <v>746</v>
      </c>
      <c r="C4221" s="12" t="s">
        <v>123</v>
      </c>
      <c r="D4221" s="12" t="s">
        <v>110</v>
      </c>
      <c r="E4221" s="12" t="s">
        <v>114</v>
      </c>
      <c r="F4221" s="20">
        <v>45455</v>
      </c>
      <c r="G4221" s="12" t="s">
        <v>912</v>
      </c>
      <c r="H4221" s="12" t="s">
        <v>913</v>
      </c>
      <c r="I4221" s="12">
        <v>35</v>
      </c>
      <c r="J4221" s="12">
        <v>0</v>
      </c>
      <c r="K4221" s="12">
        <v>0</v>
      </c>
      <c r="L4221" s="12">
        <v>0</v>
      </c>
    </row>
    <row r="4222" spans="1:13" x14ac:dyDescent="0.3">
      <c r="A4222" s="12" t="s">
        <v>96</v>
      </c>
      <c r="B4222" s="12" t="s">
        <v>746</v>
      </c>
      <c r="C4222" s="12" t="s">
        <v>123</v>
      </c>
      <c r="D4222" s="12" t="s">
        <v>110</v>
      </c>
      <c r="E4222" s="12" t="s">
        <v>114</v>
      </c>
      <c r="F4222" s="20">
        <v>45488</v>
      </c>
      <c r="G4222" s="12" t="s">
        <v>1039</v>
      </c>
      <c r="H4222" s="12" t="s">
        <v>1040</v>
      </c>
      <c r="I4222" s="12">
        <v>63</v>
      </c>
      <c r="J4222" s="12">
        <v>0</v>
      </c>
      <c r="K4222" s="12">
        <v>0</v>
      </c>
      <c r="L4222" s="12">
        <v>0</v>
      </c>
    </row>
    <row r="4223" spans="1:13" x14ac:dyDescent="0.3">
      <c r="A4223" s="12" t="s">
        <v>96</v>
      </c>
      <c r="B4223" s="12" t="s">
        <v>746</v>
      </c>
      <c r="C4223" s="12" t="s">
        <v>123</v>
      </c>
      <c r="D4223" s="12" t="s">
        <v>97</v>
      </c>
      <c r="J4223" s="12">
        <v>0</v>
      </c>
      <c r="K4223" s="12">
        <v>0</v>
      </c>
      <c r="L4223" s="12">
        <v>0</v>
      </c>
    </row>
    <row r="4224" spans="1:13" x14ac:dyDescent="0.3">
      <c r="A4224" s="12" t="s">
        <v>96</v>
      </c>
      <c r="B4224" s="12" t="s">
        <v>773</v>
      </c>
      <c r="C4224" s="12" t="s">
        <v>120</v>
      </c>
      <c r="D4224" s="12" t="s">
        <v>181</v>
      </c>
      <c r="E4224" s="12" t="s">
        <v>822</v>
      </c>
      <c r="F4224" s="12" t="s">
        <v>269</v>
      </c>
      <c r="G4224" s="12" t="s">
        <v>270</v>
      </c>
    </row>
    <row r="4225" spans="1:8" x14ac:dyDescent="0.3">
      <c r="A4225" s="12" t="s">
        <v>96</v>
      </c>
      <c r="B4225" s="12" t="s">
        <v>773</v>
      </c>
      <c r="C4225" s="12" t="s">
        <v>123</v>
      </c>
      <c r="D4225" s="12" t="s">
        <v>114</v>
      </c>
      <c r="E4225" s="20">
        <v>45422</v>
      </c>
      <c r="F4225" s="12" t="s">
        <v>823</v>
      </c>
      <c r="G4225" s="12">
        <v>250000</v>
      </c>
    </row>
    <row r="4226" spans="1:8" x14ac:dyDescent="0.3">
      <c r="A4226" s="12" t="s">
        <v>96</v>
      </c>
      <c r="B4226" s="12" t="s">
        <v>773</v>
      </c>
      <c r="C4226" s="12" t="s">
        <v>123</v>
      </c>
      <c r="D4226" s="12" t="s">
        <v>97</v>
      </c>
      <c r="G4226" s="12">
        <v>250000</v>
      </c>
    </row>
    <row r="4227" spans="1:8" x14ac:dyDescent="0.3">
      <c r="A4227" s="12" t="s">
        <v>96</v>
      </c>
      <c r="B4227" s="12" t="s">
        <v>266</v>
      </c>
      <c r="C4227" s="12" t="s">
        <v>120</v>
      </c>
      <c r="D4227" s="12" t="s">
        <v>267</v>
      </c>
      <c r="E4227" s="12" t="s">
        <v>181</v>
      </c>
      <c r="F4227" s="12" t="s">
        <v>268</v>
      </c>
      <c r="G4227" s="12" t="s">
        <v>269</v>
      </c>
      <c r="H4227" s="12" t="s">
        <v>270</v>
      </c>
    </row>
    <row r="4228" spans="1:8" x14ac:dyDescent="0.3">
      <c r="A4228" s="12" t="s">
        <v>96</v>
      </c>
      <c r="B4228" s="12" t="s">
        <v>266</v>
      </c>
      <c r="C4228" s="12" t="s">
        <v>123</v>
      </c>
      <c r="D4228" s="12" t="s">
        <v>118</v>
      </c>
      <c r="E4228" s="12" t="s">
        <v>114</v>
      </c>
      <c r="F4228" s="20">
        <v>45300</v>
      </c>
      <c r="G4228" s="12" t="s">
        <v>271</v>
      </c>
      <c r="H4228" s="12">
        <v>-9.66</v>
      </c>
    </row>
    <row r="4229" spans="1:8" x14ac:dyDescent="0.3">
      <c r="A4229" s="12" t="s">
        <v>96</v>
      </c>
      <c r="B4229" s="12" t="s">
        <v>266</v>
      </c>
      <c r="C4229" s="12" t="s">
        <v>123</v>
      </c>
      <c r="D4229" s="12" t="s">
        <v>97</v>
      </c>
      <c r="H4229" s="12">
        <v>-9.66</v>
      </c>
    </row>
    <row r="4230" spans="1:8" x14ac:dyDescent="0.3">
      <c r="A4230" s="12" t="s">
        <v>96</v>
      </c>
      <c r="B4230" s="12" t="s">
        <v>157</v>
      </c>
      <c r="C4230" s="12" t="s">
        <v>120</v>
      </c>
      <c r="D4230" s="12" t="s">
        <v>181</v>
      </c>
      <c r="E4230" s="12" t="s">
        <v>268</v>
      </c>
      <c r="F4230" s="12" t="s">
        <v>269</v>
      </c>
      <c r="G4230" s="12" t="s">
        <v>270</v>
      </c>
    </row>
    <row r="4231" spans="1:8" x14ac:dyDescent="0.3">
      <c r="A4231" s="12" t="s">
        <v>96</v>
      </c>
      <c r="B4231" s="12" t="s">
        <v>157</v>
      </c>
      <c r="C4231" s="12" t="s">
        <v>123</v>
      </c>
      <c r="D4231" s="12" t="s">
        <v>114</v>
      </c>
      <c r="E4231" s="20">
        <v>45309</v>
      </c>
      <c r="F4231" s="12" t="s">
        <v>272</v>
      </c>
      <c r="G4231" s="12">
        <v>11.7</v>
      </c>
    </row>
    <row r="4232" spans="1:8" x14ac:dyDescent="0.3">
      <c r="A4232" s="12" t="s">
        <v>96</v>
      </c>
      <c r="B4232" s="12" t="s">
        <v>157</v>
      </c>
      <c r="C4232" s="12" t="s">
        <v>123</v>
      </c>
      <c r="D4232" s="12" t="s">
        <v>114</v>
      </c>
      <c r="E4232" s="20">
        <v>45322</v>
      </c>
      <c r="F4232" s="12" t="s">
        <v>273</v>
      </c>
      <c r="G4232" s="12">
        <v>18.2</v>
      </c>
    </row>
    <row r="4233" spans="1:8" x14ac:dyDescent="0.3">
      <c r="A4233" s="12" t="s">
        <v>96</v>
      </c>
      <c r="B4233" s="12" t="s">
        <v>157</v>
      </c>
      <c r="C4233" s="12" t="s">
        <v>123</v>
      </c>
      <c r="D4233" s="12" t="s">
        <v>114</v>
      </c>
      <c r="E4233" s="20">
        <v>45323</v>
      </c>
      <c r="F4233" s="12" t="s">
        <v>597</v>
      </c>
      <c r="G4233" s="12">
        <v>63.18</v>
      </c>
    </row>
    <row r="4234" spans="1:8" x14ac:dyDescent="0.3">
      <c r="A4234" s="12" t="s">
        <v>96</v>
      </c>
      <c r="B4234" s="12" t="s">
        <v>157</v>
      </c>
      <c r="C4234" s="12" t="s">
        <v>123</v>
      </c>
      <c r="D4234" s="12" t="s">
        <v>114</v>
      </c>
      <c r="E4234" s="20">
        <v>45331</v>
      </c>
      <c r="F4234" s="12" t="s">
        <v>598</v>
      </c>
      <c r="G4234" s="12">
        <v>18.48</v>
      </c>
    </row>
    <row r="4235" spans="1:8" x14ac:dyDescent="0.3">
      <c r="A4235" s="12" t="s">
        <v>96</v>
      </c>
      <c r="B4235" s="12" t="s">
        <v>157</v>
      </c>
      <c r="C4235" s="12" t="s">
        <v>123</v>
      </c>
      <c r="D4235" s="12" t="s">
        <v>114</v>
      </c>
      <c r="E4235" s="20">
        <v>45337</v>
      </c>
      <c r="F4235" s="12" t="s">
        <v>599</v>
      </c>
      <c r="G4235" s="12">
        <v>8.64</v>
      </c>
    </row>
    <row r="4236" spans="1:8" x14ac:dyDescent="0.3">
      <c r="A4236" s="12" t="s">
        <v>96</v>
      </c>
      <c r="B4236" s="12" t="s">
        <v>157</v>
      </c>
      <c r="C4236" s="12" t="s">
        <v>123</v>
      </c>
      <c r="D4236" s="12" t="s">
        <v>114</v>
      </c>
      <c r="E4236" s="20">
        <v>45338</v>
      </c>
      <c r="F4236" s="12" t="s">
        <v>600</v>
      </c>
      <c r="G4236" s="12">
        <v>11.22</v>
      </c>
    </row>
    <row r="4237" spans="1:8" x14ac:dyDescent="0.3">
      <c r="A4237" s="12" t="s">
        <v>96</v>
      </c>
      <c r="B4237" s="12" t="s">
        <v>157</v>
      </c>
      <c r="C4237" s="12" t="s">
        <v>123</v>
      </c>
      <c r="D4237" s="12" t="s">
        <v>114</v>
      </c>
      <c r="E4237" s="20">
        <v>45345</v>
      </c>
      <c r="F4237" s="12" t="s">
        <v>601</v>
      </c>
      <c r="G4237" s="12">
        <v>78.44</v>
      </c>
    </row>
    <row r="4238" spans="1:8" x14ac:dyDescent="0.3">
      <c r="A4238" s="12" t="s">
        <v>96</v>
      </c>
      <c r="B4238" s="12" t="s">
        <v>157</v>
      </c>
      <c r="C4238" s="12" t="s">
        <v>123</v>
      </c>
      <c r="D4238" s="12" t="s">
        <v>114</v>
      </c>
      <c r="E4238" s="20">
        <v>45348</v>
      </c>
      <c r="F4238" s="12" t="s">
        <v>602</v>
      </c>
      <c r="G4238" s="12">
        <v>3.3</v>
      </c>
    </row>
    <row r="4239" spans="1:8" x14ac:dyDescent="0.3">
      <c r="A4239" s="12" t="s">
        <v>96</v>
      </c>
      <c r="B4239" s="12" t="s">
        <v>157</v>
      </c>
      <c r="C4239" s="12" t="s">
        <v>123</v>
      </c>
      <c r="D4239" s="12" t="s">
        <v>114</v>
      </c>
      <c r="E4239" s="20">
        <v>45362</v>
      </c>
      <c r="F4239" s="12" t="s">
        <v>669</v>
      </c>
      <c r="G4239" s="12">
        <v>95</v>
      </c>
    </row>
    <row r="4240" spans="1:8" x14ac:dyDescent="0.3">
      <c r="A4240" s="12" t="s">
        <v>96</v>
      </c>
      <c r="B4240" s="12" t="s">
        <v>157</v>
      </c>
      <c r="C4240" s="12" t="s">
        <v>123</v>
      </c>
      <c r="D4240" s="12" t="s">
        <v>114</v>
      </c>
      <c r="E4240" s="20">
        <v>45365</v>
      </c>
      <c r="F4240" s="12" t="s">
        <v>670</v>
      </c>
      <c r="G4240" s="12">
        <v>36.75</v>
      </c>
    </row>
    <row r="4241" spans="1:7" x14ac:dyDescent="0.3">
      <c r="A4241" s="12" t="s">
        <v>96</v>
      </c>
      <c r="B4241" s="12" t="s">
        <v>157</v>
      </c>
      <c r="C4241" s="12" t="s">
        <v>123</v>
      </c>
      <c r="D4241" s="12" t="s">
        <v>114</v>
      </c>
      <c r="E4241" s="20">
        <v>45366</v>
      </c>
      <c r="F4241" s="12" t="s">
        <v>671</v>
      </c>
      <c r="G4241" s="12">
        <v>8.5</v>
      </c>
    </row>
    <row r="4242" spans="1:7" x14ac:dyDescent="0.3">
      <c r="A4242" s="12" t="s">
        <v>96</v>
      </c>
      <c r="B4242" s="12" t="s">
        <v>157</v>
      </c>
      <c r="C4242" s="12" t="s">
        <v>123</v>
      </c>
      <c r="D4242" s="12" t="s">
        <v>114</v>
      </c>
      <c r="E4242" s="20">
        <v>45372</v>
      </c>
      <c r="F4242" s="12" t="s">
        <v>672</v>
      </c>
      <c r="G4242" s="12">
        <v>24.75</v>
      </c>
    </row>
    <row r="4243" spans="1:7" x14ac:dyDescent="0.3">
      <c r="A4243" s="12" t="s">
        <v>96</v>
      </c>
      <c r="B4243" s="12" t="s">
        <v>157</v>
      </c>
      <c r="C4243" s="12" t="s">
        <v>123</v>
      </c>
      <c r="D4243" s="12" t="s">
        <v>114</v>
      </c>
      <c r="E4243" s="20">
        <v>45372</v>
      </c>
      <c r="F4243" s="12" t="s">
        <v>673</v>
      </c>
      <c r="G4243" s="12">
        <v>16</v>
      </c>
    </row>
    <row r="4244" spans="1:7" x14ac:dyDescent="0.3">
      <c r="A4244" s="12" t="s">
        <v>96</v>
      </c>
      <c r="B4244" s="12" t="s">
        <v>157</v>
      </c>
      <c r="C4244" s="12" t="s">
        <v>123</v>
      </c>
      <c r="D4244" s="12" t="s">
        <v>114</v>
      </c>
      <c r="E4244" s="20">
        <v>45372</v>
      </c>
      <c r="F4244" s="12" t="s">
        <v>674</v>
      </c>
      <c r="G4244" s="12">
        <v>16.96</v>
      </c>
    </row>
    <row r="4245" spans="1:7" x14ac:dyDescent="0.3">
      <c r="A4245" s="12" t="s">
        <v>96</v>
      </c>
      <c r="B4245" s="12" t="s">
        <v>157</v>
      </c>
      <c r="C4245" s="12" t="s">
        <v>123</v>
      </c>
      <c r="D4245" s="12" t="s">
        <v>114</v>
      </c>
      <c r="E4245" s="20">
        <v>45372</v>
      </c>
      <c r="F4245" s="12" t="s">
        <v>675</v>
      </c>
      <c r="G4245" s="12">
        <v>41.56</v>
      </c>
    </row>
    <row r="4246" spans="1:7" x14ac:dyDescent="0.3">
      <c r="A4246" s="12" t="s">
        <v>96</v>
      </c>
      <c r="B4246" s="12" t="s">
        <v>157</v>
      </c>
      <c r="C4246" s="12" t="s">
        <v>123</v>
      </c>
      <c r="D4246" s="12" t="s">
        <v>114</v>
      </c>
      <c r="E4246" s="20">
        <v>45372</v>
      </c>
      <c r="F4246" s="12" t="s">
        <v>676</v>
      </c>
      <c r="G4246" s="12">
        <v>15.69</v>
      </c>
    </row>
    <row r="4247" spans="1:7" x14ac:dyDescent="0.3">
      <c r="A4247" s="12" t="s">
        <v>96</v>
      </c>
      <c r="B4247" s="12" t="s">
        <v>157</v>
      </c>
      <c r="C4247" s="12" t="s">
        <v>123</v>
      </c>
      <c r="D4247" s="12" t="s">
        <v>114</v>
      </c>
      <c r="E4247" s="20">
        <v>45373</v>
      </c>
      <c r="F4247" s="12" t="s">
        <v>677</v>
      </c>
      <c r="G4247" s="12">
        <v>107.87</v>
      </c>
    </row>
    <row r="4248" spans="1:7" x14ac:dyDescent="0.3">
      <c r="A4248" s="12" t="s">
        <v>96</v>
      </c>
      <c r="B4248" s="12" t="s">
        <v>157</v>
      </c>
      <c r="C4248" s="12" t="s">
        <v>123</v>
      </c>
      <c r="D4248" s="12" t="s">
        <v>114</v>
      </c>
      <c r="E4248" s="20">
        <v>45377</v>
      </c>
      <c r="F4248" s="12" t="s">
        <v>678</v>
      </c>
      <c r="G4248" s="12">
        <v>5.5</v>
      </c>
    </row>
    <row r="4249" spans="1:7" x14ac:dyDescent="0.3">
      <c r="A4249" s="12" t="s">
        <v>96</v>
      </c>
      <c r="B4249" s="12" t="s">
        <v>157</v>
      </c>
      <c r="C4249" s="12" t="s">
        <v>123</v>
      </c>
      <c r="D4249" s="12" t="s">
        <v>114</v>
      </c>
      <c r="E4249" s="20">
        <v>45379</v>
      </c>
      <c r="F4249" s="12" t="s">
        <v>679</v>
      </c>
      <c r="G4249" s="12">
        <v>1</v>
      </c>
    </row>
    <row r="4250" spans="1:7" x14ac:dyDescent="0.3">
      <c r="A4250" s="12" t="s">
        <v>96</v>
      </c>
      <c r="B4250" s="12" t="s">
        <v>157</v>
      </c>
      <c r="C4250" s="12" t="s">
        <v>123</v>
      </c>
      <c r="D4250" s="12" t="s">
        <v>114</v>
      </c>
      <c r="E4250" s="20">
        <v>45383</v>
      </c>
      <c r="F4250" s="12" t="s">
        <v>749</v>
      </c>
      <c r="G4250" s="12">
        <v>31.5</v>
      </c>
    </row>
    <row r="4251" spans="1:7" x14ac:dyDescent="0.3">
      <c r="A4251" s="12" t="s">
        <v>96</v>
      </c>
      <c r="B4251" s="12" t="s">
        <v>157</v>
      </c>
      <c r="C4251" s="12" t="s">
        <v>123</v>
      </c>
      <c r="D4251" s="12" t="s">
        <v>114</v>
      </c>
      <c r="E4251" s="20">
        <v>45383</v>
      </c>
      <c r="F4251" s="12" t="s">
        <v>750</v>
      </c>
      <c r="G4251" s="12">
        <v>55.44</v>
      </c>
    </row>
    <row r="4252" spans="1:7" x14ac:dyDescent="0.3">
      <c r="A4252" s="12" t="s">
        <v>96</v>
      </c>
      <c r="B4252" s="12" t="s">
        <v>157</v>
      </c>
      <c r="C4252" s="12" t="s">
        <v>123</v>
      </c>
      <c r="D4252" s="12" t="s">
        <v>114</v>
      </c>
      <c r="E4252" s="20">
        <v>45383</v>
      </c>
      <c r="F4252" s="12" t="s">
        <v>751</v>
      </c>
      <c r="G4252" s="12">
        <v>9.56</v>
      </c>
    </row>
    <row r="4253" spans="1:7" x14ac:dyDescent="0.3">
      <c r="A4253" s="12" t="s">
        <v>96</v>
      </c>
      <c r="B4253" s="12" t="s">
        <v>157</v>
      </c>
      <c r="C4253" s="12" t="s">
        <v>123</v>
      </c>
      <c r="D4253" s="12" t="s">
        <v>114</v>
      </c>
      <c r="E4253" s="20">
        <v>45383</v>
      </c>
      <c r="F4253" s="12" t="s">
        <v>752</v>
      </c>
      <c r="G4253" s="12">
        <v>19.5</v>
      </c>
    </row>
    <row r="4254" spans="1:7" x14ac:dyDescent="0.3">
      <c r="A4254" s="12" t="s">
        <v>96</v>
      </c>
      <c r="B4254" s="12" t="s">
        <v>157</v>
      </c>
      <c r="C4254" s="12" t="s">
        <v>123</v>
      </c>
      <c r="D4254" s="12" t="s">
        <v>114</v>
      </c>
      <c r="E4254" s="20">
        <v>45407</v>
      </c>
      <c r="F4254" s="12" t="s">
        <v>753</v>
      </c>
      <c r="G4254" s="12">
        <v>7</v>
      </c>
    </row>
    <row r="4255" spans="1:7" x14ac:dyDescent="0.3">
      <c r="A4255" s="12" t="s">
        <v>96</v>
      </c>
      <c r="B4255" s="12" t="s">
        <v>157</v>
      </c>
      <c r="C4255" s="12" t="s">
        <v>123</v>
      </c>
      <c r="D4255" s="12" t="s">
        <v>114</v>
      </c>
      <c r="E4255" s="20">
        <v>45422</v>
      </c>
      <c r="F4255" s="12" t="s">
        <v>824</v>
      </c>
      <c r="G4255" s="12">
        <v>11.6</v>
      </c>
    </row>
    <row r="4256" spans="1:7" x14ac:dyDescent="0.3">
      <c r="A4256" s="12" t="s">
        <v>96</v>
      </c>
      <c r="B4256" s="12" t="s">
        <v>157</v>
      </c>
      <c r="C4256" s="12" t="s">
        <v>123</v>
      </c>
      <c r="D4256" s="12" t="s">
        <v>114</v>
      </c>
      <c r="E4256" s="20">
        <v>45422</v>
      </c>
      <c r="F4256" s="12" t="s">
        <v>825</v>
      </c>
      <c r="G4256" s="12">
        <v>26.98</v>
      </c>
    </row>
    <row r="4257" spans="1:7" x14ac:dyDescent="0.3">
      <c r="A4257" s="12" t="s">
        <v>96</v>
      </c>
      <c r="B4257" s="12" t="s">
        <v>157</v>
      </c>
      <c r="C4257" s="12" t="s">
        <v>123</v>
      </c>
      <c r="D4257" s="12" t="s">
        <v>114</v>
      </c>
      <c r="E4257" s="20">
        <v>45428</v>
      </c>
      <c r="F4257" s="12" t="s">
        <v>826</v>
      </c>
      <c r="G4257" s="12">
        <v>9</v>
      </c>
    </row>
    <row r="4258" spans="1:7" x14ac:dyDescent="0.3">
      <c r="A4258" s="12" t="s">
        <v>96</v>
      </c>
      <c r="B4258" s="12" t="s">
        <v>157</v>
      </c>
      <c r="C4258" s="12" t="s">
        <v>123</v>
      </c>
      <c r="D4258" s="12" t="s">
        <v>114</v>
      </c>
      <c r="E4258" s="20">
        <v>45432</v>
      </c>
      <c r="F4258" s="12" t="s">
        <v>827</v>
      </c>
      <c r="G4258" s="12">
        <v>16.899999999999999</v>
      </c>
    </row>
    <row r="4259" spans="1:7" x14ac:dyDescent="0.3">
      <c r="A4259" s="12" t="s">
        <v>96</v>
      </c>
      <c r="B4259" s="12" t="s">
        <v>157</v>
      </c>
      <c r="C4259" s="12" t="s">
        <v>123</v>
      </c>
      <c r="D4259" s="12" t="s">
        <v>114</v>
      </c>
      <c r="E4259" s="20">
        <v>45436</v>
      </c>
      <c r="F4259" s="12" t="s">
        <v>601</v>
      </c>
      <c r="G4259" s="12">
        <v>87.98</v>
      </c>
    </row>
    <row r="4260" spans="1:7" x14ac:dyDescent="0.3">
      <c r="A4260" s="12" t="s">
        <v>96</v>
      </c>
      <c r="B4260" s="12" t="s">
        <v>157</v>
      </c>
      <c r="C4260" s="12" t="s">
        <v>123</v>
      </c>
      <c r="D4260" s="12" t="s">
        <v>114</v>
      </c>
      <c r="E4260" s="20">
        <v>45440</v>
      </c>
      <c r="F4260" s="12" t="s">
        <v>602</v>
      </c>
      <c r="G4260" s="12">
        <v>4.1500000000000004</v>
      </c>
    </row>
    <row r="4261" spans="1:7" x14ac:dyDescent="0.3">
      <c r="A4261" s="12" t="s">
        <v>96</v>
      </c>
      <c r="B4261" s="12" t="s">
        <v>157</v>
      </c>
      <c r="C4261" s="12" t="s">
        <v>123</v>
      </c>
      <c r="D4261" s="12" t="s">
        <v>114</v>
      </c>
      <c r="E4261" s="20">
        <v>45449</v>
      </c>
      <c r="F4261" s="12" t="s">
        <v>679</v>
      </c>
      <c r="G4261" s="12">
        <v>1</v>
      </c>
    </row>
    <row r="4262" spans="1:7" x14ac:dyDescent="0.3">
      <c r="A4262" s="12" t="s">
        <v>96</v>
      </c>
      <c r="B4262" s="12" t="s">
        <v>157</v>
      </c>
      <c r="C4262" s="12" t="s">
        <v>123</v>
      </c>
      <c r="D4262" s="12" t="s">
        <v>114</v>
      </c>
      <c r="E4262" s="20">
        <v>45450</v>
      </c>
      <c r="F4262" s="12" t="s">
        <v>671</v>
      </c>
      <c r="G4262" s="12">
        <v>17</v>
      </c>
    </row>
    <row r="4263" spans="1:7" x14ac:dyDescent="0.3">
      <c r="A4263" s="12" t="s">
        <v>96</v>
      </c>
      <c r="B4263" s="12" t="s">
        <v>157</v>
      </c>
      <c r="C4263" s="12" t="s">
        <v>123</v>
      </c>
      <c r="D4263" s="12" t="s">
        <v>114</v>
      </c>
      <c r="E4263" s="20">
        <v>45453</v>
      </c>
      <c r="F4263" s="12" t="s">
        <v>914</v>
      </c>
      <c r="G4263" s="12">
        <v>50.1</v>
      </c>
    </row>
    <row r="4264" spans="1:7" x14ac:dyDescent="0.3">
      <c r="A4264" s="12" t="s">
        <v>96</v>
      </c>
      <c r="B4264" s="12" t="s">
        <v>157</v>
      </c>
      <c r="C4264" s="12" t="s">
        <v>123</v>
      </c>
      <c r="D4264" s="12" t="s">
        <v>114</v>
      </c>
      <c r="E4264" s="20">
        <v>45453</v>
      </c>
      <c r="F4264" s="12" t="s">
        <v>915</v>
      </c>
      <c r="G4264" s="12">
        <v>13</v>
      </c>
    </row>
    <row r="4265" spans="1:7" x14ac:dyDescent="0.3">
      <c r="A4265" s="12" t="s">
        <v>96</v>
      </c>
      <c r="B4265" s="12" t="s">
        <v>157</v>
      </c>
      <c r="C4265" s="12" t="s">
        <v>123</v>
      </c>
      <c r="D4265" s="12" t="s">
        <v>114</v>
      </c>
      <c r="E4265" s="20">
        <v>45453</v>
      </c>
      <c r="F4265" s="12" t="s">
        <v>669</v>
      </c>
      <c r="G4265" s="12">
        <v>95</v>
      </c>
    </row>
    <row r="4266" spans="1:7" x14ac:dyDescent="0.3">
      <c r="A4266" s="12" t="s">
        <v>96</v>
      </c>
      <c r="B4266" s="12" t="s">
        <v>157</v>
      </c>
      <c r="C4266" s="12" t="s">
        <v>123</v>
      </c>
      <c r="D4266" s="12" t="s">
        <v>114</v>
      </c>
      <c r="E4266" s="20">
        <v>45456</v>
      </c>
      <c r="F4266" s="12" t="s">
        <v>672</v>
      </c>
      <c r="G4266" s="12">
        <v>24.75</v>
      </c>
    </row>
    <row r="4267" spans="1:7" x14ac:dyDescent="0.3">
      <c r="A4267" s="12" t="s">
        <v>96</v>
      </c>
      <c r="B4267" s="12" t="s">
        <v>157</v>
      </c>
      <c r="C4267" s="12" t="s">
        <v>123</v>
      </c>
      <c r="D4267" s="12" t="s">
        <v>114</v>
      </c>
      <c r="E4267" s="20">
        <v>45456</v>
      </c>
      <c r="F4267" s="12" t="s">
        <v>670</v>
      </c>
      <c r="G4267" s="12">
        <v>36.75</v>
      </c>
    </row>
    <row r="4268" spans="1:7" x14ac:dyDescent="0.3">
      <c r="A4268" s="12" t="s">
        <v>96</v>
      </c>
      <c r="B4268" s="12" t="s">
        <v>157</v>
      </c>
      <c r="C4268" s="12" t="s">
        <v>123</v>
      </c>
      <c r="D4268" s="12" t="s">
        <v>114</v>
      </c>
      <c r="E4268" s="20">
        <v>45460</v>
      </c>
      <c r="F4268" s="12" t="s">
        <v>916</v>
      </c>
      <c r="G4268" s="12">
        <v>24.8</v>
      </c>
    </row>
    <row r="4269" spans="1:7" x14ac:dyDescent="0.3">
      <c r="A4269" s="12" t="s">
        <v>96</v>
      </c>
      <c r="B4269" s="12" t="s">
        <v>157</v>
      </c>
      <c r="C4269" s="12" t="s">
        <v>123</v>
      </c>
      <c r="D4269" s="12" t="s">
        <v>114</v>
      </c>
      <c r="E4269" s="20">
        <v>45463</v>
      </c>
      <c r="F4269" s="12" t="s">
        <v>917</v>
      </c>
      <c r="G4269" s="12">
        <v>42.5</v>
      </c>
    </row>
    <row r="4270" spans="1:7" x14ac:dyDescent="0.3">
      <c r="A4270" s="12" t="s">
        <v>96</v>
      </c>
      <c r="B4270" s="12" t="s">
        <v>157</v>
      </c>
      <c r="C4270" s="12" t="s">
        <v>123</v>
      </c>
      <c r="D4270" s="12" t="s">
        <v>114</v>
      </c>
      <c r="E4270" s="20">
        <v>45468</v>
      </c>
      <c r="F4270" s="12" t="s">
        <v>918</v>
      </c>
      <c r="G4270" s="12">
        <v>31.5</v>
      </c>
    </row>
    <row r="4271" spans="1:7" x14ac:dyDescent="0.3">
      <c r="A4271" s="12" t="s">
        <v>96</v>
      </c>
      <c r="B4271" s="12" t="s">
        <v>157</v>
      </c>
      <c r="C4271" s="12" t="s">
        <v>123</v>
      </c>
      <c r="D4271" s="12" t="s">
        <v>114</v>
      </c>
      <c r="E4271" s="20">
        <v>45469</v>
      </c>
      <c r="F4271" s="12" t="s">
        <v>678</v>
      </c>
      <c r="G4271" s="12">
        <v>22</v>
      </c>
    </row>
    <row r="4272" spans="1:7" x14ac:dyDescent="0.3">
      <c r="A4272" s="12" t="s">
        <v>96</v>
      </c>
      <c r="B4272" s="12" t="s">
        <v>157</v>
      </c>
      <c r="C4272" s="12" t="s">
        <v>123</v>
      </c>
      <c r="D4272" s="12" t="s">
        <v>114</v>
      </c>
      <c r="E4272" s="20">
        <v>45469</v>
      </c>
      <c r="F4272" s="12" t="s">
        <v>919</v>
      </c>
      <c r="G4272" s="12">
        <v>71.48</v>
      </c>
    </row>
    <row r="4273" spans="1:7" x14ac:dyDescent="0.3">
      <c r="A4273" s="12" t="s">
        <v>96</v>
      </c>
      <c r="B4273" s="12" t="s">
        <v>157</v>
      </c>
      <c r="C4273" s="12" t="s">
        <v>123</v>
      </c>
      <c r="D4273" s="12" t="s">
        <v>114</v>
      </c>
      <c r="E4273" s="20">
        <v>45469</v>
      </c>
      <c r="F4273" s="12" t="s">
        <v>920</v>
      </c>
      <c r="G4273" s="12">
        <v>32.56</v>
      </c>
    </row>
    <row r="4274" spans="1:7" x14ac:dyDescent="0.3">
      <c r="A4274" s="12" t="s">
        <v>96</v>
      </c>
      <c r="B4274" s="12" t="s">
        <v>157</v>
      </c>
      <c r="C4274" s="12" t="s">
        <v>123</v>
      </c>
      <c r="D4274" s="12" t="s">
        <v>114</v>
      </c>
      <c r="E4274" s="20">
        <v>45469</v>
      </c>
      <c r="F4274" s="12" t="s">
        <v>921</v>
      </c>
      <c r="G4274" s="12">
        <v>33.700000000000003</v>
      </c>
    </row>
    <row r="4275" spans="1:7" x14ac:dyDescent="0.3">
      <c r="A4275" s="12" t="s">
        <v>96</v>
      </c>
      <c r="B4275" s="12" t="s">
        <v>157</v>
      </c>
      <c r="C4275" s="12" t="s">
        <v>123</v>
      </c>
      <c r="D4275" s="12" t="s">
        <v>114</v>
      </c>
      <c r="E4275" s="20">
        <v>45469</v>
      </c>
      <c r="F4275" s="12" t="s">
        <v>922</v>
      </c>
      <c r="G4275" s="12">
        <v>60</v>
      </c>
    </row>
    <row r="4276" spans="1:7" x14ac:dyDescent="0.3">
      <c r="A4276" s="12" t="s">
        <v>96</v>
      </c>
      <c r="B4276" s="12" t="s">
        <v>157</v>
      </c>
      <c r="C4276" s="12" t="s">
        <v>123</v>
      </c>
      <c r="D4276" s="12" t="s">
        <v>114</v>
      </c>
      <c r="E4276" s="20">
        <v>45469</v>
      </c>
      <c r="F4276" s="12" t="s">
        <v>923</v>
      </c>
      <c r="G4276" s="12">
        <v>127.67</v>
      </c>
    </row>
    <row r="4277" spans="1:7" x14ac:dyDescent="0.3">
      <c r="A4277" s="12" t="s">
        <v>96</v>
      </c>
      <c r="B4277" s="12" t="s">
        <v>157</v>
      </c>
      <c r="C4277" s="12" t="s">
        <v>123</v>
      </c>
      <c r="D4277" s="12" t="s">
        <v>114</v>
      </c>
      <c r="E4277" s="20">
        <v>45469</v>
      </c>
      <c r="F4277" s="12" t="s">
        <v>924</v>
      </c>
      <c r="G4277" s="12">
        <v>34.35</v>
      </c>
    </row>
    <row r="4278" spans="1:7" x14ac:dyDescent="0.3">
      <c r="A4278" s="12" t="s">
        <v>96</v>
      </c>
      <c r="B4278" s="12" t="s">
        <v>157</v>
      </c>
      <c r="C4278" s="12" t="s">
        <v>123</v>
      </c>
      <c r="D4278" s="12" t="s">
        <v>114</v>
      </c>
      <c r="E4278" s="20">
        <v>45471</v>
      </c>
      <c r="F4278" s="12" t="s">
        <v>749</v>
      </c>
      <c r="G4278" s="12">
        <v>26.25</v>
      </c>
    </row>
    <row r="4279" spans="1:7" x14ac:dyDescent="0.3">
      <c r="A4279" s="12" t="s">
        <v>96</v>
      </c>
      <c r="B4279" s="12" t="s">
        <v>157</v>
      </c>
      <c r="C4279" s="12" t="s">
        <v>123</v>
      </c>
      <c r="D4279" s="12" t="s">
        <v>114</v>
      </c>
      <c r="E4279" s="20">
        <v>45471</v>
      </c>
      <c r="F4279" s="12" t="s">
        <v>750</v>
      </c>
      <c r="G4279" s="12">
        <v>93.84</v>
      </c>
    </row>
    <row r="4280" spans="1:7" x14ac:dyDescent="0.3">
      <c r="A4280" s="12" t="s">
        <v>96</v>
      </c>
      <c r="B4280" s="12" t="s">
        <v>157</v>
      </c>
      <c r="C4280" s="12" t="s">
        <v>123</v>
      </c>
      <c r="D4280" s="12" t="s">
        <v>114</v>
      </c>
      <c r="E4280" s="20">
        <v>45471</v>
      </c>
      <c r="F4280" s="12" t="s">
        <v>1041</v>
      </c>
      <c r="G4280" s="12">
        <v>9.9</v>
      </c>
    </row>
    <row r="4281" spans="1:7" x14ac:dyDescent="0.3">
      <c r="A4281" s="12" t="s">
        <v>96</v>
      </c>
      <c r="B4281" s="12" t="s">
        <v>157</v>
      </c>
      <c r="C4281" s="12" t="s">
        <v>123</v>
      </c>
      <c r="D4281" s="12" t="s">
        <v>114</v>
      </c>
      <c r="E4281" s="20">
        <v>45471</v>
      </c>
      <c r="F4281" s="12" t="s">
        <v>925</v>
      </c>
      <c r="G4281" s="12">
        <v>103.74</v>
      </c>
    </row>
    <row r="4282" spans="1:7" x14ac:dyDescent="0.3">
      <c r="A4282" s="12" t="s">
        <v>96</v>
      </c>
      <c r="B4282" s="12" t="s">
        <v>157</v>
      </c>
      <c r="C4282" s="12" t="s">
        <v>123</v>
      </c>
      <c r="D4282" s="12" t="s">
        <v>114</v>
      </c>
      <c r="E4282" s="20">
        <v>45474</v>
      </c>
      <c r="F4282" s="12" t="s">
        <v>1042</v>
      </c>
      <c r="G4282" s="12">
        <v>33.950000000000003</v>
      </c>
    </row>
    <row r="4283" spans="1:7" x14ac:dyDescent="0.3">
      <c r="A4283" s="12" t="s">
        <v>96</v>
      </c>
      <c r="B4283" s="12" t="s">
        <v>157</v>
      </c>
      <c r="C4283" s="12" t="s">
        <v>123</v>
      </c>
      <c r="D4283" s="12" t="s">
        <v>114</v>
      </c>
      <c r="E4283" s="20">
        <v>45483</v>
      </c>
      <c r="F4283" s="12" t="s">
        <v>1043</v>
      </c>
      <c r="G4283" s="12">
        <v>7.7</v>
      </c>
    </row>
    <row r="4284" spans="1:7" x14ac:dyDescent="0.3">
      <c r="A4284" s="12" t="s">
        <v>96</v>
      </c>
      <c r="B4284" s="12" t="s">
        <v>157</v>
      </c>
      <c r="C4284" s="12" t="s">
        <v>123</v>
      </c>
      <c r="D4284" s="12" t="s">
        <v>114</v>
      </c>
      <c r="E4284" s="20">
        <v>45485</v>
      </c>
      <c r="F4284" s="12" t="s">
        <v>1044</v>
      </c>
      <c r="G4284" s="12">
        <v>35.64</v>
      </c>
    </row>
    <row r="4285" spans="1:7" x14ac:dyDescent="0.3">
      <c r="A4285" s="12" t="s">
        <v>96</v>
      </c>
      <c r="B4285" s="12" t="s">
        <v>157</v>
      </c>
      <c r="C4285" s="12" t="s">
        <v>123</v>
      </c>
      <c r="D4285" s="12" t="s">
        <v>114</v>
      </c>
      <c r="E4285" s="20">
        <v>45485</v>
      </c>
      <c r="F4285" s="12" t="s">
        <v>1045</v>
      </c>
      <c r="G4285" s="12">
        <v>0.9</v>
      </c>
    </row>
    <row r="4286" spans="1:7" x14ac:dyDescent="0.3">
      <c r="A4286" s="12" t="s">
        <v>96</v>
      </c>
      <c r="B4286" s="12" t="s">
        <v>157</v>
      </c>
      <c r="C4286" s="12" t="s">
        <v>123</v>
      </c>
      <c r="D4286" s="12" t="s">
        <v>114</v>
      </c>
      <c r="E4286" s="20">
        <v>45496</v>
      </c>
      <c r="F4286" s="12" t="s">
        <v>1046</v>
      </c>
      <c r="G4286" s="12">
        <v>9.1999999999999993</v>
      </c>
    </row>
    <row r="4287" spans="1:7" x14ac:dyDescent="0.3">
      <c r="A4287" s="12" t="s">
        <v>96</v>
      </c>
      <c r="B4287" s="12" t="s">
        <v>157</v>
      </c>
      <c r="C4287" s="12" t="s">
        <v>123</v>
      </c>
      <c r="D4287" s="12" t="s">
        <v>114</v>
      </c>
      <c r="E4287" s="20">
        <v>45498</v>
      </c>
      <c r="F4287" s="12" t="s">
        <v>753</v>
      </c>
      <c r="G4287" s="12">
        <v>12.6</v>
      </c>
    </row>
    <row r="4288" spans="1:7" x14ac:dyDescent="0.3">
      <c r="A4288" s="12" t="s">
        <v>96</v>
      </c>
      <c r="B4288" s="12" t="s">
        <v>157</v>
      </c>
      <c r="C4288" s="12" t="s">
        <v>123</v>
      </c>
      <c r="D4288" s="12" t="s">
        <v>114</v>
      </c>
      <c r="E4288" s="20">
        <v>45499</v>
      </c>
      <c r="F4288" s="12" t="s">
        <v>1047</v>
      </c>
      <c r="G4288" s="12">
        <v>8.1</v>
      </c>
    </row>
    <row r="4289" spans="1:8" x14ac:dyDescent="0.3">
      <c r="A4289" s="12" t="s">
        <v>96</v>
      </c>
      <c r="B4289" s="12" t="s">
        <v>157</v>
      </c>
      <c r="C4289" s="12" t="s">
        <v>123</v>
      </c>
      <c r="D4289" s="12" t="s">
        <v>114</v>
      </c>
      <c r="E4289" s="20">
        <v>45504</v>
      </c>
      <c r="F4289" s="12" t="s">
        <v>1048</v>
      </c>
      <c r="G4289" s="12">
        <v>28.75</v>
      </c>
    </row>
    <row r="4290" spans="1:8" x14ac:dyDescent="0.3">
      <c r="A4290" s="12" t="s">
        <v>96</v>
      </c>
      <c r="B4290" s="12" t="s">
        <v>157</v>
      </c>
      <c r="C4290" s="12" t="s">
        <v>123</v>
      </c>
      <c r="D4290" s="12" t="s">
        <v>114</v>
      </c>
      <c r="E4290" s="20">
        <v>45513</v>
      </c>
      <c r="F4290" s="12" t="s">
        <v>824</v>
      </c>
      <c r="G4290" s="12">
        <v>11.6</v>
      </c>
    </row>
    <row r="4291" spans="1:8" x14ac:dyDescent="0.3">
      <c r="A4291" s="12" t="s">
        <v>96</v>
      </c>
      <c r="B4291" s="12" t="s">
        <v>157</v>
      </c>
      <c r="C4291" s="12" t="s">
        <v>123</v>
      </c>
      <c r="D4291" s="12" t="s">
        <v>114</v>
      </c>
      <c r="E4291" s="20">
        <v>45513</v>
      </c>
      <c r="F4291" s="12" t="s">
        <v>825</v>
      </c>
      <c r="G4291" s="12">
        <v>42.6</v>
      </c>
    </row>
    <row r="4292" spans="1:8" x14ac:dyDescent="0.3">
      <c r="A4292" s="12" t="s">
        <v>96</v>
      </c>
      <c r="B4292" s="12" t="s">
        <v>157</v>
      </c>
      <c r="C4292" s="12" t="s">
        <v>123</v>
      </c>
      <c r="D4292" s="12" t="s">
        <v>114</v>
      </c>
      <c r="E4292" s="20">
        <v>45517</v>
      </c>
      <c r="F4292" s="12" t="s">
        <v>1109</v>
      </c>
      <c r="G4292" s="12">
        <v>39</v>
      </c>
    </row>
    <row r="4293" spans="1:8" x14ac:dyDescent="0.3">
      <c r="A4293" s="12" t="s">
        <v>96</v>
      </c>
      <c r="B4293" s="12" t="s">
        <v>157</v>
      </c>
      <c r="C4293" s="12" t="s">
        <v>123</v>
      </c>
      <c r="D4293" s="12" t="s">
        <v>114</v>
      </c>
      <c r="E4293" s="20">
        <v>45519</v>
      </c>
      <c r="F4293" s="12" t="s">
        <v>826</v>
      </c>
      <c r="G4293" s="12">
        <v>18</v>
      </c>
    </row>
    <row r="4294" spans="1:8" x14ac:dyDescent="0.3">
      <c r="A4294" s="12" t="s">
        <v>96</v>
      </c>
      <c r="B4294" s="12" t="s">
        <v>157</v>
      </c>
      <c r="C4294" s="12" t="s">
        <v>123</v>
      </c>
      <c r="D4294" s="12" t="s">
        <v>114</v>
      </c>
      <c r="E4294" s="20">
        <v>45527</v>
      </c>
      <c r="F4294" s="12" t="s">
        <v>1110</v>
      </c>
      <c r="G4294" s="12">
        <v>78.400000000000006</v>
      </c>
    </row>
    <row r="4295" spans="1:8" x14ac:dyDescent="0.3">
      <c r="A4295" s="12" t="s">
        <v>96</v>
      </c>
      <c r="B4295" s="12" t="s">
        <v>157</v>
      </c>
      <c r="C4295" s="12" t="s">
        <v>123</v>
      </c>
      <c r="D4295" s="12" t="s">
        <v>114</v>
      </c>
      <c r="E4295" s="20">
        <v>45530</v>
      </c>
      <c r="F4295" s="12" t="s">
        <v>1111</v>
      </c>
      <c r="G4295" s="12">
        <v>3.44</v>
      </c>
    </row>
    <row r="4296" spans="1:8" x14ac:dyDescent="0.3">
      <c r="A4296" s="12" t="s">
        <v>96</v>
      </c>
      <c r="B4296" s="12" t="s">
        <v>157</v>
      </c>
      <c r="C4296" s="12" t="s">
        <v>123</v>
      </c>
      <c r="D4296" s="12" t="s">
        <v>97</v>
      </c>
      <c r="G4296" s="12">
        <v>2144.12</v>
      </c>
    </row>
    <row r="4297" spans="1:8" x14ac:dyDescent="0.3">
      <c r="A4297" s="12" t="s">
        <v>96</v>
      </c>
      <c r="B4297" s="12" t="s">
        <v>158</v>
      </c>
      <c r="C4297" s="12" t="s">
        <v>120</v>
      </c>
      <c r="D4297" s="12" t="s">
        <v>181</v>
      </c>
      <c r="E4297" s="12" t="s">
        <v>268</v>
      </c>
      <c r="F4297" s="12" t="s">
        <v>269</v>
      </c>
      <c r="G4297" s="12" t="s">
        <v>270</v>
      </c>
      <c r="H4297" s="12" t="s">
        <v>165</v>
      </c>
    </row>
    <row r="4298" spans="1:8" x14ac:dyDescent="0.3">
      <c r="A4298" s="12" t="s">
        <v>96</v>
      </c>
      <c r="B4298" s="12" t="s">
        <v>158</v>
      </c>
      <c r="C4298" s="12" t="s">
        <v>123</v>
      </c>
      <c r="D4298" s="12" t="s">
        <v>114</v>
      </c>
      <c r="E4298" s="20">
        <v>45295</v>
      </c>
      <c r="F4298" s="12" t="s">
        <v>274</v>
      </c>
      <c r="G4298" s="12">
        <v>-57.96</v>
      </c>
    </row>
    <row r="4299" spans="1:8" x14ac:dyDescent="0.3">
      <c r="A4299" s="12" t="s">
        <v>96</v>
      </c>
      <c r="B4299" s="12" t="s">
        <v>158</v>
      </c>
      <c r="C4299" s="12" t="s">
        <v>123</v>
      </c>
      <c r="D4299" s="12" t="s">
        <v>114</v>
      </c>
      <c r="E4299" s="20">
        <v>45309</v>
      </c>
      <c r="F4299" s="12" t="s">
        <v>275</v>
      </c>
      <c r="G4299" s="12">
        <v>-3.51</v>
      </c>
    </row>
    <row r="4300" spans="1:8" x14ac:dyDescent="0.3">
      <c r="A4300" s="12" t="s">
        <v>96</v>
      </c>
      <c r="B4300" s="12" t="s">
        <v>158</v>
      </c>
      <c r="C4300" s="12" t="s">
        <v>123</v>
      </c>
      <c r="D4300" s="12" t="s">
        <v>114</v>
      </c>
      <c r="E4300" s="20">
        <v>45309</v>
      </c>
      <c r="F4300" s="12" t="s">
        <v>275</v>
      </c>
      <c r="G4300" s="12">
        <v>3.51</v>
      </c>
    </row>
    <row r="4301" spans="1:8" x14ac:dyDescent="0.3">
      <c r="A4301" s="12" t="s">
        <v>96</v>
      </c>
      <c r="B4301" s="12" t="s">
        <v>158</v>
      </c>
      <c r="C4301" s="12" t="s">
        <v>123</v>
      </c>
      <c r="D4301" s="12" t="s">
        <v>114</v>
      </c>
      <c r="E4301" s="20">
        <v>45309</v>
      </c>
      <c r="F4301" s="12" t="s">
        <v>275</v>
      </c>
      <c r="G4301" s="12">
        <v>-2.93</v>
      </c>
    </row>
    <row r="4302" spans="1:8" x14ac:dyDescent="0.3">
      <c r="A4302" s="12" t="s">
        <v>96</v>
      </c>
      <c r="B4302" s="12" t="s">
        <v>158</v>
      </c>
      <c r="C4302" s="12" t="s">
        <v>123</v>
      </c>
      <c r="D4302" s="12" t="s">
        <v>114</v>
      </c>
      <c r="E4302" s="20">
        <v>45322</v>
      </c>
      <c r="F4302" s="12" t="s">
        <v>276</v>
      </c>
      <c r="G4302" s="12">
        <v>-5.46</v>
      </c>
    </row>
    <row r="4303" spans="1:8" x14ac:dyDescent="0.3">
      <c r="A4303" s="12" t="s">
        <v>96</v>
      </c>
      <c r="B4303" s="12" t="s">
        <v>158</v>
      </c>
      <c r="C4303" s="12" t="s">
        <v>123</v>
      </c>
      <c r="D4303" s="12" t="s">
        <v>114</v>
      </c>
      <c r="E4303" s="20">
        <v>45322</v>
      </c>
      <c r="F4303" s="12" t="s">
        <v>276</v>
      </c>
      <c r="G4303" s="12">
        <v>5.46</v>
      </c>
    </row>
    <row r="4304" spans="1:8" x14ac:dyDescent="0.3">
      <c r="A4304" s="12" t="s">
        <v>96</v>
      </c>
      <c r="B4304" s="12" t="s">
        <v>158</v>
      </c>
      <c r="C4304" s="12" t="s">
        <v>123</v>
      </c>
      <c r="D4304" s="12" t="s">
        <v>114</v>
      </c>
      <c r="E4304" s="20">
        <v>45322</v>
      </c>
      <c r="F4304" s="12" t="s">
        <v>276</v>
      </c>
      <c r="G4304" s="12">
        <v>-4.55</v>
      </c>
    </row>
    <row r="4305" spans="1:7" x14ac:dyDescent="0.3">
      <c r="A4305" s="12" t="s">
        <v>96</v>
      </c>
      <c r="B4305" s="12" t="s">
        <v>158</v>
      </c>
      <c r="C4305" s="12" t="s">
        <v>123</v>
      </c>
      <c r="D4305" s="12" t="s">
        <v>114</v>
      </c>
      <c r="E4305" s="20">
        <v>45323</v>
      </c>
      <c r="F4305" s="12" t="s">
        <v>603</v>
      </c>
      <c r="G4305" s="12">
        <v>-18.95</v>
      </c>
    </row>
    <row r="4306" spans="1:7" x14ac:dyDescent="0.3">
      <c r="A4306" s="12" t="s">
        <v>96</v>
      </c>
      <c r="B4306" s="12" t="s">
        <v>158</v>
      </c>
      <c r="C4306" s="12" t="s">
        <v>123</v>
      </c>
      <c r="D4306" s="12" t="s">
        <v>114</v>
      </c>
      <c r="E4306" s="20">
        <v>45323</v>
      </c>
      <c r="F4306" s="12" t="s">
        <v>603</v>
      </c>
      <c r="G4306" s="12">
        <v>18.95</v>
      </c>
    </row>
    <row r="4307" spans="1:7" x14ac:dyDescent="0.3">
      <c r="A4307" s="12" t="s">
        <v>96</v>
      </c>
      <c r="B4307" s="12" t="s">
        <v>158</v>
      </c>
      <c r="C4307" s="12" t="s">
        <v>123</v>
      </c>
      <c r="D4307" s="12" t="s">
        <v>114</v>
      </c>
      <c r="E4307" s="20">
        <v>45323</v>
      </c>
      <c r="F4307" s="12" t="s">
        <v>603</v>
      </c>
      <c r="G4307" s="12">
        <v>-15.8</v>
      </c>
    </row>
    <row r="4308" spans="1:7" x14ac:dyDescent="0.3">
      <c r="A4308" s="12" t="s">
        <v>96</v>
      </c>
      <c r="B4308" s="12" t="s">
        <v>158</v>
      </c>
      <c r="C4308" s="12" t="s">
        <v>123</v>
      </c>
      <c r="D4308" s="12" t="s">
        <v>114</v>
      </c>
      <c r="E4308" s="20">
        <v>45327</v>
      </c>
      <c r="F4308" s="12" t="s">
        <v>604</v>
      </c>
      <c r="G4308" s="12">
        <v>-87.43</v>
      </c>
    </row>
    <row r="4309" spans="1:7" x14ac:dyDescent="0.3">
      <c r="A4309" s="12" t="s">
        <v>96</v>
      </c>
      <c r="B4309" s="12" t="s">
        <v>158</v>
      </c>
      <c r="C4309" s="12" t="s">
        <v>123</v>
      </c>
      <c r="D4309" s="12" t="s">
        <v>114</v>
      </c>
      <c r="E4309" s="20">
        <v>45331</v>
      </c>
      <c r="F4309" s="12" t="s">
        <v>605</v>
      </c>
      <c r="G4309" s="12">
        <v>-5.54</v>
      </c>
    </row>
    <row r="4310" spans="1:7" x14ac:dyDescent="0.3">
      <c r="A4310" s="12" t="s">
        <v>96</v>
      </c>
      <c r="B4310" s="12" t="s">
        <v>158</v>
      </c>
      <c r="C4310" s="12" t="s">
        <v>123</v>
      </c>
      <c r="D4310" s="12" t="s">
        <v>114</v>
      </c>
      <c r="E4310" s="20">
        <v>45331</v>
      </c>
      <c r="F4310" s="12" t="s">
        <v>605</v>
      </c>
      <c r="G4310" s="12">
        <v>5.54</v>
      </c>
    </row>
    <row r="4311" spans="1:7" x14ac:dyDescent="0.3">
      <c r="A4311" s="12" t="s">
        <v>96</v>
      </c>
      <c r="B4311" s="12" t="s">
        <v>158</v>
      </c>
      <c r="C4311" s="12" t="s">
        <v>123</v>
      </c>
      <c r="D4311" s="12" t="s">
        <v>114</v>
      </c>
      <c r="E4311" s="20">
        <v>45331</v>
      </c>
      <c r="F4311" s="12" t="s">
        <v>605</v>
      </c>
      <c r="G4311" s="12">
        <v>-4.62</v>
      </c>
    </row>
    <row r="4312" spans="1:7" x14ac:dyDescent="0.3">
      <c r="A4312" s="12" t="s">
        <v>96</v>
      </c>
      <c r="B4312" s="12" t="s">
        <v>158</v>
      </c>
      <c r="C4312" s="12" t="s">
        <v>123</v>
      </c>
      <c r="D4312" s="12" t="s">
        <v>114</v>
      </c>
      <c r="E4312" s="20">
        <v>45337</v>
      </c>
      <c r="F4312" s="12" t="s">
        <v>606</v>
      </c>
      <c r="G4312" s="12">
        <v>-2.59</v>
      </c>
    </row>
    <row r="4313" spans="1:7" x14ac:dyDescent="0.3">
      <c r="A4313" s="12" t="s">
        <v>96</v>
      </c>
      <c r="B4313" s="12" t="s">
        <v>158</v>
      </c>
      <c r="C4313" s="12" t="s">
        <v>123</v>
      </c>
      <c r="D4313" s="12" t="s">
        <v>114</v>
      </c>
      <c r="E4313" s="20">
        <v>45337</v>
      </c>
      <c r="F4313" s="12" t="s">
        <v>606</v>
      </c>
      <c r="G4313" s="12">
        <v>2.59</v>
      </c>
    </row>
    <row r="4314" spans="1:7" x14ac:dyDescent="0.3">
      <c r="A4314" s="12" t="s">
        <v>96</v>
      </c>
      <c r="B4314" s="12" t="s">
        <v>158</v>
      </c>
      <c r="C4314" s="12" t="s">
        <v>123</v>
      </c>
      <c r="D4314" s="12" t="s">
        <v>114</v>
      </c>
      <c r="E4314" s="20">
        <v>45337</v>
      </c>
      <c r="F4314" s="12" t="s">
        <v>606</v>
      </c>
      <c r="G4314" s="12">
        <v>-2.16</v>
      </c>
    </row>
    <row r="4315" spans="1:7" x14ac:dyDescent="0.3">
      <c r="A4315" s="12" t="s">
        <v>96</v>
      </c>
      <c r="B4315" s="12" t="s">
        <v>158</v>
      </c>
      <c r="C4315" s="12" t="s">
        <v>123</v>
      </c>
      <c r="D4315" s="12" t="s">
        <v>114</v>
      </c>
      <c r="E4315" s="20">
        <v>45338</v>
      </c>
      <c r="F4315" s="12" t="s">
        <v>607</v>
      </c>
      <c r="G4315" s="12">
        <v>-3.37</v>
      </c>
    </row>
    <row r="4316" spans="1:7" x14ac:dyDescent="0.3">
      <c r="A4316" s="12" t="s">
        <v>96</v>
      </c>
      <c r="B4316" s="12" t="s">
        <v>158</v>
      </c>
      <c r="C4316" s="12" t="s">
        <v>123</v>
      </c>
      <c r="D4316" s="12" t="s">
        <v>114</v>
      </c>
      <c r="E4316" s="20">
        <v>45338</v>
      </c>
      <c r="F4316" s="12" t="s">
        <v>607</v>
      </c>
      <c r="G4316" s="12">
        <v>3.37</v>
      </c>
    </row>
    <row r="4317" spans="1:7" x14ac:dyDescent="0.3">
      <c r="A4317" s="12" t="s">
        <v>96</v>
      </c>
      <c r="B4317" s="12" t="s">
        <v>158</v>
      </c>
      <c r="C4317" s="12" t="s">
        <v>123</v>
      </c>
      <c r="D4317" s="12" t="s">
        <v>114</v>
      </c>
      <c r="E4317" s="20">
        <v>45338</v>
      </c>
      <c r="F4317" s="12" t="s">
        <v>607</v>
      </c>
      <c r="G4317" s="12">
        <v>-2.81</v>
      </c>
    </row>
    <row r="4318" spans="1:7" x14ac:dyDescent="0.3">
      <c r="A4318" s="12" t="s">
        <v>96</v>
      </c>
      <c r="B4318" s="12" t="s">
        <v>158</v>
      </c>
      <c r="C4318" s="12" t="s">
        <v>123</v>
      </c>
      <c r="D4318" s="12" t="s">
        <v>114</v>
      </c>
      <c r="E4318" s="20">
        <v>45342</v>
      </c>
      <c r="F4318" s="12" t="s">
        <v>608</v>
      </c>
      <c r="G4318" s="12">
        <v>57.96</v>
      </c>
    </row>
    <row r="4319" spans="1:7" x14ac:dyDescent="0.3">
      <c r="A4319" s="12" t="s">
        <v>96</v>
      </c>
      <c r="B4319" s="12" t="s">
        <v>158</v>
      </c>
      <c r="C4319" s="12" t="s">
        <v>123</v>
      </c>
      <c r="D4319" s="12" t="s">
        <v>114</v>
      </c>
      <c r="E4319" s="20">
        <v>45342</v>
      </c>
      <c r="F4319" s="12" t="s">
        <v>609</v>
      </c>
      <c r="G4319" s="12">
        <v>87.43</v>
      </c>
    </row>
    <row r="4320" spans="1:7" x14ac:dyDescent="0.3">
      <c r="A4320" s="12" t="s">
        <v>96</v>
      </c>
      <c r="B4320" s="12" t="s">
        <v>158</v>
      </c>
      <c r="C4320" s="12" t="s">
        <v>123</v>
      </c>
      <c r="D4320" s="12" t="s">
        <v>114</v>
      </c>
      <c r="E4320" s="20">
        <v>45345</v>
      </c>
      <c r="F4320" s="12" t="s">
        <v>610</v>
      </c>
      <c r="G4320" s="12">
        <v>-19.61</v>
      </c>
    </row>
    <row r="4321" spans="1:7" x14ac:dyDescent="0.3">
      <c r="A4321" s="12" t="s">
        <v>96</v>
      </c>
      <c r="B4321" s="12" t="s">
        <v>158</v>
      </c>
      <c r="C4321" s="12" t="s">
        <v>123</v>
      </c>
      <c r="D4321" s="12" t="s">
        <v>114</v>
      </c>
      <c r="E4321" s="20">
        <v>45348</v>
      </c>
      <c r="F4321" s="12" t="s">
        <v>611</v>
      </c>
      <c r="G4321" s="12">
        <v>-0.83</v>
      </c>
    </row>
    <row r="4322" spans="1:7" x14ac:dyDescent="0.3">
      <c r="A4322" s="12" t="s">
        <v>96</v>
      </c>
      <c r="B4322" s="12" t="s">
        <v>158</v>
      </c>
      <c r="C4322" s="12" t="s">
        <v>123</v>
      </c>
      <c r="D4322" s="12" t="s">
        <v>114</v>
      </c>
      <c r="E4322" s="20">
        <v>45362</v>
      </c>
      <c r="F4322" s="12" t="s">
        <v>680</v>
      </c>
      <c r="G4322" s="12">
        <v>-23.75</v>
      </c>
    </row>
    <row r="4323" spans="1:7" x14ac:dyDescent="0.3">
      <c r="A4323" s="12" t="s">
        <v>96</v>
      </c>
      <c r="B4323" s="12" t="s">
        <v>158</v>
      </c>
      <c r="C4323" s="12" t="s">
        <v>123</v>
      </c>
      <c r="D4323" s="12" t="s">
        <v>114</v>
      </c>
      <c r="E4323" s="20">
        <v>45365</v>
      </c>
      <c r="F4323" s="12" t="s">
        <v>681</v>
      </c>
      <c r="G4323" s="12">
        <v>-9.19</v>
      </c>
    </row>
    <row r="4324" spans="1:7" x14ac:dyDescent="0.3">
      <c r="A4324" s="12" t="s">
        <v>96</v>
      </c>
      <c r="B4324" s="12" t="s">
        <v>158</v>
      </c>
      <c r="C4324" s="12" t="s">
        <v>123</v>
      </c>
      <c r="D4324" s="12" t="s">
        <v>114</v>
      </c>
      <c r="E4324" s="20">
        <v>45366</v>
      </c>
      <c r="F4324" s="12" t="s">
        <v>682</v>
      </c>
      <c r="G4324" s="12">
        <v>-2.13</v>
      </c>
    </row>
    <row r="4325" spans="1:7" x14ac:dyDescent="0.3">
      <c r="A4325" s="12" t="s">
        <v>96</v>
      </c>
      <c r="B4325" s="12" t="s">
        <v>158</v>
      </c>
      <c r="C4325" s="12" t="s">
        <v>123</v>
      </c>
      <c r="D4325" s="12" t="s">
        <v>114</v>
      </c>
      <c r="E4325" s="20">
        <v>45372</v>
      </c>
      <c r="F4325" s="12" t="s">
        <v>683</v>
      </c>
      <c r="G4325" s="12">
        <v>-6.19</v>
      </c>
    </row>
    <row r="4326" spans="1:7" x14ac:dyDescent="0.3">
      <c r="A4326" s="12" t="s">
        <v>96</v>
      </c>
      <c r="B4326" s="12" t="s">
        <v>158</v>
      </c>
      <c r="C4326" s="12" t="s">
        <v>123</v>
      </c>
      <c r="D4326" s="12" t="s">
        <v>114</v>
      </c>
      <c r="E4326" s="20">
        <v>45372</v>
      </c>
      <c r="F4326" s="12" t="s">
        <v>684</v>
      </c>
      <c r="G4326" s="12">
        <v>-4</v>
      </c>
    </row>
    <row r="4327" spans="1:7" x14ac:dyDescent="0.3">
      <c r="A4327" s="12" t="s">
        <v>96</v>
      </c>
      <c r="B4327" s="12" t="s">
        <v>158</v>
      </c>
      <c r="C4327" s="12" t="s">
        <v>123</v>
      </c>
      <c r="D4327" s="12" t="s">
        <v>114</v>
      </c>
      <c r="E4327" s="20">
        <v>45372</v>
      </c>
      <c r="F4327" s="12" t="s">
        <v>685</v>
      </c>
      <c r="G4327" s="12">
        <v>-4.24</v>
      </c>
    </row>
    <row r="4328" spans="1:7" x14ac:dyDescent="0.3">
      <c r="A4328" s="12" t="s">
        <v>96</v>
      </c>
      <c r="B4328" s="12" t="s">
        <v>158</v>
      </c>
      <c r="C4328" s="12" t="s">
        <v>123</v>
      </c>
      <c r="D4328" s="12" t="s">
        <v>114</v>
      </c>
      <c r="E4328" s="20">
        <v>45372</v>
      </c>
      <c r="F4328" s="12" t="s">
        <v>686</v>
      </c>
      <c r="G4328" s="12">
        <v>-10.39</v>
      </c>
    </row>
    <row r="4329" spans="1:7" x14ac:dyDescent="0.3">
      <c r="A4329" s="12" t="s">
        <v>96</v>
      </c>
      <c r="B4329" s="12" t="s">
        <v>158</v>
      </c>
      <c r="C4329" s="12" t="s">
        <v>123</v>
      </c>
      <c r="D4329" s="12" t="s">
        <v>114</v>
      </c>
      <c r="E4329" s="20">
        <v>45372</v>
      </c>
      <c r="F4329" s="12" t="s">
        <v>687</v>
      </c>
      <c r="G4329" s="12">
        <v>-3.92</v>
      </c>
    </row>
    <row r="4330" spans="1:7" x14ac:dyDescent="0.3">
      <c r="A4330" s="12" t="s">
        <v>96</v>
      </c>
      <c r="B4330" s="12" t="s">
        <v>158</v>
      </c>
      <c r="C4330" s="12" t="s">
        <v>123</v>
      </c>
      <c r="D4330" s="12" t="s">
        <v>114</v>
      </c>
      <c r="E4330" s="20">
        <v>45373</v>
      </c>
      <c r="F4330" s="12" t="s">
        <v>688</v>
      </c>
      <c r="G4330" s="12">
        <v>-26.97</v>
      </c>
    </row>
    <row r="4331" spans="1:7" x14ac:dyDescent="0.3">
      <c r="A4331" s="12" t="s">
        <v>96</v>
      </c>
      <c r="B4331" s="12" t="s">
        <v>158</v>
      </c>
      <c r="C4331" s="12" t="s">
        <v>123</v>
      </c>
      <c r="D4331" s="12" t="s">
        <v>114</v>
      </c>
      <c r="E4331" s="20">
        <v>45377</v>
      </c>
      <c r="F4331" s="12" t="s">
        <v>689</v>
      </c>
      <c r="G4331" s="12">
        <v>-1.38</v>
      </c>
    </row>
    <row r="4332" spans="1:7" x14ac:dyDescent="0.3">
      <c r="A4332" s="12" t="s">
        <v>96</v>
      </c>
      <c r="B4332" s="12" t="s">
        <v>158</v>
      </c>
      <c r="C4332" s="12" t="s">
        <v>123</v>
      </c>
      <c r="D4332" s="12" t="s">
        <v>114</v>
      </c>
      <c r="E4332" s="20">
        <v>45379</v>
      </c>
      <c r="F4332" s="12" t="s">
        <v>690</v>
      </c>
      <c r="G4332" s="12">
        <v>-0.25</v>
      </c>
    </row>
    <row r="4333" spans="1:7" x14ac:dyDescent="0.3">
      <c r="A4333" s="12" t="s">
        <v>96</v>
      </c>
      <c r="B4333" s="12" t="s">
        <v>158</v>
      </c>
      <c r="C4333" s="12" t="s">
        <v>123</v>
      </c>
      <c r="D4333" s="12" t="s">
        <v>114</v>
      </c>
      <c r="E4333" s="20">
        <v>45383</v>
      </c>
      <c r="F4333" s="12" t="s">
        <v>754</v>
      </c>
      <c r="G4333" s="12">
        <v>-7.88</v>
      </c>
    </row>
    <row r="4334" spans="1:7" x14ac:dyDescent="0.3">
      <c r="A4334" s="12" t="s">
        <v>96</v>
      </c>
      <c r="B4334" s="12" t="s">
        <v>158</v>
      </c>
      <c r="C4334" s="12" t="s">
        <v>123</v>
      </c>
      <c r="D4334" s="12" t="s">
        <v>114</v>
      </c>
      <c r="E4334" s="20">
        <v>45383</v>
      </c>
      <c r="F4334" s="12" t="s">
        <v>755</v>
      </c>
      <c r="G4334" s="12">
        <v>-13.86</v>
      </c>
    </row>
    <row r="4335" spans="1:7" x14ac:dyDescent="0.3">
      <c r="A4335" s="12" t="s">
        <v>96</v>
      </c>
      <c r="B4335" s="12" t="s">
        <v>158</v>
      </c>
      <c r="C4335" s="12" t="s">
        <v>123</v>
      </c>
      <c r="D4335" s="12" t="s">
        <v>114</v>
      </c>
      <c r="E4335" s="20">
        <v>45383</v>
      </c>
      <c r="F4335" s="12" t="s">
        <v>756</v>
      </c>
      <c r="G4335" s="12">
        <v>-2.39</v>
      </c>
    </row>
    <row r="4336" spans="1:7" x14ac:dyDescent="0.3">
      <c r="A4336" s="12" t="s">
        <v>96</v>
      </c>
      <c r="B4336" s="12" t="s">
        <v>158</v>
      </c>
      <c r="C4336" s="12" t="s">
        <v>123</v>
      </c>
      <c r="D4336" s="12" t="s">
        <v>114</v>
      </c>
      <c r="E4336" s="20">
        <v>45383</v>
      </c>
      <c r="F4336" s="12" t="s">
        <v>757</v>
      </c>
      <c r="G4336" s="12">
        <v>-4.88</v>
      </c>
    </row>
    <row r="4337" spans="1:7" x14ac:dyDescent="0.3">
      <c r="A4337" s="12" t="s">
        <v>96</v>
      </c>
      <c r="B4337" s="12" t="s">
        <v>158</v>
      </c>
      <c r="C4337" s="12" t="s">
        <v>123</v>
      </c>
      <c r="D4337" s="12" t="s">
        <v>114</v>
      </c>
      <c r="E4337" s="20">
        <v>45407</v>
      </c>
      <c r="F4337" s="12" t="s">
        <v>758</v>
      </c>
      <c r="G4337" s="12">
        <v>-1.75</v>
      </c>
    </row>
    <row r="4338" spans="1:7" x14ac:dyDescent="0.3">
      <c r="A4338" s="12" t="s">
        <v>96</v>
      </c>
      <c r="B4338" s="12" t="s">
        <v>158</v>
      </c>
      <c r="C4338" s="12" t="s">
        <v>123</v>
      </c>
      <c r="D4338" s="12" t="s">
        <v>114</v>
      </c>
      <c r="E4338" s="20">
        <v>45422</v>
      </c>
      <c r="F4338" s="12" t="s">
        <v>828</v>
      </c>
      <c r="G4338" s="12">
        <v>-2.9</v>
      </c>
    </row>
    <row r="4339" spans="1:7" x14ac:dyDescent="0.3">
      <c r="A4339" s="12" t="s">
        <v>96</v>
      </c>
      <c r="B4339" s="12" t="s">
        <v>158</v>
      </c>
      <c r="C4339" s="12" t="s">
        <v>123</v>
      </c>
      <c r="D4339" s="12" t="s">
        <v>114</v>
      </c>
      <c r="E4339" s="20">
        <v>45422</v>
      </c>
      <c r="F4339" s="12" t="s">
        <v>829</v>
      </c>
      <c r="G4339" s="12">
        <v>-6.75</v>
      </c>
    </row>
    <row r="4340" spans="1:7" x14ac:dyDescent="0.3">
      <c r="A4340" s="12" t="s">
        <v>96</v>
      </c>
      <c r="B4340" s="12" t="s">
        <v>158</v>
      </c>
      <c r="C4340" s="12" t="s">
        <v>123</v>
      </c>
      <c r="D4340" s="12" t="s">
        <v>114</v>
      </c>
      <c r="E4340" s="20">
        <v>45428</v>
      </c>
      <c r="F4340" s="12" t="s">
        <v>830</v>
      </c>
      <c r="G4340" s="12">
        <v>-2.25</v>
      </c>
    </row>
    <row r="4341" spans="1:7" x14ac:dyDescent="0.3">
      <c r="A4341" s="12" t="s">
        <v>96</v>
      </c>
      <c r="B4341" s="12" t="s">
        <v>158</v>
      </c>
      <c r="C4341" s="12" t="s">
        <v>123</v>
      </c>
      <c r="D4341" s="12" t="s">
        <v>114</v>
      </c>
      <c r="E4341" s="20">
        <v>45432</v>
      </c>
      <c r="F4341" s="12" t="s">
        <v>831</v>
      </c>
      <c r="G4341" s="12">
        <v>-4.2300000000000004</v>
      </c>
    </row>
    <row r="4342" spans="1:7" x14ac:dyDescent="0.3">
      <c r="A4342" s="12" t="s">
        <v>96</v>
      </c>
      <c r="B4342" s="12" t="s">
        <v>158</v>
      </c>
      <c r="C4342" s="12" t="s">
        <v>123</v>
      </c>
      <c r="D4342" s="12" t="s">
        <v>114</v>
      </c>
      <c r="E4342" s="20">
        <v>45436</v>
      </c>
      <c r="F4342" s="12" t="s">
        <v>610</v>
      </c>
      <c r="G4342" s="12">
        <v>-22</v>
      </c>
    </row>
    <row r="4343" spans="1:7" x14ac:dyDescent="0.3">
      <c r="A4343" s="12" t="s">
        <v>96</v>
      </c>
      <c r="B4343" s="12" t="s">
        <v>158</v>
      </c>
      <c r="C4343" s="12" t="s">
        <v>123</v>
      </c>
      <c r="D4343" s="12" t="s">
        <v>114</v>
      </c>
      <c r="E4343" s="20">
        <v>45440</v>
      </c>
      <c r="F4343" s="12" t="s">
        <v>611</v>
      </c>
      <c r="G4343" s="12">
        <v>-1.04</v>
      </c>
    </row>
    <row r="4344" spans="1:7" x14ac:dyDescent="0.3">
      <c r="A4344" s="12" t="s">
        <v>96</v>
      </c>
      <c r="B4344" s="12" t="s">
        <v>158</v>
      </c>
      <c r="C4344" s="12" t="s">
        <v>123</v>
      </c>
      <c r="D4344" s="12" t="s">
        <v>114</v>
      </c>
      <c r="E4344" s="20">
        <v>45449</v>
      </c>
      <c r="F4344" s="12" t="s">
        <v>690</v>
      </c>
      <c r="G4344" s="12">
        <v>-0.25</v>
      </c>
    </row>
    <row r="4345" spans="1:7" x14ac:dyDescent="0.3">
      <c r="A4345" s="12" t="s">
        <v>96</v>
      </c>
      <c r="B4345" s="12" t="s">
        <v>158</v>
      </c>
      <c r="C4345" s="12" t="s">
        <v>123</v>
      </c>
      <c r="D4345" s="12" t="s">
        <v>114</v>
      </c>
      <c r="E4345" s="20">
        <v>45450</v>
      </c>
      <c r="F4345" s="12" t="s">
        <v>682</v>
      </c>
      <c r="G4345" s="12">
        <v>-4.25</v>
      </c>
    </row>
    <row r="4346" spans="1:7" x14ac:dyDescent="0.3">
      <c r="A4346" s="12" t="s">
        <v>96</v>
      </c>
      <c r="B4346" s="12" t="s">
        <v>158</v>
      </c>
      <c r="C4346" s="12" t="s">
        <v>123</v>
      </c>
      <c r="D4346" s="12" t="s">
        <v>114</v>
      </c>
      <c r="E4346" s="20">
        <v>45453</v>
      </c>
      <c r="F4346" s="12" t="s">
        <v>926</v>
      </c>
      <c r="G4346" s="12">
        <v>-12.53</v>
      </c>
    </row>
    <row r="4347" spans="1:7" x14ac:dyDescent="0.3">
      <c r="A4347" s="12" t="s">
        <v>96</v>
      </c>
      <c r="B4347" s="12" t="s">
        <v>158</v>
      </c>
      <c r="C4347" s="12" t="s">
        <v>123</v>
      </c>
      <c r="D4347" s="12" t="s">
        <v>114</v>
      </c>
      <c r="E4347" s="20">
        <v>45453</v>
      </c>
      <c r="F4347" s="12" t="s">
        <v>927</v>
      </c>
      <c r="G4347" s="12">
        <v>-3.25</v>
      </c>
    </row>
    <row r="4348" spans="1:7" x14ac:dyDescent="0.3">
      <c r="A4348" s="12" t="s">
        <v>96</v>
      </c>
      <c r="B4348" s="12" t="s">
        <v>158</v>
      </c>
      <c r="C4348" s="12" t="s">
        <v>123</v>
      </c>
      <c r="D4348" s="12" t="s">
        <v>114</v>
      </c>
      <c r="E4348" s="20">
        <v>45453</v>
      </c>
      <c r="F4348" s="12" t="s">
        <v>680</v>
      </c>
      <c r="G4348" s="12">
        <v>-23.75</v>
      </c>
    </row>
    <row r="4349" spans="1:7" x14ac:dyDescent="0.3">
      <c r="A4349" s="12" t="s">
        <v>96</v>
      </c>
      <c r="B4349" s="12" t="s">
        <v>158</v>
      </c>
      <c r="C4349" s="12" t="s">
        <v>123</v>
      </c>
      <c r="D4349" s="12" t="s">
        <v>114</v>
      </c>
      <c r="E4349" s="20">
        <v>45456</v>
      </c>
      <c r="F4349" s="12" t="s">
        <v>683</v>
      </c>
      <c r="G4349" s="12">
        <v>-6.19</v>
      </c>
    </row>
    <row r="4350" spans="1:7" x14ac:dyDescent="0.3">
      <c r="A4350" s="12" t="s">
        <v>96</v>
      </c>
      <c r="B4350" s="12" t="s">
        <v>158</v>
      </c>
      <c r="C4350" s="12" t="s">
        <v>123</v>
      </c>
      <c r="D4350" s="12" t="s">
        <v>114</v>
      </c>
      <c r="E4350" s="20">
        <v>45456</v>
      </c>
      <c r="F4350" s="12" t="s">
        <v>681</v>
      </c>
      <c r="G4350" s="12">
        <v>-9.19</v>
      </c>
    </row>
    <row r="4351" spans="1:7" x14ac:dyDescent="0.3">
      <c r="A4351" s="12" t="s">
        <v>96</v>
      </c>
      <c r="B4351" s="12" t="s">
        <v>158</v>
      </c>
      <c r="C4351" s="12" t="s">
        <v>123</v>
      </c>
      <c r="D4351" s="12" t="s">
        <v>114</v>
      </c>
      <c r="E4351" s="20">
        <v>45460</v>
      </c>
      <c r="F4351" s="12" t="s">
        <v>928</v>
      </c>
      <c r="G4351" s="12">
        <v>-6.2</v>
      </c>
    </row>
    <row r="4352" spans="1:7" x14ac:dyDescent="0.3">
      <c r="A4352" s="12" t="s">
        <v>96</v>
      </c>
      <c r="B4352" s="12" t="s">
        <v>158</v>
      </c>
      <c r="C4352" s="12" t="s">
        <v>123</v>
      </c>
      <c r="D4352" s="12" t="s">
        <v>114</v>
      </c>
      <c r="E4352" s="20">
        <v>45463</v>
      </c>
      <c r="F4352" s="12" t="s">
        <v>929</v>
      </c>
      <c r="G4352" s="12">
        <v>-10.63</v>
      </c>
    </row>
    <row r="4353" spans="1:7" x14ac:dyDescent="0.3">
      <c r="A4353" s="12" t="s">
        <v>96</v>
      </c>
      <c r="B4353" s="12" t="s">
        <v>158</v>
      </c>
      <c r="C4353" s="12" t="s">
        <v>123</v>
      </c>
      <c r="D4353" s="12" t="s">
        <v>114</v>
      </c>
      <c r="E4353" s="20">
        <v>45468</v>
      </c>
      <c r="F4353" s="12" t="s">
        <v>930</v>
      </c>
      <c r="G4353" s="12">
        <v>-7.88</v>
      </c>
    </row>
    <row r="4354" spans="1:7" x14ac:dyDescent="0.3">
      <c r="A4354" s="12" t="s">
        <v>96</v>
      </c>
      <c r="B4354" s="12" t="s">
        <v>158</v>
      </c>
      <c r="C4354" s="12" t="s">
        <v>123</v>
      </c>
      <c r="D4354" s="12" t="s">
        <v>114</v>
      </c>
      <c r="E4354" s="20">
        <v>45469</v>
      </c>
      <c r="F4354" s="12" t="s">
        <v>689</v>
      </c>
      <c r="G4354" s="12">
        <v>-5.5</v>
      </c>
    </row>
    <row r="4355" spans="1:7" x14ac:dyDescent="0.3">
      <c r="A4355" s="12" t="s">
        <v>96</v>
      </c>
      <c r="B4355" s="12" t="s">
        <v>158</v>
      </c>
      <c r="C4355" s="12" t="s">
        <v>123</v>
      </c>
      <c r="D4355" s="12" t="s">
        <v>114</v>
      </c>
      <c r="E4355" s="20">
        <v>45469</v>
      </c>
      <c r="F4355" s="12" t="s">
        <v>931</v>
      </c>
      <c r="G4355" s="12">
        <v>-17.87</v>
      </c>
    </row>
    <row r="4356" spans="1:7" x14ac:dyDescent="0.3">
      <c r="A4356" s="12" t="s">
        <v>96</v>
      </c>
      <c r="B4356" s="12" t="s">
        <v>158</v>
      </c>
      <c r="C4356" s="12" t="s">
        <v>123</v>
      </c>
      <c r="D4356" s="12" t="s">
        <v>114</v>
      </c>
      <c r="E4356" s="20">
        <v>45469</v>
      </c>
      <c r="F4356" s="12" t="s">
        <v>932</v>
      </c>
      <c r="G4356" s="12">
        <v>-8.14</v>
      </c>
    </row>
    <row r="4357" spans="1:7" x14ac:dyDescent="0.3">
      <c r="A4357" s="12" t="s">
        <v>96</v>
      </c>
      <c r="B4357" s="12" t="s">
        <v>158</v>
      </c>
      <c r="C4357" s="12" t="s">
        <v>123</v>
      </c>
      <c r="D4357" s="12" t="s">
        <v>114</v>
      </c>
      <c r="E4357" s="20">
        <v>45469</v>
      </c>
      <c r="F4357" s="12" t="s">
        <v>933</v>
      </c>
      <c r="G4357" s="12">
        <v>-8.43</v>
      </c>
    </row>
    <row r="4358" spans="1:7" x14ac:dyDescent="0.3">
      <c r="A4358" s="12" t="s">
        <v>96</v>
      </c>
      <c r="B4358" s="12" t="s">
        <v>158</v>
      </c>
      <c r="C4358" s="12" t="s">
        <v>123</v>
      </c>
      <c r="D4358" s="12" t="s">
        <v>114</v>
      </c>
      <c r="E4358" s="20">
        <v>45469</v>
      </c>
      <c r="F4358" s="12" t="s">
        <v>934</v>
      </c>
      <c r="G4358" s="12">
        <v>-15</v>
      </c>
    </row>
    <row r="4359" spans="1:7" x14ac:dyDescent="0.3">
      <c r="A4359" s="12" t="s">
        <v>96</v>
      </c>
      <c r="B4359" s="12" t="s">
        <v>158</v>
      </c>
      <c r="C4359" s="12" t="s">
        <v>123</v>
      </c>
      <c r="D4359" s="12" t="s">
        <v>114</v>
      </c>
      <c r="E4359" s="20">
        <v>45469</v>
      </c>
      <c r="F4359" s="12" t="s">
        <v>935</v>
      </c>
      <c r="G4359" s="12">
        <v>-31.92</v>
      </c>
    </row>
    <row r="4360" spans="1:7" x14ac:dyDescent="0.3">
      <c r="A4360" s="12" t="s">
        <v>96</v>
      </c>
      <c r="B4360" s="12" t="s">
        <v>158</v>
      </c>
      <c r="C4360" s="12" t="s">
        <v>123</v>
      </c>
      <c r="D4360" s="12" t="s">
        <v>114</v>
      </c>
      <c r="E4360" s="20">
        <v>45469</v>
      </c>
      <c r="F4360" s="12" t="s">
        <v>936</v>
      </c>
      <c r="G4360" s="12">
        <v>-8.59</v>
      </c>
    </row>
    <row r="4361" spans="1:7" x14ac:dyDescent="0.3">
      <c r="A4361" s="12" t="s">
        <v>96</v>
      </c>
      <c r="B4361" s="12" t="s">
        <v>158</v>
      </c>
      <c r="C4361" s="12" t="s">
        <v>123</v>
      </c>
      <c r="D4361" s="12" t="s">
        <v>114</v>
      </c>
      <c r="E4361" s="20">
        <v>45471</v>
      </c>
      <c r="F4361" s="12" t="s">
        <v>754</v>
      </c>
      <c r="G4361" s="12">
        <v>-6.56</v>
      </c>
    </row>
    <row r="4362" spans="1:7" x14ac:dyDescent="0.3">
      <c r="A4362" s="12" t="s">
        <v>96</v>
      </c>
      <c r="B4362" s="12" t="s">
        <v>158</v>
      </c>
      <c r="C4362" s="12" t="s">
        <v>123</v>
      </c>
      <c r="D4362" s="12" t="s">
        <v>114</v>
      </c>
      <c r="E4362" s="20">
        <v>45471</v>
      </c>
      <c r="F4362" s="12" t="s">
        <v>755</v>
      </c>
      <c r="G4362" s="12">
        <v>-23.46</v>
      </c>
    </row>
    <row r="4363" spans="1:7" x14ac:dyDescent="0.3">
      <c r="A4363" s="12" t="s">
        <v>96</v>
      </c>
      <c r="B4363" s="12" t="s">
        <v>158</v>
      </c>
      <c r="C4363" s="12" t="s">
        <v>123</v>
      </c>
      <c r="D4363" s="12" t="s">
        <v>114</v>
      </c>
      <c r="E4363" s="20">
        <v>45471</v>
      </c>
      <c r="F4363" s="12" t="s">
        <v>1049</v>
      </c>
      <c r="G4363" s="12">
        <v>-2.48</v>
      </c>
    </row>
    <row r="4364" spans="1:7" x14ac:dyDescent="0.3">
      <c r="A4364" s="12" t="s">
        <v>96</v>
      </c>
      <c r="B4364" s="12" t="s">
        <v>158</v>
      </c>
      <c r="C4364" s="12" t="s">
        <v>123</v>
      </c>
      <c r="D4364" s="12" t="s">
        <v>114</v>
      </c>
      <c r="E4364" s="20">
        <v>45471</v>
      </c>
      <c r="F4364" s="12" t="s">
        <v>937</v>
      </c>
      <c r="G4364" s="12">
        <v>-25.94</v>
      </c>
    </row>
    <row r="4365" spans="1:7" x14ac:dyDescent="0.3">
      <c r="A4365" s="12" t="s">
        <v>96</v>
      </c>
      <c r="B4365" s="12" t="s">
        <v>158</v>
      </c>
      <c r="C4365" s="12" t="s">
        <v>123</v>
      </c>
      <c r="D4365" s="12" t="s">
        <v>114</v>
      </c>
      <c r="E4365" s="20">
        <v>45474</v>
      </c>
      <c r="F4365" s="12" t="s">
        <v>1050</v>
      </c>
      <c r="G4365" s="12">
        <v>-8.49</v>
      </c>
    </row>
    <row r="4366" spans="1:7" x14ac:dyDescent="0.3">
      <c r="A4366" s="12" t="s">
        <v>96</v>
      </c>
      <c r="B4366" s="12" t="s">
        <v>158</v>
      </c>
      <c r="C4366" s="12" t="s">
        <v>123</v>
      </c>
      <c r="D4366" s="12" t="s">
        <v>114</v>
      </c>
      <c r="E4366" s="20">
        <v>45483</v>
      </c>
      <c r="F4366" s="12" t="s">
        <v>1051</v>
      </c>
      <c r="G4366" s="12">
        <v>-1.93</v>
      </c>
    </row>
    <row r="4367" spans="1:7" x14ac:dyDescent="0.3">
      <c r="A4367" s="12" t="s">
        <v>96</v>
      </c>
      <c r="B4367" s="12" t="s">
        <v>158</v>
      </c>
      <c r="C4367" s="12" t="s">
        <v>123</v>
      </c>
      <c r="D4367" s="12" t="s">
        <v>114</v>
      </c>
      <c r="E4367" s="20">
        <v>45485</v>
      </c>
      <c r="F4367" s="12" t="s">
        <v>1052</v>
      </c>
      <c r="G4367" s="12">
        <v>-8.91</v>
      </c>
    </row>
    <row r="4368" spans="1:7" x14ac:dyDescent="0.3">
      <c r="A4368" s="12" t="s">
        <v>96</v>
      </c>
      <c r="B4368" s="12" t="s">
        <v>158</v>
      </c>
      <c r="C4368" s="12" t="s">
        <v>123</v>
      </c>
      <c r="D4368" s="12" t="s">
        <v>114</v>
      </c>
      <c r="E4368" s="20">
        <v>45485</v>
      </c>
      <c r="F4368" s="12" t="s">
        <v>1053</v>
      </c>
      <c r="G4368" s="12">
        <v>-0.23</v>
      </c>
    </row>
    <row r="4369" spans="1:7" x14ac:dyDescent="0.3">
      <c r="A4369" s="12" t="s">
        <v>96</v>
      </c>
      <c r="B4369" s="12" t="s">
        <v>158</v>
      </c>
      <c r="C4369" s="12" t="s">
        <v>123</v>
      </c>
      <c r="D4369" s="12" t="s">
        <v>114</v>
      </c>
      <c r="E4369" s="20">
        <v>45496</v>
      </c>
      <c r="F4369" s="12" t="s">
        <v>1054</v>
      </c>
      <c r="G4369" s="12">
        <v>-2.2999999999999998</v>
      </c>
    </row>
    <row r="4370" spans="1:7" x14ac:dyDescent="0.3">
      <c r="A4370" s="12" t="s">
        <v>96</v>
      </c>
      <c r="B4370" s="12" t="s">
        <v>158</v>
      </c>
      <c r="C4370" s="12" t="s">
        <v>123</v>
      </c>
      <c r="D4370" s="12" t="s">
        <v>114</v>
      </c>
      <c r="E4370" s="20">
        <v>45498</v>
      </c>
      <c r="F4370" s="12" t="s">
        <v>758</v>
      </c>
      <c r="G4370" s="12">
        <v>-3.15</v>
      </c>
    </row>
    <row r="4371" spans="1:7" x14ac:dyDescent="0.3">
      <c r="A4371" s="12" t="s">
        <v>96</v>
      </c>
      <c r="B4371" s="12" t="s">
        <v>158</v>
      </c>
      <c r="C4371" s="12" t="s">
        <v>123</v>
      </c>
      <c r="D4371" s="12" t="s">
        <v>114</v>
      </c>
      <c r="E4371" s="20">
        <v>45499</v>
      </c>
      <c r="F4371" s="12" t="s">
        <v>1055</v>
      </c>
      <c r="G4371" s="12">
        <v>-2.0299999999999998</v>
      </c>
    </row>
    <row r="4372" spans="1:7" x14ac:dyDescent="0.3">
      <c r="A4372" s="12" t="s">
        <v>96</v>
      </c>
      <c r="B4372" s="12" t="s">
        <v>158</v>
      </c>
      <c r="C4372" s="12" t="s">
        <v>123</v>
      </c>
      <c r="D4372" s="12" t="s">
        <v>114</v>
      </c>
      <c r="E4372" s="20">
        <v>45504</v>
      </c>
      <c r="F4372" s="12" t="s">
        <v>1056</v>
      </c>
      <c r="G4372" s="12">
        <v>-7.19</v>
      </c>
    </row>
    <row r="4373" spans="1:7" x14ac:dyDescent="0.3">
      <c r="A4373" s="12" t="s">
        <v>96</v>
      </c>
      <c r="B4373" s="12" t="s">
        <v>158</v>
      </c>
      <c r="C4373" s="12" t="s">
        <v>123</v>
      </c>
      <c r="D4373" s="12" t="s">
        <v>114</v>
      </c>
      <c r="E4373" s="20">
        <v>45513</v>
      </c>
      <c r="F4373" s="12" t="s">
        <v>828</v>
      </c>
      <c r="G4373" s="12">
        <v>-2.9</v>
      </c>
    </row>
    <row r="4374" spans="1:7" x14ac:dyDescent="0.3">
      <c r="A4374" s="12" t="s">
        <v>96</v>
      </c>
      <c r="B4374" s="12" t="s">
        <v>158</v>
      </c>
      <c r="C4374" s="12" t="s">
        <v>123</v>
      </c>
      <c r="D4374" s="12" t="s">
        <v>114</v>
      </c>
      <c r="E4374" s="20">
        <v>45513</v>
      </c>
      <c r="F4374" s="12" t="s">
        <v>829</v>
      </c>
      <c r="G4374" s="12">
        <v>-10.65</v>
      </c>
    </row>
    <row r="4375" spans="1:7" x14ac:dyDescent="0.3">
      <c r="A4375" s="12" t="s">
        <v>96</v>
      </c>
      <c r="B4375" s="12" t="s">
        <v>158</v>
      </c>
      <c r="C4375" s="12" t="s">
        <v>123</v>
      </c>
      <c r="D4375" s="12" t="s">
        <v>114</v>
      </c>
      <c r="E4375" s="20">
        <v>45517</v>
      </c>
      <c r="F4375" s="12" t="s">
        <v>1112</v>
      </c>
      <c r="G4375" s="12">
        <v>-9.75</v>
      </c>
    </row>
    <row r="4376" spans="1:7" x14ac:dyDescent="0.3">
      <c r="A4376" s="12" t="s">
        <v>96</v>
      </c>
      <c r="B4376" s="12" t="s">
        <v>158</v>
      </c>
      <c r="C4376" s="12" t="s">
        <v>123</v>
      </c>
      <c r="D4376" s="12" t="s">
        <v>114</v>
      </c>
      <c r="E4376" s="20">
        <v>45519</v>
      </c>
      <c r="F4376" s="12" t="s">
        <v>830</v>
      </c>
      <c r="G4376" s="12">
        <v>-4.5</v>
      </c>
    </row>
    <row r="4377" spans="1:7" x14ac:dyDescent="0.3">
      <c r="A4377" s="12" t="s">
        <v>96</v>
      </c>
      <c r="B4377" s="12" t="s">
        <v>158</v>
      </c>
      <c r="C4377" s="12" t="s">
        <v>123</v>
      </c>
      <c r="D4377" s="12" t="s">
        <v>114</v>
      </c>
      <c r="E4377" s="20">
        <v>45527</v>
      </c>
      <c r="F4377" s="12" t="s">
        <v>1113</v>
      </c>
      <c r="G4377" s="12">
        <v>-19.600000000000001</v>
      </c>
    </row>
    <row r="4378" spans="1:7" x14ac:dyDescent="0.3">
      <c r="A4378" s="12" t="s">
        <v>96</v>
      </c>
      <c r="B4378" s="12" t="s">
        <v>158</v>
      </c>
      <c r="C4378" s="12" t="s">
        <v>123</v>
      </c>
      <c r="D4378" s="12" t="s">
        <v>114</v>
      </c>
      <c r="E4378" s="20">
        <v>45530</v>
      </c>
      <c r="F4378" s="12" t="s">
        <v>1114</v>
      </c>
      <c r="G4378" s="12">
        <v>-0.86</v>
      </c>
    </row>
    <row r="4379" spans="1:7" x14ac:dyDescent="0.3">
      <c r="A4379" s="12" t="s">
        <v>96</v>
      </c>
      <c r="B4379" s="12" t="s">
        <v>158</v>
      </c>
      <c r="C4379" s="12" t="s">
        <v>123</v>
      </c>
      <c r="D4379" s="12" t="s">
        <v>97</v>
      </c>
      <c r="G4379" s="12">
        <v>-536.15</v>
      </c>
    </row>
    <row r="4380" spans="1:7" x14ac:dyDescent="0.3">
      <c r="A4380" s="12" t="s">
        <v>96</v>
      </c>
      <c r="B4380" s="12" t="s">
        <v>160</v>
      </c>
      <c r="C4380" s="12" t="s">
        <v>120</v>
      </c>
      <c r="D4380" s="12" t="s">
        <v>181</v>
      </c>
      <c r="E4380" s="12" t="s">
        <v>268</v>
      </c>
      <c r="F4380" s="12" t="s">
        <v>269</v>
      </c>
      <c r="G4380" s="12" t="s">
        <v>270</v>
      </c>
    </row>
    <row r="4381" spans="1:7" x14ac:dyDescent="0.3">
      <c r="A4381" s="12" t="s">
        <v>96</v>
      </c>
      <c r="B4381" s="12" t="s">
        <v>160</v>
      </c>
      <c r="C4381" s="12" t="s">
        <v>123</v>
      </c>
      <c r="D4381" s="12" t="s">
        <v>114</v>
      </c>
      <c r="E4381" s="20">
        <v>45295</v>
      </c>
      <c r="F4381" s="12" t="s">
        <v>277</v>
      </c>
      <c r="G4381" s="12">
        <v>193.2</v>
      </c>
    </row>
    <row r="4382" spans="1:7" x14ac:dyDescent="0.3">
      <c r="A4382" s="12" t="s">
        <v>96</v>
      </c>
      <c r="B4382" s="12" t="s">
        <v>160</v>
      </c>
      <c r="C4382" s="12" t="s">
        <v>123</v>
      </c>
      <c r="D4382" s="12" t="s">
        <v>114</v>
      </c>
      <c r="E4382" s="20">
        <v>45327</v>
      </c>
      <c r="F4382" s="12" t="s">
        <v>612</v>
      </c>
      <c r="G4382" s="12">
        <v>291.44</v>
      </c>
    </row>
    <row r="4383" spans="1:7" x14ac:dyDescent="0.3">
      <c r="A4383" s="12" t="s">
        <v>96</v>
      </c>
      <c r="B4383" s="12" t="s">
        <v>160</v>
      </c>
      <c r="C4383" s="12" t="s">
        <v>123</v>
      </c>
      <c r="D4383" s="12" t="s">
        <v>114</v>
      </c>
      <c r="E4383" s="20">
        <v>45356</v>
      </c>
      <c r="F4383" s="12" t="s">
        <v>691</v>
      </c>
      <c r="G4383" s="12">
        <v>168.73</v>
      </c>
    </row>
    <row r="4384" spans="1:7" x14ac:dyDescent="0.3">
      <c r="A4384" s="12" t="s">
        <v>96</v>
      </c>
      <c r="B4384" s="12" t="s">
        <v>160</v>
      </c>
      <c r="C4384" s="12" t="s">
        <v>123</v>
      </c>
      <c r="D4384" s="12" t="s">
        <v>114</v>
      </c>
      <c r="E4384" s="20">
        <v>45385</v>
      </c>
      <c r="F4384" s="12" t="s">
        <v>759</v>
      </c>
      <c r="G4384" s="12">
        <v>18.5</v>
      </c>
    </row>
    <row r="4385" spans="1:16" x14ac:dyDescent="0.3">
      <c r="A4385" s="12" t="s">
        <v>96</v>
      </c>
      <c r="B4385" s="12" t="s">
        <v>160</v>
      </c>
      <c r="C4385" s="12" t="s">
        <v>123</v>
      </c>
      <c r="D4385" s="12" t="s">
        <v>114</v>
      </c>
      <c r="E4385" s="20">
        <v>45385</v>
      </c>
      <c r="F4385" s="12" t="s">
        <v>760</v>
      </c>
      <c r="G4385" s="12">
        <v>-2.92</v>
      </c>
    </row>
    <row r="4386" spans="1:16" x14ac:dyDescent="0.3">
      <c r="A4386" s="12" t="s">
        <v>96</v>
      </c>
      <c r="B4386" s="12" t="s">
        <v>160</v>
      </c>
      <c r="C4386" s="12" t="s">
        <v>123</v>
      </c>
      <c r="D4386" s="12" t="s">
        <v>114</v>
      </c>
      <c r="E4386" s="20">
        <v>45415</v>
      </c>
      <c r="F4386" s="12" t="s">
        <v>832</v>
      </c>
      <c r="G4386" s="12">
        <v>2.46</v>
      </c>
    </row>
    <row r="4387" spans="1:16" x14ac:dyDescent="0.3">
      <c r="A4387" s="12" t="s">
        <v>96</v>
      </c>
      <c r="B4387" s="12" t="s">
        <v>160</v>
      </c>
      <c r="C4387" s="12" t="s">
        <v>123</v>
      </c>
      <c r="D4387" s="12" t="s">
        <v>114</v>
      </c>
      <c r="E4387" s="20">
        <v>45415</v>
      </c>
      <c r="F4387" s="12" t="s">
        <v>833</v>
      </c>
      <c r="G4387" s="12">
        <v>-2.4700000000000002</v>
      </c>
    </row>
    <row r="4388" spans="1:16" x14ac:dyDescent="0.3">
      <c r="A4388" s="12" t="s">
        <v>96</v>
      </c>
      <c r="B4388" s="12" t="s">
        <v>160</v>
      </c>
      <c r="C4388" s="12" t="s">
        <v>123</v>
      </c>
      <c r="D4388" s="12" t="s">
        <v>114</v>
      </c>
      <c r="E4388" s="20">
        <v>45448</v>
      </c>
      <c r="F4388" s="12" t="s">
        <v>938</v>
      </c>
      <c r="G4388" s="12">
        <v>198.19</v>
      </c>
    </row>
    <row r="4389" spans="1:16" x14ac:dyDescent="0.3">
      <c r="A4389" s="12" t="s">
        <v>96</v>
      </c>
      <c r="B4389" s="12" t="s">
        <v>160</v>
      </c>
      <c r="C4389" s="12" t="s">
        <v>123</v>
      </c>
      <c r="D4389" s="12" t="s">
        <v>114</v>
      </c>
      <c r="E4389" s="20">
        <v>45448</v>
      </c>
      <c r="F4389" s="12" t="s">
        <v>939</v>
      </c>
      <c r="G4389" s="12">
        <v>-1.21</v>
      </c>
    </row>
    <row r="4390" spans="1:16" x14ac:dyDescent="0.3">
      <c r="A4390" s="12" t="s">
        <v>96</v>
      </c>
      <c r="B4390" s="12" t="s">
        <v>160</v>
      </c>
      <c r="C4390" s="12" t="s">
        <v>123</v>
      </c>
      <c r="D4390" s="12" t="s">
        <v>114</v>
      </c>
      <c r="E4390" s="20">
        <v>45476</v>
      </c>
      <c r="F4390" s="12" t="s">
        <v>1057</v>
      </c>
      <c r="G4390" s="12">
        <v>94.8</v>
      </c>
    </row>
    <row r="4391" spans="1:16" x14ac:dyDescent="0.3">
      <c r="A4391" s="12" t="s">
        <v>96</v>
      </c>
      <c r="B4391" s="12" t="s">
        <v>160</v>
      </c>
      <c r="C4391" s="12" t="s">
        <v>123</v>
      </c>
      <c r="D4391" s="12" t="s">
        <v>114</v>
      </c>
      <c r="E4391" s="20">
        <v>45509</v>
      </c>
      <c r="F4391" s="12" t="s">
        <v>1115</v>
      </c>
      <c r="G4391" s="12">
        <v>94.13</v>
      </c>
    </row>
    <row r="4392" spans="1:16" x14ac:dyDescent="0.3">
      <c r="A4392" s="12" t="s">
        <v>96</v>
      </c>
      <c r="B4392" s="12" t="s">
        <v>160</v>
      </c>
      <c r="C4392" s="12" t="s">
        <v>123</v>
      </c>
      <c r="D4392" s="12" t="s">
        <v>97</v>
      </c>
      <c r="G4392" s="12">
        <v>1054.8499999999999</v>
      </c>
    </row>
    <row r="4393" spans="1:16" x14ac:dyDescent="0.3">
      <c r="A4393" s="12" t="s">
        <v>96</v>
      </c>
      <c r="B4393" s="12" t="s">
        <v>151</v>
      </c>
      <c r="C4393" s="12" t="s">
        <v>120</v>
      </c>
      <c r="D4393" s="12" t="s">
        <v>181</v>
      </c>
      <c r="E4393" s="12" t="s">
        <v>121</v>
      </c>
      <c r="F4393" s="12" t="s">
        <v>122</v>
      </c>
    </row>
    <row r="4394" spans="1:16" x14ac:dyDescent="0.3">
      <c r="A4394" s="12" t="s">
        <v>96</v>
      </c>
      <c r="B4394" s="12" t="s">
        <v>151</v>
      </c>
      <c r="C4394" s="12" t="s">
        <v>123</v>
      </c>
      <c r="D4394" s="12" t="s">
        <v>184</v>
      </c>
      <c r="E4394" s="12" t="s">
        <v>278</v>
      </c>
      <c r="F4394" s="12">
        <v>96.6</v>
      </c>
    </row>
    <row r="4395" spans="1:16" x14ac:dyDescent="0.3">
      <c r="A4395" s="12" t="s">
        <v>96</v>
      </c>
      <c r="B4395" s="12" t="s">
        <v>151</v>
      </c>
      <c r="C4395" s="12" t="s">
        <v>123</v>
      </c>
      <c r="D4395" s="12" t="s">
        <v>184</v>
      </c>
      <c r="E4395" s="12" t="s">
        <v>279</v>
      </c>
      <c r="F4395" s="12">
        <v>906.33</v>
      </c>
    </row>
    <row r="4396" spans="1:16" x14ac:dyDescent="0.3">
      <c r="A4396" s="12" t="s">
        <v>96</v>
      </c>
      <c r="B4396" s="12" t="s">
        <v>151</v>
      </c>
      <c r="C4396" s="12" t="s">
        <v>123</v>
      </c>
      <c r="D4396" s="12" t="s">
        <v>184</v>
      </c>
      <c r="E4396" s="12" t="s">
        <v>280</v>
      </c>
      <c r="F4396" s="12">
        <v>-1054.8499999999999</v>
      </c>
    </row>
    <row r="4397" spans="1:16" x14ac:dyDescent="0.3">
      <c r="A4397" s="12" t="s">
        <v>96</v>
      </c>
      <c r="B4397" s="12" t="s">
        <v>151</v>
      </c>
      <c r="C4397" s="12" t="s">
        <v>123</v>
      </c>
      <c r="D4397" s="12" t="s">
        <v>184</v>
      </c>
      <c r="E4397" s="12" t="s">
        <v>281</v>
      </c>
      <c r="F4397" s="12">
        <v>0</v>
      </c>
    </row>
    <row r="4398" spans="1:16" x14ac:dyDescent="0.3">
      <c r="A4398" s="12" t="s">
        <v>96</v>
      </c>
      <c r="B4398" s="12" t="s">
        <v>151</v>
      </c>
      <c r="C4398" s="12" t="s">
        <v>123</v>
      </c>
      <c r="D4398" s="12" t="s">
        <v>184</v>
      </c>
      <c r="E4398" s="12" t="s">
        <v>282</v>
      </c>
      <c r="F4398" s="12">
        <v>-51.92</v>
      </c>
    </row>
    <row r="4399" spans="1:16" x14ac:dyDescent="0.3">
      <c r="A4399" s="12" t="s">
        <v>96</v>
      </c>
      <c r="B4399" s="12" t="s">
        <v>159</v>
      </c>
      <c r="C4399" s="12" t="s">
        <v>120</v>
      </c>
      <c r="D4399" s="12" t="s">
        <v>100</v>
      </c>
      <c r="E4399" s="12" t="s">
        <v>181</v>
      </c>
      <c r="F4399" s="12" t="s">
        <v>0</v>
      </c>
      <c r="G4399" s="12" t="s">
        <v>268</v>
      </c>
      <c r="H4399" s="12" t="s">
        <v>283</v>
      </c>
      <c r="I4399" s="12" t="s">
        <v>284</v>
      </c>
      <c r="J4399" s="12" t="s">
        <v>193</v>
      </c>
      <c r="K4399" s="12" t="s">
        <v>285</v>
      </c>
      <c r="L4399" s="12" t="s">
        <v>286</v>
      </c>
      <c r="M4399" s="12" t="s">
        <v>287</v>
      </c>
      <c r="N4399" s="12" t="s">
        <v>288</v>
      </c>
      <c r="O4399" s="12" t="s">
        <v>289</v>
      </c>
      <c r="P4399" s="12" t="s">
        <v>165</v>
      </c>
    </row>
    <row r="4400" spans="1:16" x14ac:dyDescent="0.3">
      <c r="A4400" s="12" t="s">
        <v>96</v>
      </c>
      <c r="B4400" s="12" t="s">
        <v>159</v>
      </c>
      <c r="C4400" s="12" t="s">
        <v>123</v>
      </c>
      <c r="D4400" s="12" t="s">
        <v>290</v>
      </c>
      <c r="O4400" s="12">
        <v>0</v>
      </c>
    </row>
    <row r="4401" spans="1:16" x14ac:dyDescent="0.3">
      <c r="A4401" s="12" t="s">
        <v>96</v>
      </c>
      <c r="B4401" s="12" t="s">
        <v>159</v>
      </c>
      <c r="C4401" s="12" t="s">
        <v>123</v>
      </c>
      <c r="D4401" s="12" t="s">
        <v>110</v>
      </c>
      <c r="E4401" s="12" t="s">
        <v>114</v>
      </c>
      <c r="F4401" s="12" t="s">
        <v>2</v>
      </c>
      <c r="G4401" s="20">
        <v>45330</v>
      </c>
      <c r="H4401" s="20">
        <v>45331</v>
      </c>
      <c r="I4401" s="20">
        <v>45337</v>
      </c>
      <c r="J4401" s="12">
        <v>36</v>
      </c>
      <c r="K4401" s="12">
        <v>2.59</v>
      </c>
      <c r="L4401" s="12">
        <v>0</v>
      </c>
      <c r="M4401" s="12">
        <v>0.24</v>
      </c>
      <c r="N4401" s="12">
        <v>8.64</v>
      </c>
      <c r="O4401" s="12">
        <v>6.05</v>
      </c>
      <c r="P4401" s="12" t="s">
        <v>291</v>
      </c>
    </row>
    <row r="4402" spans="1:16" x14ac:dyDescent="0.3">
      <c r="A4402" s="12" t="s">
        <v>96</v>
      </c>
      <c r="B4402" s="12" t="s">
        <v>159</v>
      </c>
      <c r="C4402" s="12" t="s">
        <v>123</v>
      </c>
      <c r="D4402" s="12" t="s">
        <v>110</v>
      </c>
      <c r="E4402" s="12" t="s">
        <v>114</v>
      </c>
      <c r="F4402" s="12" t="s">
        <v>2</v>
      </c>
      <c r="G4402" s="20">
        <v>45337</v>
      </c>
      <c r="H4402" s="20">
        <v>45331</v>
      </c>
      <c r="I4402" s="20">
        <v>45337</v>
      </c>
      <c r="J4402" s="12">
        <v>36</v>
      </c>
      <c r="K4402" s="12">
        <v>-2.59</v>
      </c>
      <c r="L4402" s="12">
        <v>0</v>
      </c>
      <c r="M4402" s="12">
        <v>0.24</v>
      </c>
      <c r="N4402" s="12">
        <v>-8.64</v>
      </c>
      <c r="O4402" s="12">
        <v>-6.05</v>
      </c>
      <c r="P4402" s="12" t="s">
        <v>292</v>
      </c>
    </row>
    <row r="4403" spans="1:16" x14ac:dyDescent="0.3">
      <c r="A4403" s="12" t="s">
        <v>96</v>
      </c>
      <c r="B4403" s="12" t="s">
        <v>159</v>
      </c>
      <c r="C4403" s="12" t="s">
        <v>123</v>
      </c>
      <c r="D4403" s="12" t="s">
        <v>110</v>
      </c>
      <c r="E4403" s="12" t="s">
        <v>114</v>
      </c>
      <c r="F4403" s="12" t="s">
        <v>2</v>
      </c>
      <c r="G4403" s="20">
        <v>45421</v>
      </c>
      <c r="H4403" s="20">
        <v>45422</v>
      </c>
      <c r="I4403" s="20">
        <v>45428</v>
      </c>
      <c r="J4403" s="12">
        <v>36</v>
      </c>
      <c r="K4403" s="12">
        <v>2.25</v>
      </c>
      <c r="L4403" s="12">
        <v>0</v>
      </c>
      <c r="M4403" s="12">
        <v>0.25</v>
      </c>
      <c r="N4403" s="12">
        <v>9</v>
      </c>
      <c r="O4403" s="12">
        <v>6.75</v>
      </c>
      <c r="P4403" s="12" t="s">
        <v>291</v>
      </c>
    </row>
    <row r="4404" spans="1:16" x14ac:dyDescent="0.3">
      <c r="A4404" s="12" t="s">
        <v>96</v>
      </c>
      <c r="B4404" s="12" t="s">
        <v>159</v>
      </c>
      <c r="C4404" s="12" t="s">
        <v>123</v>
      </c>
      <c r="D4404" s="12" t="s">
        <v>110</v>
      </c>
      <c r="E4404" s="12" t="s">
        <v>114</v>
      </c>
      <c r="F4404" s="12" t="s">
        <v>2</v>
      </c>
      <c r="G4404" s="20">
        <v>45428</v>
      </c>
      <c r="H4404" s="20">
        <v>45422</v>
      </c>
      <c r="I4404" s="20">
        <v>45428</v>
      </c>
      <c r="J4404" s="12">
        <v>36</v>
      </c>
      <c r="K4404" s="12">
        <v>-2.25</v>
      </c>
      <c r="L4404" s="12">
        <v>0</v>
      </c>
      <c r="M4404" s="12">
        <v>0.25</v>
      </c>
      <c r="N4404" s="12">
        <v>-9</v>
      </c>
      <c r="O4404" s="12">
        <v>-6.75</v>
      </c>
      <c r="P4404" s="12" t="s">
        <v>292</v>
      </c>
    </row>
    <row r="4405" spans="1:16" x14ac:dyDescent="0.3">
      <c r="A4405" s="12" t="s">
        <v>96</v>
      </c>
      <c r="B4405" s="12" t="s">
        <v>159</v>
      </c>
      <c r="C4405" s="12" t="s">
        <v>123</v>
      </c>
      <c r="D4405" s="12" t="s">
        <v>110</v>
      </c>
      <c r="E4405" s="12" t="s">
        <v>114</v>
      </c>
      <c r="F4405" s="12" t="s">
        <v>2</v>
      </c>
      <c r="G4405" s="20">
        <v>45513</v>
      </c>
      <c r="H4405" s="20">
        <v>45516</v>
      </c>
      <c r="I4405" s="20">
        <v>45519</v>
      </c>
      <c r="J4405" s="12">
        <v>72</v>
      </c>
      <c r="K4405" s="12">
        <v>4.5</v>
      </c>
      <c r="L4405" s="12">
        <v>0</v>
      </c>
      <c r="M4405" s="12">
        <v>0.25</v>
      </c>
      <c r="N4405" s="12">
        <v>18</v>
      </c>
      <c r="O4405" s="12">
        <v>13.5</v>
      </c>
      <c r="P4405" s="12" t="s">
        <v>291</v>
      </c>
    </row>
    <row r="4406" spans="1:16" x14ac:dyDescent="0.3">
      <c r="A4406" s="12" t="s">
        <v>96</v>
      </c>
      <c r="B4406" s="12" t="s">
        <v>159</v>
      </c>
      <c r="C4406" s="12" t="s">
        <v>123</v>
      </c>
      <c r="D4406" s="12" t="s">
        <v>110</v>
      </c>
      <c r="E4406" s="12" t="s">
        <v>114</v>
      </c>
      <c r="F4406" s="12" t="s">
        <v>2</v>
      </c>
      <c r="G4406" s="20">
        <v>45519</v>
      </c>
      <c r="H4406" s="20">
        <v>45516</v>
      </c>
      <c r="I4406" s="20">
        <v>45519</v>
      </c>
      <c r="J4406" s="12">
        <v>72</v>
      </c>
      <c r="K4406" s="12">
        <v>-4.5</v>
      </c>
      <c r="L4406" s="12">
        <v>0</v>
      </c>
      <c r="M4406" s="12">
        <v>0.25</v>
      </c>
      <c r="N4406" s="12">
        <v>-18</v>
      </c>
      <c r="O4406" s="12">
        <v>-13.5</v>
      </c>
      <c r="P4406" s="12" t="s">
        <v>292</v>
      </c>
    </row>
    <row r="4407" spans="1:16" x14ac:dyDescent="0.3">
      <c r="A4407" s="12" t="s">
        <v>96</v>
      </c>
      <c r="B4407" s="12" t="s">
        <v>159</v>
      </c>
      <c r="C4407" s="12" t="s">
        <v>123</v>
      </c>
      <c r="D4407" s="12" t="s">
        <v>110</v>
      </c>
      <c r="E4407" s="12" t="s">
        <v>114</v>
      </c>
      <c r="F4407" s="12" t="s">
        <v>4</v>
      </c>
      <c r="G4407" s="20">
        <v>45456</v>
      </c>
      <c r="H4407" s="20">
        <v>45457</v>
      </c>
      <c r="I4407" s="20">
        <v>45485</v>
      </c>
      <c r="J4407" s="12">
        <v>22</v>
      </c>
      <c r="K4407" s="12">
        <v>8.91</v>
      </c>
      <c r="L4407" s="12">
        <v>0</v>
      </c>
      <c r="M4407" s="12">
        <v>1.62</v>
      </c>
      <c r="N4407" s="12">
        <v>35.64</v>
      </c>
      <c r="O4407" s="12">
        <v>26.73</v>
      </c>
      <c r="P4407" s="12" t="s">
        <v>291</v>
      </c>
    </row>
    <row r="4408" spans="1:16" x14ac:dyDescent="0.3">
      <c r="A4408" s="12" t="s">
        <v>96</v>
      </c>
      <c r="B4408" s="12" t="s">
        <v>159</v>
      </c>
      <c r="C4408" s="12" t="s">
        <v>123</v>
      </c>
      <c r="D4408" s="12" t="s">
        <v>110</v>
      </c>
      <c r="E4408" s="12" t="s">
        <v>114</v>
      </c>
      <c r="F4408" s="12" t="s">
        <v>4</v>
      </c>
      <c r="G4408" s="20">
        <v>45485</v>
      </c>
      <c r="H4408" s="20">
        <v>45457</v>
      </c>
      <c r="I4408" s="20">
        <v>45485</v>
      </c>
      <c r="J4408" s="12">
        <v>22</v>
      </c>
      <c r="K4408" s="12">
        <v>-8.91</v>
      </c>
      <c r="L4408" s="12">
        <v>0</v>
      </c>
      <c r="M4408" s="12">
        <v>1.62</v>
      </c>
      <c r="N4408" s="12">
        <v>-35.64</v>
      </c>
      <c r="O4408" s="12">
        <v>-26.73</v>
      </c>
      <c r="P4408" s="12" t="s">
        <v>292</v>
      </c>
    </row>
    <row r="4409" spans="1:16" x14ac:dyDescent="0.3">
      <c r="A4409" s="12" t="s">
        <v>96</v>
      </c>
      <c r="B4409" s="12" t="s">
        <v>159</v>
      </c>
      <c r="C4409" s="12" t="s">
        <v>123</v>
      </c>
      <c r="D4409" s="12" t="s">
        <v>110</v>
      </c>
      <c r="E4409" s="12" t="s">
        <v>114</v>
      </c>
      <c r="F4409" s="12" t="s">
        <v>65</v>
      </c>
      <c r="G4409" s="20">
        <v>45460</v>
      </c>
      <c r="H4409" s="20">
        <v>45461</v>
      </c>
      <c r="I4409" s="20">
        <v>45483</v>
      </c>
      <c r="J4409" s="12">
        <v>70</v>
      </c>
      <c r="K4409" s="12">
        <v>1.93</v>
      </c>
      <c r="L4409" s="12">
        <v>0</v>
      </c>
      <c r="M4409" s="12">
        <v>0.11</v>
      </c>
      <c r="N4409" s="12">
        <v>7.7</v>
      </c>
      <c r="O4409" s="12">
        <v>5.77</v>
      </c>
      <c r="P4409" s="12" t="s">
        <v>291</v>
      </c>
    </row>
    <row r="4410" spans="1:16" x14ac:dyDescent="0.3">
      <c r="A4410" s="12" t="s">
        <v>96</v>
      </c>
      <c r="B4410" s="12" t="s">
        <v>159</v>
      </c>
      <c r="C4410" s="12" t="s">
        <v>123</v>
      </c>
      <c r="D4410" s="12" t="s">
        <v>110</v>
      </c>
      <c r="E4410" s="12" t="s">
        <v>114</v>
      </c>
      <c r="F4410" s="12" t="s">
        <v>65</v>
      </c>
      <c r="G4410" s="20">
        <v>45483</v>
      </c>
      <c r="H4410" s="20">
        <v>45461</v>
      </c>
      <c r="I4410" s="20">
        <v>45483</v>
      </c>
      <c r="J4410" s="12">
        <v>70</v>
      </c>
      <c r="K4410" s="12">
        <v>-1.93</v>
      </c>
      <c r="L4410" s="12">
        <v>0</v>
      </c>
      <c r="M4410" s="12">
        <v>0.11</v>
      </c>
      <c r="N4410" s="12">
        <v>-7.7</v>
      </c>
      <c r="O4410" s="12">
        <v>-5.77</v>
      </c>
      <c r="P4410" s="12" t="s">
        <v>292</v>
      </c>
    </row>
    <row r="4411" spans="1:16" x14ac:dyDescent="0.3">
      <c r="A4411" s="12" t="s">
        <v>96</v>
      </c>
      <c r="B4411" s="12" t="s">
        <v>159</v>
      </c>
      <c r="C4411" s="12" t="s">
        <v>123</v>
      </c>
      <c r="D4411" s="12" t="s">
        <v>110</v>
      </c>
      <c r="E4411" s="12" t="s">
        <v>114</v>
      </c>
      <c r="F4411" s="12" t="s">
        <v>58</v>
      </c>
      <c r="G4411" s="20">
        <v>45530</v>
      </c>
      <c r="H4411" s="20">
        <v>45531</v>
      </c>
      <c r="I4411" s="20">
        <v>45545</v>
      </c>
      <c r="J4411" s="12">
        <v>30</v>
      </c>
      <c r="K4411" s="12">
        <v>0</v>
      </c>
      <c r="L4411" s="12">
        <v>0.6</v>
      </c>
      <c r="M4411" s="12">
        <v>0.02</v>
      </c>
      <c r="N4411" s="12">
        <v>0</v>
      </c>
      <c r="O4411" s="12">
        <v>-0.6</v>
      </c>
      <c r="P4411" s="12" t="s">
        <v>1116</v>
      </c>
    </row>
    <row r="4412" spans="1:16" x14ac:dyDescent="0.3">
      <c r="A4412" s="12" t="s">
        <v>96</v>
      </c>
      <c r="B4412" s="12" t="s">
        <v>159</v>
      </c>
      <c r="C4412" s="12" t="s">
        <v>123</v>
      </c>
      <c r="D4412" s="12" t="s">
        <v>110</v>
      </c>
      <c r="E4412" s="12" t="s">
        <v>114</v>
      </c>
      <c r="F4412" s="12" t="s">
        <v>58</v>
      </c>
      <c r="G4412" s="20">
        <v>45530</v>
      </c>
      <c r="H4412" s="20">
        <v>45531</v>
      </c>
      <c r="I4412" s="20">
        <v>45545</v>
      </c>
      <c r="J4412" s="12">
        <v>30</v>
      </c>
      <c r="K4412" s="12">
        <v>0</v>
      </c>
      <c r="L4412" s="12">
        <v>0.57999999999999996</v>
      </c>
      <c r="M4412" s="12">
        <v>0.02</v>
      </c>
      <c r="N4412" s="12">
        <v>0</v>
      </c>
      <c r="O4412" s="12">
        <v>-0.57999999999999996</v>
      </c>
      <c r="P4412" s="12" t="s">
        <v>1116</v>
      </c>
    </row>
    <row r="4413" spans="1:16" x14ac:dyDescent="0.3">
      <c r="A4413" s="12" t="s">
        <v>96</v>
      </c>
      <c r="B4413" s="12" t="s">
        <v>159</v>
      </c>
      <c r="C4413" s="12" t="s">
        <v>123</v>
      </c>
      <c r="D4413" s="12" t="s">
        <v>110</v>
      </c>
      <c r="E4413" s="12" t="s">
        <v>114</v>
      </c>
      <c r="F4413" s="12" t="s">
        <v>58</v>
      </c>
      <c r="G4413" s="20">
        <v>45530</v>
      </c>
      <c r="H4413" s="20">
        <v>45531</v>
      </c>
      <c r="I4413" s="20">
        <v>45545</v>
      </c>
      <c r="J4413" s="12">
        <v>30</v>
      </c>
      <c r="K4413" s="12">
        <v>0</v>
      </c>
      <c r="L4413" s="12">
        <v>-0.6</v>
      </c>
      <c r="M4413" s="12">
        <v>0.02</v>
      </c>
      <c r="N4413" s="12">
        <v>0</v>
      </c>
      <c r="O4413" s="12">
        <v>0.6</v>
      </c>
      <c r="P4413" s="12" t="s">
        <v>1117</v>
      </c>
    </row>
    <row r="4414" spans="1:16" x14ac:dyDescent="0.3">
      <c r="A4414" s="12" t="s">
        <v>96</v>
      </c>
      <c r="B4414" s="12" t="s">
        <v>159</v>
      </c>
      <c r="C4414" s="12" t="s">
        <v>123</v>
      </c>
      <c r="D4414" s="12" t="s">
        <v>110</v>
      </c>
      <c r="E4414" s="12" t="s">
        <v>114</v>
      </c>
      <c r="F4414" s="12" t="s">
        <v>7</v>
      </c>
      <c r="G4414" s="20">
        <v>45370</v>
      </c>
      <c r="H4414" s="20">
        <v>45371</v>
      </c>
      <c r="I4414" s="20">
        <v>45383</v>
      </c>
      <c r="J4414" s="12">
        <v>6</v>
      </c>
      <c r="K4414" s="12">
        <v>7.88</v>
      </c>
      <c r="L4414" s="12">
        <v>0</v>
      </c>
      <c r="M4414" s="12">
        <v>5.25</v>
      </c>
      <c r="N4414" s="12">
        <v>31.5</v>
      </c>
      <c r="O4414" s="12">
        <v>23.62</v>
      </c>
      <c r="P4414" s="12" t="s">
        <v>291</v>
      </c>
    </row>
    <row r="4415" spans="1:16" x14ac:dyDescent="0.3">
      <c r="A4415" s="12" t="s">
        <v>96</v>
      </c>
      <c r="B4415" s="12" t="s">
        <v>159</v>
      </c>
      <c r="C4415" s="12" t="s">
        <v>123</v>
      </c>
      <c r="D4415" s="12" t="s">
        <v>110</v>
      </c>
      <c r="E4415" s="12" t="s">
        <v>114</v>
      </c>
      <c r="F4415" s="12" t="s">
        <v>7</v>
      </c>
      <c r="G4415" s="20">
        <v>45383</v>
      </c>
      <c r="H4415" s="20">
        <v>45371</v>
      </c>
      <c r="I4415" s="20">
        <v>45383</v>
      </c>
      <c r="J4415" s="12">
        <v>6</v>
      </c>
      <c r="K4415" s="12">
        <v>-7.88</v>
      </c>
      <c r="L4415" s="12">
        <v>0</v>
      </c>
      <c r="M4415" s="12">
        <v>5.25</v>
      </c>
      <c r="N4415" s="12">
        <v>-31.5</v>
      </c>
      <c r="O4415" s="12">
        <v>-23.62</v>
      </c>
      <c r="P4415" s="12" t="s">
        <v>292</v>
      </c>
    </row>
    <row r="4416" spans="1:16" x14ac:dyDescent="0.3">
      <c r="A4416" s="12" t="s">
        <v>96</v>
      </c>
      <c r="B4416" s="12" t="s">
        <v>159</v>
      </c>
      <c r="C4416" s="12" t="s">
        <v>123</v>
      </c>
      <c r="D4416" s="12" t="s">
        <v>110</v>
      </c>
      <c r="E4416" s="12" t="s">
        <v>114</v>
      </c>
      <c r="F4416" s="12" t="s">
        <v>7</v>
      </c>
      <c r="G4416" s="20">
        <v>45464</v>
      </c>
      <c r="H4416" s="20">
        <v>45467</v>
      </c>
      <c r="I4416" s="20">
        <v>45471</v>
      </c>
      <c r="J4416" s="12">
        <v>5</v>
      </c>
      <c r="K4416" s="12">
        <v>6.56</v>
      </c>
      <c r="L4416" s="12">
        <v>0</v>
      </c>
      <c r="M4416" s="12">
        <v>5.25</v>
      </c>
      <c r="N4416" s="12">
        <v>26.25</v>
      </c>
      <c r="O4416" s="12">
        <v>19.690000000000001</v>
      </c>
      <c r="P4416" s="12" t="s">
        <v>291</v>
      </c>
    </row>
    <row r="4417" spans="1:16" x14ac:dyDescent="0.3">
      <c r="A4417" s="12" t="s">
        <v>96</v>
      </c>
      <c r="B4417" s="12" t="s">
        <v>159</v>
      </c>
      <c r="C4417" s="12" t="s">
        <v>123</v>
      </c>
      <c r="D4417" s="12" t="s">
        <v>110</v>
      </c>
      <c r="E4417" s="12" t="s">
        <v>114</v>
      </c>
      <c r="F4417" s="12" t="s">
        <v>7</v>
      </c>
      <c r="G4417" s="20">
        <v>45471</v>
      </c>
      <c r="H4417" s="20">
        <v>45467</v>
      </c>
      <c r="I4417" s="20">
        <v>45471</v>
      </c>
      <c r="J4417" s="12">
        <v>5</v>
      </c>
      <c r="K4417" s="12">
        <v>-6.56</v>
      </c>
      <c r="L4417" s="12">
        <v>0</v>
      </c>
      <c r="M4417" s="12">
        <v>5.25</v>
      </c>
      <c r="N4417" s="12">
        <v>-26.25</v>
      </c>
      <c r="O4417" s="12">
        <v>-19.690000000000001</v>
      </c>
      <c r="P4417" s="12" t="s">
        <v>292</v>
      </c>
    </row>
    <row r="4418" spans="1:16" x14ac:dyDescent="0.3">
      <c r="A4418" s="12" t="s">
        <v>96</v>
      </c>
      <c r="B4418" s="12" t="s">
        <v>159</v>
      </c>
      <c r="C4418" s="12" t="s">
        <v>123</v>
      </c>
      <c r="D4418" s="12" t="s">
        <v>110</v>
      </c>
      <c r="E4418" s="12" t="s">
        <v>114</v>
      </c>
      <c r="F4418" s="12" t="s">
        <v>8</v>
      </c>
      <c r="G4418" s="20">
        <v>45350</v>
      </c>
      <c r="H4418" s="20">
        <v>45351</v>
      </c>
      <c r="I4418" s="20">
        <v>45383</v>
      </c>
      <c r="J4418" s="12">
        <v>231</v>
      </c>
      <c r="K4418" s="12">
        <v>13.86</v>
      </c>
      <c r="L4418" s="12">
        <v>0</v>
      </c>
      <c r="M4418" s="12">
        <v>0.24</v>
      </c>
      <c r="N4418" s="12">
        <v>55.44</v>
      </c>
      <c r="O4418" s="12">
        <v>41.58</v>
      </c>
      <c r="P4418" s="12" t="s">
        <v>291</v>
      </c>
    </row>
    <row r="4419" spans="1:16" x14ac:dyDescent="0.3">
      <c r="A4419" s="12" t="s">
        <v>96</v>
      </c>
      <c r="B4419" s="12" t="s">
        <v>159</v>
      </c>
      <c r="C4419" s="12" t="s">
        <v>123</v>
      </c>
      <c r="D4419" s="12" t="s">
        <v>110</v>
      </c>
      <c r="E4419" s="12" t="s">
        <v>114</v>
      </c>
      <c r="F4419" s="12" t="s">
        <v>8</v>
      </c>
      <c r="G4419" s="20">
        <v>45383</v>
      </c>
      <c r="H4419" s="20">
        <v>45351</v>
      </c>
      <c r="I4419" s="20">
        <v>45383</v>
      </c>
      <c r="J4419" s="12">
        <v>231</v>
      </c>
      <c r="K4419" s="12">
        <v>-13.86</v>
      </c>
      <c r="L4419" s="12">
        <v>0</v>
      </c>
      <c r="M4419" s="12">
        <v>0.24</v>
      </c>
      <c r="N4419" s="12">
        <v>-55.44</v>
      </c>
      <c r="O4419" s="12">
        <v>-41.58</v>
      </c>
      <c r="P4419" s="12" t="s">
        <v>292</v>
      </c>
    </row>
    <row r="4420" spans="1:16" x14ac:dyDescent="0.3">
      <c r="A4420" s="12" t="s">
        <v>96</v>
      </c>
      <c r="B4420" s="12" t="s">
        <v>159</v>
      </c>
      <c r="C4420" s="12" t="s">
        <v>123</v>
      </c>
      <c r="D4420" s="12" t="s">
        <v>110</v>
      </c>
      <c r="E4420" s="12" t="s">
        <v>114</v>
      </c>
      <c r="F4420" s="12" t="s">
        <v>8</v>
      </c>
      <c r="G4420" s="20">
        <v>45449</v>
      </c>
      <c r="H4420" s="20">
        <v>45450</v>
      </c>
      <c r="I4420" s="20">
        <v>45471</v>
      </c>
      <c r="J4420" s="12">
        <v>391</v>
      </c>
      <c r="K4420" s="12">
        <v>23.46</v>
      </c>
      <c r="L4420" s="12">
        <v>0</v>
      </c>
      <c r="M4420" s="12">
        <v>0.24</v>
      </c>
      <c r="N4420" s="12">
        <v>93.84</v>
      </c>
      <c r="O4420" s="12">
        <v>70.38</v>
      </c>
      <c r="P4420" s="12" t="s">
        <v>291</v>
      </c>
    </row>
    <row r="4421" spans="1:16" x14ac:dyDescent="0.3">
      <c r="A4421" s="12" t="s">
        <v>96</v>
      </c>
      <c r="B4421" s="12" t="s">
        <v>159</v>
      </c>
      <c r="C4421" s="12" t="s">
        <v>123</v>
      </c>
      <c r="D4421" s="12" t="s">
        <v>110</v>
      </c>
      <c r="E4421" s="12" t="s">
        <v>114</v>
      </c>
      <c r="F4421" s="12" t="s">
        <v>8</v>
      </c>
      <c r="G4421" s="20">
        <v>45471</v>
      </c>
      <c r="H4421" s="20">
        <v>45450</v>
      </c>
      <c r="I4421" s="20">
        <v>45471</v>
      </c>
      <c r="J4421" s="12">
        <v>391</v>
      </c>
      <c r="K4421" s="12">
        <v>-23.46</v>
      </c>
      <c r="L4421" s="12">
        <v>0</v>
      </c>
      <c r="M4421" s="12">
        <v>0.24</v>
      </c>
      <c r="N4421" s="12">
        <v>-93.84</v>
      </c>
      <c r="O4421" s="12">
        <v>-70.38</v>
      </c>
      <c r="P4421" s="12" t="s">
        <v>292</v>
      </c>
    </row>
    <row r="4422" spans="1:16" x14ac:dyDescent="0.3">
      <c r="A4422" s="12" t="s">
        <v>96</v>
      </c>
      <c r="B4422" s="12" t="s">
        <v>159</v>
      </c>
      <c r="C4422" s="12" t="s">
        <v>123</v>
      </c>
      <c r="D4422" s="12" t="s">
        <v>110</v>
      </c>
      <c r="E4422" s="12" t="s">
        <v>114</v>
      </c>
      <c r="F4422" s="12" t="s">
        <v>3</v>
      </c>
      <c r="G4422" s="20">
        <v>45323</v>
      </c>
      <c r="H4422" s="20">
        <v>45324</v>
      </c>
      <c r="I4422" s="20">
        <v>45345</v>
      </c>
      <c r="J4422" s="12">
        <v>148</v>
      </c>
      <c r="K4422" s="12">
        <v>23.53</v>
      </c>
      <c r="L4422" s="12">
        <v>0</v>
      </c>
      <c r="M4422" s="12">
        <v>0.53</v>
      </c>
      <c r="N4422" s="12">
        <v>78.44</v>
      </c>
      <c r="O4422" s="12">
        <v>54.91</v>
      </c>
      <c r="P4422" s="12" t="s">
        <v>291</v>
      </c>
    </row>
    <row r="4423" spans="1:16" x14ac:dyDescent="0.3">
      <c r="A4423" s="12" t="s">
        <v>96</v>
      </c>
      <c r="B4423" s="12" t="s">
        <v>159</v>
      </c>
      <c r="C4423" s="12" t="s">
        <v>123</v>
      </c>
      <c r="D4423" s="12" t="s">
        <v>110</v>
      </c>
      <c r="E4423" s="12" t="s">
        <v>114</v>
      </c>
      <c r="F4423" s="12" t="s">
        <v>3</v>
      </c>
      <c r="G4423" s="20">
        <v>45323</v>
      </c>
      <c r="H4423" s="20">
        <v>45324</v>
      </c>
      <c r="I4423" s="20">
        <v>45345</v>
      </c>
      <c r="J4423" s="12">
        <v>148</v>
      </c>
      <c r="K4423" s="12">
        <v>19.61</v>
      </c>
      <c r="L4423" s="12">
        <v>0</v>
      </c>
      <c r="M4423" s="12">
        <v>0.53</v>
      </c>
      <c r="N4423" s="12">
        <v>78.44</v>
      </c>
      <c r="O4423" s="12">
        <v>58.83</v>
      </c>
      <c r="P4423" s="12" t="s">
        <v>291</v>
      </c>
    </row>
    <row r="4424" spans="1:16" x14ac:dyDescent="0.3">
      <c r="A4424" s="12" t="s">
        <v>96</v>
      </c>
      <c r="B4424" s="12" t="s">
        <v>159</v>
      </c>
      <c r="C4424" s="12" t="s">
        <v>123</v>
      </c>
      <c r="D4424" s="12" t="s">
        <v>110</v>
      </c>
      <c r="E4424" s="12" t="s">
        <v>114</v>
      </c>
      <c r="F4424" s="12" t="s">
        <v>3</v>
      </c>
      <c r="G4424" s="20">
        <v>45323</v>
      </c>
      <c r="H4424" s="20">
        <v>45324</v>
      </c>
      <c r="I4424" s="20">
        <v>45345</v>
      </c>
      <c r="J4424" s="12">
        <v>148</v>
      </c>
      <c r="K4424" s="12">
        <v>-23.53</v>
      </c>
      <c r="L4424" s="12">
        <v>0</v>
      </c>
      <c r="M4424" s="12">
        <v>0.53</v>
      </c>
      <c r="N4424" s="12">
        <v>-78.44</v>
      </c>
      <c r="O4424" s="12">
        <v>-54.91</v>
      </c>
      <c r="P4424" s="12" t="s">
        <v>292</v>
      </c>
    </row>
    <row r="4425" spans="1:16" x14ac:dyDescent="0.3">
      <c r="A4425" s="12" t="s">
        <v>96</v>
      </c>
      <c r="B4425" s="12" t="s">
        <v>159</v>
      </c>
      <c r="C4425" s="12" t="s">
        <v>123</v>
      </c>
      <c r="D4425" s="12" t="s">
        <v>110</v>
      </c>
      <c r="E4425" s="12" t="s">
        <v>114</v>
      </c>
      <c r="F4425" s="12" t="s">
        <v>3</v>
      </c>
      <c r="G4425" s="20">
        <v>45345</v>
      </c>
      <c r="H4425" s="20">
        <v>45324</v>
      </c>
      <c r="I4425" s="20">
        <v>45345</v>
      </c>
      <c r="J4425" s="12">
        <v>148</v>
      </c>
      <c r="K4425" s="12">
        <v>-19.61</v>
      </c>
      <c r="L4425" s="12">
        <v>0</v>
      </c>
      <c r="M4425" s="12">
        <v>0.53</v>
      </c>
      <c r="N4425" s="12">
        <v>-78.44</v>
      </c>
      <c r="O4425" s="12">
        <v>-58.83</v>
      </c>
      <c r="P4425" s="12" t="s">
        <v>292</v>
      </c>
    </row>
    <row r="4426" spans="1:16" x14ac:dyDescent="0.3">
      <c r="A4426" s="12" t="s">
        <v>96</v>
      </c>
      <c r="B4426" s="12" t="s">
        <v>159</v>
      </c>
      <c r="C4426" s="12" t="s">
        <v>123</v>
      </c>
      <c r="D4426" s="12" t="s">
        <v>110</v>
      </c>
      <c r="E4426" s="12" t="s">
        <v>114</v>
      </c>
      <c r="F4426" s="12" t="s">
        <v>3</v>
      </c>
      <c r="G4426" s="20">
        <v>45414</v>
      </c>
      <c r="H4426" s="20">
        <v>45415</v>
      </c>
      <c r="I4426" s="20">
        <v>45436</v>
      </c>
      <c r="J4426" s="12">
        <v>166</v>
      </c>
      <c r="K4426" s="12">
        <v>22</v>
      </c>
      <c r="L4426" s="12">
        <v>0</v>
      </c>
      <c r="M4426" s="12">
        <v>0.53</v>
      </c>
      <c r="N4426" s="12">
        <v>87.98</v>
      </c>
      <c r="O4426" s="12">
        <v>65.98</v>
      </c>
      <c r="P4426" s="12" t="s">
        <v>291</v>
      </c>
    </row>
    <row r="4427" spans="1:16" x14ac:dyDescent="0.3">
      <c r="A4427" s="12" t="s">
        <v>96</v>
      </c>
      <c r="B4427" s="12" t="s">
        <v>159</v>
      </c>
      <c r="C4427" s="12" t="s">
        <v>123</v>
      </c>
      <c r="D4427" s="12" t="s">
        <v>110</v>
      </c>
      <c r="E4427" s="12" t="s">
        <v>114</v>
      </c>
      <c r="F4427" s="12" t="s">
        <v>3</v>
      </c>
      <c r="G4427" s="20">
        <v>45436</v>
      </c>
      <c r="H4427" s="20">
        <v>45415</v>
      </c>
      <c r="I4427" s="20">
        <v>45436</v>
      </c>
      <c r="J4427" s="12">
        <v>166</v>
      </c>
      <c r="K4427" s="12">
        <v>-22</v>
      </c>
      <c r="L4427" s="12">
        <v>0</v>
      </c>
      <c r="M4427" s="12">
        <v>0.53</v>
      </c>
      <c r="N4427" s="12">
        <v>-87.98</v>
      </c>
      <c r="O4427" s="12">
        <v>-65.98</v>
      </c>
      <c r="P4427" s="12" t="s">
        <v>292</v>
      </c>
    </row>
    <row r="4428" spans="1:16" x14ac:dyDescent="0.3">
      <c r="A4428" s="12" t="s">
        <v>96</v>
      </c>
      <c r="B4428" s="12" t="s">
        <v>159</v>
      </c>
      <c r="C4428" s="12" t="s">
        <v>123</v>
      </c>
      <c r="D4428" s="12" t="s">
        <v>110</v>
      </c>
      <c r="E4428" s="12" t="s">
        <v>114</v>
      </c>
      <c r="F4428" s="12" t="s">
        <v>3</v>
      </c>
      <c r="G4428" s="20">
        <v>45506</v>
      </c>
      <c r="H4428" s="20">
        <v>45509</v>
      </c>
      <c r="I4428" s="20">
        <v>45527</v>
      </c>
      <c r="J4428" s="12">
        <v>140</v>
      </c>
      <c r="K4428" s="12">
        <v>19.600000000000001</v>
      </c>
      <c r="L4428" s="12">
        <v>0</v>
      </c>
      <c r="M4428" s="12">
        <v>0.56000000000000005</v>
      </c>
      <c r="N4428" s="12">
        <v>78.400000000000006</v>
      </c>
      <c r="O4428" s="12">
        <v>58.8</v>
      </c>
      <c r="P4428" s="12" t="s">
        <v>291</v>
      </c>
    </row>
    <row r="4429" spans="1:16" x14ac:dyDescent="0.3">
      <c r="A4429" s="12" t="s">
        <v>96</v>
      </c>
      <c r="B4429" s="12" t="s">
        <v>159</v>
      </c>
      <c r="C4429" s="12" t="s">
        <v>123</v>
      </c>
      <c r="D4429" s="12" t="s">
        <v>110</v>
      </c>
      <c r="E4429" s="12" t="s">
        <v>114</v>
      </c>
      <c r="F4429" s="12" t="s">
        <v>3</v>
      </c>
      <c r="G4429" s="20">
        <v>45527</v>
      </c>
      <c r="H4429" s="20">
        <v>45509</v>
      </c>
      <c r="I4429" s="20">
        <v>45527</v>
      </c>
      <c r="J4429" s="12">
        <v>140</v>
      </c>
      <c r="K4429" s="12">
        <v>-19.600000000000001</v>
      </c>
      <c r="L4429" s="12">
        <v>0</v>
      </c>
      <c r="M4429" s="12">
        <v>0.56000000000000005</v>
      </c>
      <c r="N4429" s="12">
        <v>-78.400000000000006</v>
      </c>
      <c r="O4429" s="12">
        <v>-58.8</v>
      </c>
      <c r="P4429" s="12" t="s">
        <v>292</v>
      </c>
    </row>
    <row r="4430" spans="1:16" x14ac:dyDescent="0.3">
      <c r="A4430" s="12" t="s">
        <v>96</v>
      </c>
      <c r="B4430" s="12" t="s">
        <v>159</v>
      </c>
      <c r="C4430" s="12" t="s">
        <v>123</v>
      </c>
      <c r="D4430" s="12" t="s">
        <v>110</v>
      </c>
      <c r="E4430" s="12" t="s">
        <v>114</v>
      </c>
      <c r="F4430" s="12" t="s">
        <v>46</v>
      </c>
      <c r="G4430" s="20">
        <v>45400</v>
      </c>
      <c r="H4430" s="20">
        <v>45401</v>
      </c>
      <c r="I4430" s="20">
        <v>45432</v>
      </c>
      <c r="J4430" s="12">
        <v>13</v>
      </c>
      <c r="K4430" s="12">
        <v>4.2300000000000004</v>
      </c>
      <c r="L4430" s="12">
        <v>0</v>
      </c>
      <c r="M4430" s="12">
        <v>1.3</v>
      </c>
      <c r="N4430" s="12">
        <v>16.899999999999999</v>
      </c>
      <c r="O4430" s="12">
        <v>12.67</v>
      </c>
      <c r="P4430" s="12" t="s">
        <v>291</v>
      </c>
    </row>
    <row r="4431" spans="1:16" x14ac:dyDescent="0.3">
      <c r="A4431" s="12" t="s">
        <v>96</v>
      </c>
      <c r="B4431" s="12" t="s">
        <v>159</v>
      </c>
      <c r="C4431" s="12" t="s">
        <v>123</v>
      </c>
      <c r="D4431" s="12" t="s">
        <v>110</v>
      </c>
      <c r="E4431" s="12" t="s">
        <v>114</v>
      </c>
      <c r="F4431" s="12" t="s">
        <v>46</v>
      </c>
      <c r="G4431" s="20">
        <v>45432</v>
      </c>
      <c r="H4431" s="20">
        <v>45401</v>
      </c>
      <c r="I4431" s="20">
        <v>45432</v>
      </c>
      <c r="J4431" s="12">
        <v>13</v>
      </c>
      <c r="K4431" s="12">
        <v>-4.2300000000000004</v>
      </c>
      <c r="L4431" s="12">
        <v>0</v>
      </c>
      <c r="M4431" s="12">
        <v>1.3</v>
      </c>
      <c r="N4431" s="12">
        <v>-16.899999999999999</v>
      </c>
      <c r="O4431" s="12">
        <v>-12.67</v>
      </c>
      <c r="P4431" s="12" t="s">
        <v>292</v>
      </c>
    </row>
    <row r="4432" spans="1:16" x14ac:dyDescent="0.3">
      <c r="A4432" s="12" t="s">
        <v>96</v>
      </c>
      <c r="B4432" s="12" t="s">
        <v>159</v>
      </c>
      <c r="C4432" s="12" t="s">
        <v>123</v>
      </c>
      <c r="D4432" s="12" t="s">
        <v>110</v>
      </c>
      <c r="E4432" s="12" t="s">
        <v>114</v>
      </c>
      <c r="F4432" s="12" t="s">
        <v>11</v>
      </c>
      <c r="G4432" s="20">
        <v>45322</v>
      </c>
      <c r="H4432" s="20">
        <v>45323</v>
      </c>
      <c r="I4432" s="20">
        <v>45338</v>
      </c>
      <c r="J4432" s="12">
        <v>11</v>
      </c>
      <c r="K4432" s="12">
        <v>3.37</v>
      </c>
      <c r="L4432" s="12">
        <v>0</v>
      </c>
      <c r="M4432" s="12">
        <v>1.02</v>
      </c>
      <c r="N4432" s="12">
        <v>11.22</v>
      </c>
      <c r="O4432" s="12">
        <v>7.85</v>
      </c>
      <c r="P4432" s="12" t="s">
        <v>291</v>
      </c>
    </row>
    <row r="4433" spans="1:16" x14ac:dyDescent="0.3">
      <c r="A4433" s="12" t="s">
        <v>96</v>
      </c>
      <c r="B4433" s="12" t="s">
        <v>159</v>
      </c>
      <c r="C4433" s="12" t="s">
        <v>123</v>
      </c>
      <c r="D4433" s="12" t="s">
        <v>110</v>
      </c>
      <c r="E4433" s="12" t="s">
        <v>114</v>
      </c>
      <c r="F4433" s="12" t="s">
        <v>11</v>
      </c>
      <c r="G4433" s="20">
        <v>45338</v>
      </c>
      <c r="H4433" s="20">
        <v>45323</v>
      </c>
      <c r="I4433" s="20">
        <v>45338</v>
      </c>
      <c r="J4433" s="12">
        <v>11</v>
      </c>
      <c r="K4433" s="12">
        <v>-3.37</v>
      </c>
      <c r="L4433" s="12">
        <v>0</v>
      </c>
      <c r="M4433" s="12">
        <v>1.02</v>
      </c>
      <c r="N4433" s="12">
        <v>-11.22</v>
      </c>
      <c r="O4433" s="12">
        <v>-7.85</v>
      </c>
      <c r="P4433" s="12" t="s">
        <v>292</v>
      </c>
    </row>
    <row r="4434" spans="1:16" x14ac:dyDescent="0.3">
      <c r="A4434" s="12" t="s">
        <v>96</v>
      </c>
      <c r="B4434" s="12" t="s">
        <v>159</v>
      </c>
      <c r="C4434" s="12" t="s">
        <v>123</v>
      </c>
      <c r="D4434" s="12" t="s">
        <v>110</v>
      </c>
      <c r="E4434" s="12" t="s">
        <v>114</v>
      </c>
      <c r="F4434" s="12" t="s">
        <v>11</v>
      </c>
      <c r="G4434" s="20">
        <v>45406</v>
      </c>
      <c r="H4434" s="20">
        <v>45407</v>
      </c>
      <c r="I4434" s="20">
        <v>45422</v>
      </c>
      <c r="J4434" s="12">
        <v>10</v>
      </c>
      <c r="K4434" s="12">
        <v>2.9</v>
      </c>
      <c r="L4434" s="12">
        <v>0</v>
      </c>
      <c r="M4434" s="12">
        <v>1.1599999999999999</v>
      </c>
      <c r="N4434" s="12">
        <v>11.6</v>
      </c>
      <c r="O4434" s="12">
        <v>8.6999999999999993</v>
      </c>
      <c r="P4434" s="12" t="s">
        <v>291</v>
      </c>
    </row>
    <row r="4435" spans="1:16" x14ac:dyDescent="0.3">
      <c r="A4435" s="12" t="s">
        <v>96</v>
      </c>
      <c r="B4435" s="12" t="s">
        <v>159</v>
      </c>
      <c r="C4435" s="12" t="s">
        <v>123</v>
      </c>
      <c r="D4435" s="12" t="s">
        <v>110</v>
      </c>
      <c r="E4435" s="12" t="s">
        <v>114</v>
      </c>
      <c r="F4435" s="12" t="s">
        <v>11</v>
      </c>
      <c r="G4435" s="20">
        <v>45422</v>
      </c>
      <c r="H4435" s="20">
        <v>45407</v>
      </c>
      <c r="I4435" s="20">
        <v>45422</v>
      </c>
      <c r="J4435" s="12">
        <v>10</v>
      </c>
      <c r="K4435" s="12">
        <v>-2.9</v>
      </c>
      <c r="L4435" s="12">
        <v>0</v>
      </c>
      <c r="M4435" s="12">
        <v>1.1599999999999999</v>
      </c>
      <c r="N4435" s="12">
        <v>-11.6</v>
      </c>
      <c r="O4435" s="12">
        <v>-8.6999999999999993</v>
      </c>
      <c r="P4435" s="12" t="s">
        <v>292</v>
      </c>
    </row>
    <row r="4436" spans="1:16" x14ac:dyDescent="0.3">
      <c r="A4436" s="12" t="s">
        <v>96</v>
      </c>
      <c r="B4436" s="12" t="s">
        <v>159</v>
      </c>
      <c r="C4436" s="12" t="s">
        <v>123</v>
      </c>
      <c r="D4436" s="12" t="s">
        <v>110</v>
      </c>
      <c r="E4436" s="12" t="s">
        <v>114</v>
      </c>
      <c r="F4436" s="12" t="s">
        <v>11</v>
      </c>
      <c r="G4436" s="20">
        <v>45498</v>
      </c>
      <c r="H4436" s="20">
        <v>45499</v>
      </c>
      <c r="I4436" s="20">
        <v>45513</v>
      </c>
      <c r="J4436" s="12">
        <v>10</v>
      </c>
      <c r="K4436" s="12">
        <v>2.9</v>
      </c>
      <c r="L4436" s="12">
        <v>0</v>
      </c>
      <c r="M4436" s="12">
        <v>1.1599999999999999</v>
      </c>
      <c r="N4436" s="12">
        <v>11.6</v>
      </c>
      <c r="O4436" s="12">
        <v>8.6999999999999993</v>
      </c>
      <c r="P4436" s="12" t="s">
        <v>291</v>
      </c>
    </row>
    <row r="4437" spans="1:16" x14ac:dyDescent="0.3">
      <c r="A4437" s="12" t="s">
        <v>96</v>
      </c>
      <c r="B4437" s="12" t="s">
        <v>159</v>
      </c>
      <c r="C4437" s="12" t="s">
        <v>123</v>
      </c>
      <c r="D4437" s="12" t="s">
        <v>110</v>
      </c>
      <c r="E4437" s="12" t="s">
        <v>114</v>
      </c>
      <c r="F4437" s="12" t="s">
        <v>11</v>
      </c>
      <c r="G4437" s="20">
        <v>45513</v>
      </c>
      <c r="H4437" s="20">
        <v>45499</v>
      </c>
      <c r="I4437" s="20">
        <v>45513</v>
      </c>
      <c r="J4437" s="12">
        <v>10</v>
      </c>
      <c r="K4437" s="12">
        <v>-2.9</v>
      </c>
      <c r="L4437" s="12">
        <v>0</v>
      </c>
      <c r="M4437" s="12">
        <v>1.1599999999999999</v>
      </c>
      <c r="N4437" s="12">
        <v>-11.6</v>
      </c>
      <c r="O4437" s="12">
        <v>-8.6999999999999993</v>
      </c>
      <c r="P4437" s="12" t="s">
        <v>292</v>
      </c>
    </row>
    <row r="4438" spans="1:16" x14ac:dyDescent="0.3">
      <c r="A4438" s="12" t="s">
        <v>96</v>
      </c>
      <c r="B4438" s="12" t="s">
        <v>159</v>
      </c>
      <c r="C4438" s="12" t="s">
        <v>123</v>
      </c>
      <c r="D4438" s="12" t="s">
        <v>110</v>
      </c>
      <c r="E4438" s="12" t="s">
        <v>114</v>
      </c>
      <c r="F4438" s="12" t="s">
        <v>12</v>
      </c>
      <c r="G4438" s="20">
        <v>45309</v>
      </c>
      <c r="H4438" s="20">
        <v>45310</v>
      </c>
      <c r="I4438" s="20">
        <v>45323</v>
      </c>
      <c r="J4438" s="12">
        <v>95</v>
      </c>
      <c r="K4438" s="12">
        <v>18.96</v>
      </c>
      <c r="L4438" s="12">
        <v>0</v>
      </c>
      <c r="M4438" s="12">
        <v>0.66500000000000004</v>
      </c>
      <c r="N4438" s="12">
        <v>63.18</v>
      </c>
      <c r="O4438" s="12">
        <v>44.22</v>
      </c>
      <c r="P4438" s="12" t="s">
        <v>291</v>
      </c>
    </row>
    <row r="4439" spans="1:16" x14ac:dyDescent="0.3">
      <c r="A4439" s="12" t="s">
        <v>96</v>
      </c>
      <c r="B4439" s="12" t="s">
        <v>159</v>
      </c>
      <c r="C4439" s="12" t="s">
        <v>123</v>
      </c>
      <c r="D4439" s="12" t="s">
        <v>110</v>
      </c>
      <c r="E4439" s="12" t="s">
        <v>114</v>
      </c>
      <c r="F4439" s="12" t="s">
        <v>12</v>
      </c>
      <c r="G4439" s="20">
        <v>45309</v>
      </c>
      <c r="H4439" s="20">
        <v>45310</v>
      </c>
      <c r="I4439" s="20">
        <v>45323</v>
      </c>
      <c r="J4439" s="12">
        <v>95</v>
      </c>
      <c r="K4439" s="12">
        <v>18.95</v>
      </c>
      <c r="L4439" s="12">
        <v>0</v>
      </c>
      <c r="M4439" s="12">
        <v>0.66500000000000004</v>
      </c>
      <c r="N4439" s="12">
        <v>63.18</v>
      </c>
      <c r="O4439" s="12">
        <v>44.23</v>
      </c>
      <c r="P4439" s="12" t="s">
        <v>291</v>
      </c>
    </row>
    <row r="4440" spans="1:16" x14ac:dyDescent="0.3">
      <c r="A4440" s="12" t="s">
        <v>96</v>
      </c>
      <c r="B4440" s="12" t="s">
        <v>159</v>
      </c>
      <c r="C4440" s="12" t="s">
        <v>123</v>
      </c>
      <c r="D4440" s="12" t="s">
        <v>110</v>
      </c>
      <c r="E4440" s="12" t="s">
        <v>114</v>
      </c>
      <c r="F4440" s="12" t="s">
        <v>12</v>
      </c>
      <c r="G4440" s="20">
        <v>45309</v>
      </c>
      <c r="H4440" s="20">
        <v>45310</v>
      </c>
      <c r="I4440" s="20">
        <v>45323</v>
      </c>
      <c r="J4440" s="12">
        <v>95</v>
      </c>
      <c r="K4440" s="12">
        <v>-18.96</v>
      </c>
      <c r="L4440" s="12">
        <v>0</v>
      </c>
      <c r="M4440" s="12">
        <v>0.66500000000000004</v>
      </c>
      <c r="N4440" s="12">
        <v>-63.18</v>
      </c>
      <c r="O4440" s="12">
        <v>-44.22</v>
      </c>
      <c r="P4440" s="12" t="s">
        <v>292</v>
      </c>
    </row>
    <row r="4441" spans="1:16" x14ac:dyDescent="0.3">
      <c r="A4441" s="12" t="s">
        <v>96</v>
      </c>
      <c r="B4441" s="12" t="s">
        <v>159</v>
      </c>
      <c r="C4441" s="12" t="s">
        <v>123</v>
      </c>
      <c r="D4441" s="12" t="s">
        <v>110</v>
      </c>
      <c r="E4441" s="12" t="s">
        <v>114</v>
      </c>
      <c r="F4441" s="12" t="s">
        <v>12</v>
      </c>
      <c r="G4441" s="20">
        <v>45323</v>
      </c>
      <c r="H4441" s="20">
        <v>45310</v>
      </c>
      <c r="I4441" s="20">
        <v>45323</v>
      </c>
      <c r="J4441" s="12">
        <v>95</v>
      </c>
      <c r="K4441" s="12">
        <v>-18.95</v>
      </c>
      <c r="L4441" s="12">
        <v>0</v>
      </c>
      <c r="M4441" s="12">
        <v>0.66500000000000004</v>
      </c>
      <c r="N4441" s="12">
        <v>-63.18</v>
      </c>
      <c r="O4441" s="12">
        <v>-44.23</v>
      </c>
      <c r="P4441" s="12" t="s">
        <v>292</v>
      </c>
    </row>
    <row r="4442" spans="1:16" x14ac:dyDescent="0.3">
      <c r="A4442" s="12" t="s">
        <v>96</v>
      </c>
      <c r="B4442" s="12" t="s">
        <v>159</v>
      </c>
      <c r="C4442" s="12" t="s">
        <v>123</v>
      </c>
      <c r="D4442" s="12" t="s">
        <v>110</v>
      </c>
      <c r="E4442" s="12" t="s">
        <v>114</v>
      </c>
      <c r="F4442" s="12" t="s">
        <v>14</v>
      </c>
      <c r="G4442" s="20">
        <v>45470</v>
      </c>
      <c r="H4442" s="20">
        <v>45471</v>
      </c>
      <c r="I4442" s="20">
        <v>45499</v>
      </c>
      <c r="J4442" s="12">
        <v>30</v>
      </c>
      <c r="K4442" s="12">
        <v>2.0299999999999998</v>
      </c>
      <c r="L4442" s="12">
        <v>0</v>
      </c>
      <c r="M4442" s="12">
        <v>0.27</v>
      </c>
      <c r="N4442" s="12">
        <v>8.1</v>
      </c>
      <c r="O4442" s="12">
        <v>6.07</v>
      </c>
      <c r="P4442" s="12" t="s">
        <v>291</v>
      </c>
    </row>
    <row r="4443" spans="1:16" x14ac:dyDescent="0.3">
      <c r="A4443" s="12" t="s">
        <v>96</v>
      </c>
      <c r="B4443" s="12" t="s">
        <v>159</v>
      </c>
      <c r="C4443" s="12" t="s">
        <v>123</v>
      </c>
      <c r="D4443" s="12" t="s">
        <v>110</v>
      </c>
      <c r="E4443" s="12" t="s">
        <v>114</v>
      </c>
      <c r="F4443" s="12" t="s">
        <v>14</v>
      </c>
      <c r="G4443" s="20">
        <v>45499</v>
      </c>
      <c r="H4443" s="20">
        <v>45471</v>
      </c>
      <c r="I4443" s="20">
        <v>45499</v>
      </c>
      <c r="J4443" s="12">
        <v>30</v>
      </c>
      <c r="K4443" s="12">
        <v>-2.0299999999999998</v>
      </c>
      <c r="L4443" s="12">
        <v>0</v>
      </c>
      <c r="M4443" s="12">
        <v>0.27</v>
      </c>
      <c r="N4443" s="12">
        <v>-8.1</v>
      </c>
      <c r="O4443" s="12">
        <v>-6.07</v>
      </c>
      <c r="P4443" s="12" t="s">
        <v>292</v>
      </c>
    </row>
    <row r="4444" spans="1:16" x14ac:dyDescent="0.3">
      <c r="A4444" s="12" t="s">
        <v>96</v>
      </c>
      <c r="B4444" s="12" t="s">
        <v>159</v>
      </c>
      <c r="C4444" s="12" t="s">
        <v>123</v>
      </c>
      <c r="D4444" s="12" t="s">
        <v>110</v>
      </c>
      <c r="E4444" s="12" t="s">
        <v>114</v>
      </c>
      <c r="F4444" s="12" t="s">
        <v>16</v>
      </c>
      <c r="G4444" s="20">
        <v>45306</v>
      </c>
      <c r="H4444" s="20">
        <v>45307</v>
      </c>
      <c r="I4444" s="20">
        <v>45322</v>
      </c>
      <c r="J4444" s="12">
        <v>20</v>
      </c>
      <c r="K4444" s="12">
        <v>5.46</v>
      </c>
      <c r="L4444" s="12">
        <v>0</v>
      </c>
      <c r="M4444" s="12">
        <v>0.91</v>
      </c>
      <c r="N4444" s="12">
        <v>18.2</v>
      </c>
      <c r="O4444" s="12">
        <v>12.74</v>
      </c>
      <c r="P4444" s="12" t="s">
        <v>291</v>
      </c>
    </row>
    <row r="4445" spans="1:16" x14ac:dyDescent="0.3">
      <c r="A4445" s="12" t="s">
        <v>96</v>
      </c>
      <c r="B4445" s="12" t="s">
        <v>159</v>
      </c>
      <c r="C4445" s="12" t="s">
        <v>123</v>
      </c>
      <c r="D4445" s="12" t="s">
        <v>110</v>
      </c>
      <c r="E4445" s="12" t="s">
        <v>114</v>
      </c>
      <c r="F4445" s="12" t="s">
        <v>16</v>
      </c>
      <c r="G4445" s="20">
        <v>45322</v>
      </c>
      <c r="H4445" s="20">
        <v>45307</v>
      </c>
      <c r="I4445" s="20">
        <v>45322</v>
      </c>
      <c r="J4445" s="12">
        <v>20</v>
      </c>
      <c r="K4445" s="12">
        <v>-5.46</v>
      </c>
      <c r="L4445" s="12">
        <v>0</v>
      </c>
      <c r="M4445" s="12">
        <v>0.91</v>
      </c>
      <c r="N4445" s="12">
        <v>-18.2</v>
      </c>
      <c r="O4445" s="12">
        <v>-12.74</v>
      </c>
      <c r="P4445" s="12" t="s">
        <v>292</v>
      </c>
    </row>
    <row r="4446" spans="1:16" x14ac:dyDescent="0.3">
      <c r="A4446" s="12" t="s">
        <v>96</v>
      </c>
      <c r="B4446" s="12" t="s">
        <v>159</v>
      </c>
      <c r="C4446" s="12" t="s">
        <v>123</v>
      </c>
      <c r="D4446" s="12" t="s">
        <v>110</v>
      </c>
      <c r="E4446" s="12" t="s">
        <v>114</v>
      </c>
      <c r="F4446" s="12" t="s">
        <v>18</v>
      </c>
      <c r="G4446" s="20">
        <v>45308</v>
      </c>
      <c r="H4446" s="20">
        <v>45309</v>
      </c>
      <c r="I4446" s="20">
        <v>45331</v>
      </c>
      <c r="J4446" s="12">
        <v>14</v>
      </c>
      <c r="K4446" s="12">
        <v>5.54</v>
      </c>
      <c r="L4446" s="12">
        <v>0</v>
      </c>
      <c r="M4446" s="12">
        <v>1.32</v>
      </c>
      <c r="N4446" s="12">
        <v>18.48</v>
      </c>
      <c r="O4446" s="12">
        <v>12.94</v>
      </c>
      <c r="P4446" s="12" t="s">
        <v>291</v>
      </c>
    </row>
    <row r="4447" spans="1:16" x14ac:dyDescent="0.3">
      <c r="A4447" s="12" t="s">
        <v>96</v>
      </c>
      <c r="B4447" s="12" t="s">
        <v>159</v>
      </c>
      <c r="C4447" s="12" t="s">
        <v>123</v>
      </c>
      <c r="D4447" s="12" t="s">
        <v>110</v>
      </c>
      <c r="E4447" s="12" t="s">
        <v>114</v>
      </c>
      <c r="F4447" s="12" t="s">
        <v>18</v>
      </c>
      <c r="G4447" s="20">
        <v>45331</v>
      </c>
      <c r="H4447" s="20">
        <v>45309</v>
      </c>
      <c r="I4447" s="20">
        <v>45331</v>
      </c>
      <c r="J4447" s="12">
        <v>14</v>
      </c>
      <c r="K4447" s="12">
        <v>-5.54</v>
      </c>
      <c r="L4447" s="12">
        <v>0</v>
      </c>
      <c r="M4447" s="12">
        <v>1.32</v>
      </c>
      <c r="N4447" s="12">
        <v>-18.48</v>
      </c>
      <c r="O4447" s="12">
        <v>-12.94</v>
      </c>
      <c r="P4447" s="12" t="s">
        <v>292</v>
      </c>
    </row>
    <row r="4448" spans="1:16" x14ac:dyDescent="0.3">
      <c r="A4448" s="12" t="s">
        <v>96</v>
      </c>
      <c r="B4448" s="12" t="s">
        <v>159</v>
      </c>
      <c r="C4448" s="12" t="s">
        <v>123</v>
      </c>
      <c r="D4448" s="12" t="s">
        <v>110</v>
      </c>
      <c r="E4448" s="12" t="s">
        <v>114</v>
      </c>
      <c r="F4448" s="12" t="s">
        <v>18</v>
      </c>
      <c r="G4448" s="20">
        <v>45392</v>
      </c>
      <c r="H4448" s="20">
        <v>45393</v>
      </c>
      <c r="I4448" s="20">
        <v>45422</v>
      </c>
      <c r="J4448" s="12">
        <v>19</v>
      </c>
      <c r="K4448" s="12">
        <v>6.75</v>
      </c>
      <c r="L4448" s="12">
        <v>0</v>
      </c>
      <c r="M4448" s="12">
        <v>1.42</v>
      </c>
      <c r="N4448" s="12">
        <v>26.98</v>
      </c>
      <c r="O4448" s="12">
        <v>20.23</v>
      </c>
      <c r="P4448" s="12" t="s">
        <v>291</v>
      </c>
    </row>
    <row r="4449" spans="1:16" x14ac:dyDescent="0.3">
      <c r="A4449" s="12" t="s">
        <v>96</v>
      </c>
      <c r="B4449" s="12" t="s">
        <v>159</v>
      </c>
      <c r="C4449" s="12" t="s">
        <v>123</v>
      </c>
      <c r="D4449" s="12" t="s">
        <v>110</v>
      </c>
      <c r="E4449" s="12" t="s">
        <v>114</v>
      </c>
      <c r="F4449" s="12" t="s">
        <v>18</v>
      </c>
      <c r="G4449" s="20">
        <v>45422</v>
      </c>
      <c r="H4449" s="20">
        <v>45393</v>
      </c>
      <c r="I4449" s="20">
        <v>45422</v>
      </c>
      <c r="J4449" s="12">
        <v>19</v>
      </c>
      <c r="K4449" s="12">
        <v>-6.75</v>
      </c>
      <c r="L4449" s="12">
        <v>0</v>
      </c>
      <c r="M4449" s="12">
        <v>1.42</v>
      </c>
      <c r="N4449" s="12">
        <v>-26.98</v>
      </c>
      <c r="O4449" s="12">
        <v>-20.23</v>
      </c>
      <c r="P4449" s="12" t="s">
        <v>292</v>
      </c>
    </row>
    <row r="4450" spans="1:16" x14ac:dyDescent="0.3">
      <c r="A4450" s="12" t="s">
        <v>96</v>
      </c>
      <c r="B4450" s="12" t="s">
        <v>159</v>
      </c>
      <c r="C4450" s="12" t="s">
        <v>123</v>
      </c>
      <c r="D4450" s="12" t="s">
        <v>110</v>
      </c>
      <c r="E4450" s="12" t="s">
        <v>114</v>
      </c>
      <c r="F4450" s="12" t="s">
        <v>18</v>
      </c>
      <c r="G4450" s="20">
        <v>45477</v>
      </c>
      <c r="H4450" s="20">
        <v>45478</v>
      </c>
      <c r="I4450" s="20">
        <v>45513</v>
      </c>
      <c r="J4450" s="12">
        <v>30</v>
      </c>
      <c r="K4450" s="12">
        <v>10.65</v>
      </c>
      <c r="L4450" s="12">
        <v>0</v>
      </c>
      <c r="M4450" s="12">
        <v>1.42</v>
      </c>
      <c r="N4450" s="12">
        <v>42.6</v>
      </c>
      <c r="O4450" s="12">
        <v>31.95</v>
      </c>
      <c r="P4450" s="12" t="s">
        <v>291</v>
      </c>
    </row>
    <row r="4451" spans="1:16" x14ac:dyDescent="0.3">
      <c r="A4451" s="12" t="s">
        <v>96</v>
      </c>
      <c r="B4451" s="12" t="s">
        <v>159</v>
      </c>
      <c r="C4451" s="12" t="s">
        <v>123</v>
      </c>
      <c r="D4451" s="12" t="s">
        <v>110</v>
      </c>
      <c r="E4451" s="12" t="s">
        <v>114</v>
      </c>
      <c r="F4451" s="12" t="s">
        <v>18</v>
      </c>
      <c r="G4451" s="20">
        <v>45513</v>
      </c>
      <c r="H4451" s="20">
        <v>45478</v>
      </c>
      <c r="I4451" s="20">
        <v>45513</v>
      </c>
      <c r="J4451" s="12">
        <v>30</v>
      </c>
      <c r="K4451" s="12">
        <v>-10.65</v>
      </c>
      <c r="L4451" s="12">
        <v>0</v>
      </c>
      <c r="M4451" s="12">
        <v>1.42</v>
      </c>
      <c r="N4451" s="12">
        <v>-42.6</v>
      </c>
      <c r="O4451" s="12">
        <v>-31.95</v>
      </c>
      <c r="P4451" s="12" t="s">
        <v>292</v>
      </c>
    </row>
    <row r="4452" spans="1:16" x14ac:dyDescent="0.3">
      <c r="A4452" s="12" t="s">
        <v>96</v>
      </c>
      <c r="B4452" s="12" t="s">
        <v>159</v>
      </c>
      <c r="C4452" s="12" t="s">
        <v>123</v>
      </c>
      <c r="D4452" s="12" t="s">
        <v>110</v>
      </c>
      <c r="E4452" s="12" t="s">
        <v>114</v>
      </c>
      <c r="F4452" s="12" t="s">
        <v>48</v>
      </c>
      <c r="G4452" s="20">
        <v>45393</v>
      </c>
      <c r="H4452" s="20">
        <v>45394</v>
      </c>
      <c r="I4452" s="20">
        <v>45407</v>
      </c>
      <c r="J4452" s="12">
        <v>25</v>
      </c>
      <c r="K4452" s="12">
        <v>1.75</v>
      </c>
      <c r="L4452" s="12">
        <v>0</v>
      </c>
      <c r="M4452" s="12">
        <v>0.28000000000000003</v>
      </c>
      <c r="N4452" s="12">
        <v>7</v>
      </c>
      <c r="O4452" s="12">
        <v>5.25</v>
      </c>
      <c r="P4452" s="12" t="s">
        <v>291</v>
      </c>
    </row>
    <row r="4453" spans="1:16" x14ac:dyDescent="0.3">
      <c r="A4453" s="12" t="s">
        <v>96</v>
      </c>
      <c r="B4453" s="12" t="s">
        <v>159</v>
      </c>
      <c r="C4453" s="12" t="s">
        <v>123</v>
      </c>
      <c r="D4453" s="12" t="s">
        <v>110</v>
      </c>
      <c r="E4453" s="12" t="s">
        <v>114</v>
      </c>
      <c r="F4453" s="12" t="s">
        <v>48</v>
      </c>
      <c r="G4453" s="20">
        <v>45407</v>
      </c>
      <c r="H4453" s="20">
        <v>45394</v>
      </c>
      <c r="I4453" s="20">
        <v>45407</v>
      </c>
      <c r="J4453" s="12">
        <v>25</v>
      </c>
      <c r="K4453" s="12">
        <v>-1.75</v>
      </c>
      <c r="L4453" s="12">
        <v>0</v>
      </c>
      <c r="M4453" s="12">
        <v>0.28000000000000003</v>
      </c>
      <c r="N4453" s="12">
        <v>-7</v>
      </c>
      <c r="O4453" s="12">
        <v>-5.25</v>
      </c>
      <c r="P4453" s="12" t="s">
        <v>292</v>
      </c>
    </row>
    <row r="4454" spans="1:16" x14ac:dyDescent="0.3">
      <c r="A4454" s="12" t="s">
        <v>96</v>
      </c>
      <c r="B4454" s="12" t="s">
        <v>159</v>
      </c>
      <c r="C4454" s="12" t="s">
        <v>123</v>
      </c>
      <c r="D4454" s="12" t="s">
        <v>110</v>
      </c>
      <c r="E4454" s="12" t="s">
        <v>114</v>
      </c>
      <c r="F4454" s="12" t="s">
        <v>48</v>
      </c>
      <c r="G4454" s="20">
        <v>45483</v>
      </c>
      <c r="H4454" s="20">
        <v>45484</v>
      </c>
      <c r="I4454" s="20">
        <v>45498</v>
      </c>
      <c r="J4454" s="12">
        <v>45</v>
      </c>
      <c r="K4454" s="12">
        <v>3.15</v>
      </c>
      <c r="L4454" s="12">
        <v>0</v>
      </c>
      <c r="M4454" s="12">
        <v>0.28000000000000003</v>
      </c>
      <c r="N4454" s="12">
        <v>12.6</v>
      </c>
      <c r="O4454" s="12">
        <v>9.4499999999999993</v>
      </c>
      <c r="P4454" s="12" t="s">
        <v>291</v>
      </c>
    </row>
    <row r="4455" spans="1:16" x14ac:dyDescent="0.3">
      <c r="A4455" s="12" t="s">
        <v>96</v>
      </c>
      <c r="B4455" s="12" t="s">
        <v>159</v>
      </c>
      <c r="C4455" s="12" t="s">
        <v>123</v>
      </c>
      <c r="D4455" s="12" t="s">
        <v>110</v>
      </c>
      <c r="E4455" s="12" t="s">
        <v>114</v>
      </c>
      <c r="F4455" s="12" t="s">
        <v>48</v>
      </c>
      <c r="G4455" s="20">
        <v>45498</v>
      </c>
      <c r="H4455" s="20">
        <v>45484</v>
      </c>
      <c r="I4455" s="20">
        <v>45498</v>
      </c>
      <c r="J4455" s="12">
        <v>45</v>
      </c>
      <c r="K4455" s="12">
        <v>-3.15</v>
      </c>
      <c r="L4455" s="12">
        <v>0</v>
      </c>
      <c r="M4455" s="12">
        <v>0.28000000000000003</v>
      </c>
      <c r="N4455" s="12">
        <v>-12.6</v>
      </c>
      <c r="O4455" s="12">
        <v>-9.4499999999999993</v>
      </c>
      <c r="P4455" s="12" t="s">
        <v>292</v>
      </c>
    </row>
    <row r="4456" spans="1:16" x14ac:dyDescent="0.3">
      <c r="A4456" s="12" t="s">
        <v>96</v>
      </c>
      <c r="B4456" s="12" t="s">
        <v>159</v>
      </c>
      <c r="C4456" s="12" t="s">
        <v>123</v>
      </c>
      <c r="D4456" s="12" t="s">
        <v>110</v>
      </c>
      <c r="E4456" s="12" t="s">
        <v>114</v>
      </c>
      <c r="F4456" s="12" t="s">
        <v>19</v>
      </c>
      <c r="G4456" s="20">
        <v>45450</v>
      </c>
      <c r="H4456" s="20">
        <v>45453</v>
      </c>
      <c r="I4456" s="20">
        <v>45460</v>
      </c>
      <c r="J4456" s="12">
        <v>124</v>
      </c>
      <c r="K4456" s="12">
        <v>6.2</v>
      </c>
      <c r="L4456" s="12">
        <v>0</v>
      </c>
      <c r="M4456" s="12">
        <v>0.2</v>
      </c>
      <c r="N4456" s="12">
        <v>24.8</v>
      </c>
      <c r="O4456" s="12">
        <v>18.600000000000001</v>
      </c>
      <c r="P4456" s="12" t="s">
        <v>291</v>
      </c>
    </row>
    <row r="4457" spans="1:16" x14ac:dyDescent="0.3">
      <c r="A4457" s="12" t="s">
        <v>96</v>
      </c>
      <c r="B4457" s="12" t="s">
        <v>159</v>
      </c>
      <c r="C4457" s="12" t="s">
        <v>123</v>
      </c>
      <c r="D4457" s="12" t="s">
        <v>110</v>
      </c>
      <c r="E4457" s="12" t="s">
        <v>114</v>
      </c>
      <c r="F4457" s="12" t="s">
        <v>19</v>
      </c>
      <c r="G4457" s="20">
        <v>45460</v>
      </c>
      <c r="H4457" s="20">
        <v>45453</v>
      </c>
      <c r="I4457" s="20">
        <v>45460</v>
      </c>
      <c r="J4457" s="12">
        <v>124</v>
      </c>
      <c r="K4457" s="12">
        <v>-6.2</v>
      </c>
      <c r="L4457" s="12">
        <v>0</v>
      </c>
      <c r="M4457" s="12">
        <v>0.2</v>
      </c>
      <c r="N4457" s="12">
        <v>-24.8</v>
      </c>
      <c r="O4457" s="12">
        <v>-18.600000000000001</v>
      </c>
      <c r="P4457" s="12" t="s">
        <v>292</v>
      </c>
    </row>
    <row r="4458" spans="1:16" x14ac:dyDescent="0.3">
      <c r="A4458" s="12" t="s">
        <v>96</v>
      </c>
      <c r="B4458" s="12" t="s">
        <v>159</v>
      </c>
      <c r="C4458" s="12" t="s">
        <v>123</v>
      </c>
      <c r="D4458" s="12" t="s">
        <v>110</v>
      </c>
      <c r="E4458" s="12" t="s">
        <v>114</v>
      </c>
      <c r="F4458" s="12" t="s">
        <v>69</v>
      </c>
      <c r="G4458" s="20">
        <v>45456</v>
      </c>
      <c r="H4458" s="20">
        <v>45457</v>
      </c>
      <c r="I4458" s="20">
        <v>45471</v>
      </c>
      <c r="J4458" s="12">
        <v>15</v>
      </c>
      <c r="K4458" s="12">
        <v>2.48</v>
      </c>
      <c r="L4458" s="12">
        <v>0</v>
      </c>
      <c r="M4458" s="12">
        <v>0.66</v>
      </c>
      <c r="N4458" s="12">
        <v>9.9</v>
      </c>
      <c r="O4458" s="12">
        <v>7.42</v>
      </c>
      <c r="P4458" s="12" t="s">
        <v>291</v>
      </c>
    </row>
    <row r="4459" spans="1:16" x14ac:dyDescent="0.3">
      <c r="A4459" s="12" t="s">
        <v>96</v>
      </c>
      <c r="B4459" s="12" t="s">
        <v>159</v>
      </c>
      <c r="C4459" s="12" t="s">
        <v>123</v>
      </c>
      <c r="D4459" s="12" t="s">
        <v>110</v>
      </c>
      <c r="E4459" s="12" t="s">
        <v>114</v>
      </c>
      <c r="F4459" s="12" t="s">
        <v>69</v>
      </c>
      <c r="G4459" s="20">
        <v>45471</v>
      </c>
      <c r="H4459" s="20">
        <v>45457</v>
      </c>
      <c r="I4459" s="20">
        <v>45471</v>
      </c>
      <c r="J4459" s="12">
        <v>15</v>
      </c>
      <c r="K4459" s="12">
        <v>-2.48</v>
      </c>
      <c r="L4459" s="12">
        <v>0</v>
      </c>
      <c r="M4459" s="12">
        <v>0.66</v>
      </c>
      <c r="N4459" s="12">
        <v>-9.9</v>
      </c>
      <c r="O4459" s="12">
        <v>-7.42</v>
      </c>
      <c r="P4459" s="12" t="s">
        <v>292</v>
      </c>
    </row>
    <row r="4460" spans="1:16" x14ac:dyDescent="0.3">
      <c r="A4460" s="12" t="s">
        <v>96</v>
      </c>
      <c r="B4460" s="12" t="s">
        <v>159</v>
      </c>
      <c r="C4460" s="12" t="s">
        <v>123</v>
      </c>
      <c r="D4460" s="12" t="s">
        <v>110</v>
      </c>
      <c r="E4460" s="12" t="s">
        <v>114</v>
      </c>
      <c r="F4460" s="12" t="s">
        <v>20</v>
      </c>
      <c r="G4460" s="20">
        <v>45356</v>
      </c>
      <c r="H4460" s="20">
        <v>45357</v>
      </c>
      <c r="I4460" s="20">
        <v>45372</v>
      </c>
      <c r="J4460" s="12">
        <v>11</v>
      </c>
      <c r="K4460" s="12">
        <v>6.19</v>
      </c>
      <c r="L4460" s="12">
        <v>0</v>
      </c>
      <c r="M4460" s="12">
        <v>2.25</v>
      </c>
      <c r="N4460" s="12">
        <v>24.75</v>
      </c>
      <c r="O4460" s="12">
        <v>18.559999999999999</v>
      </c>
      <c r="P4460" s="12" t="s">
        <v>291</v>
      </c>
    </row>
    <row r="4461" spans="1:16" x14ac:dyDescent="0.3">
      <c r="A4461" s="12" t="s">
        <v>96</v>
      </c>
      <c r="B4461" s="12" t="s">
        <v>159</v>
      </c>
      <c r="C4461" s="12" t="s">
        <v>123</v>
      </c>
      <c r="D4461" s="12" t="s">
        <v>110</v>
      </c>
      <c r="E4461" s="12" t="s">
        <v>114</v>
      </c>
      <c r="F4461" s="12" t="s">
        <v>20</v>
      </c>
      <c r="G4461" s="20">
        <v>45372</v>
      </c>
      <c r="H4461" s="20">
        <v>45357</v>
      </c>
      <c r="I4461" s="20">
        <v>45372</v>
      </c>
      <c r="J4461" s="12">
        <v>11</v>
      </c>
      <c r="K4461" s="12">
        <v>-6.19</v>
      </c>
      <c r="L4461" s="12">
        <v>0</v>
      </c>
      <c r="M4461" s="12">
        <v>2.25</v>
      </c>
      <c r="N4461" s="12">
        <v>-24.75</v>
      </c>
      <c r="O4461" s="12">
        <v>-18.559999999999999</v>
      </c>
      <c r="P4461" s="12" t="s">
        <v>292</v>
      </c>
    </row>
    <row r="4462" spans="1:16" x14ac:dyDescent="0.3">
      <c r="A4462" s="12" t="s">
        <v>96</v>
      </c>
      <c r="B4462" s="12" t="s">
        <v>159</v>
      </c>
      <c r="C4462" s="12" t="s">
        <v>123</v>
      </c>
      <c r="D4462" s="12" t="s">
        <v>110</v>
      </c>
      <c r="E4462" s="12" t="s">
        <v>114</v>
      </c>
      <c r="F4462" s="12" t="s">
        <v>20</v>
      </c>
      <c r="G4462" s="20">
        <v>45441</v>
      </c>
      <c r="H4462" s="20">
        <v>45442</v>
      </c>
      <c r="I4462" s="20">
        <v>45456</v>
      </c>
      <c r="J4462" s="12">
        <v>11</v>
      </c>
      <c r="K4462" s="12">
        <v>6.19</v>
      </c>
      <c r="L4462" s="12">
        <v>0</v>
      </c>
      <c r="M4462" s="12">
        <v>2.25</v>
      </c>
      <c r="N4462" s="12">
        <v>24.75</v>
      </c>
      <c r="O4462" s="12">
        <v>18.559999999999999</v>
      </c>
      <c r="P4462" s="12" t="s">
        <v>291</v>
      </c>
    </row>
    <row r="4463" spans="1:16" x14ac:dyDescent="0.3">
      <c r="A4463" s="12" t="s">
        <v>96</v>
      </c>
      <c r="B4463" s="12" t="s">
        <v>159</v>
      </c>
      <c r="C4463" s="12" t="s">
        <v>123</v>
      </c>
      <c r="D4463" s="12" t="s">
        <v>110</v>
      </c>
      <c r="E4463" s="12" t="s">
        <v>114</v>
      </c>
      <c r="F4463" s="12" t="s">
        <v>20</v>
      </c>
      <c r="G4463" s="20">
        <v>45456</v>
      </c>
      <c r="H4463" s="20">
        <v>45442</v>
      </c>
      <c r="I4463" s="20">
        <v>45456</v>
      </c>
      <c r="J4463" s="12">
        <v>11</v>
      </c>
      <c r="K4463" s="12">
        <v>-6.19</v>
      </c>
      <c r="L4463" s="12">
        <v>0</v>
      </c>
      <c r="M4463" s="12">
        <v>2.25</v>
      </c>
      <c r="N4463" s="12">
        <v>-24.75</v>
      </c>
      <c r="O4463" s="12">
        <v>-18.559999999999999</v>
      </c>
      <c r="P4463" s="12" t="s">
        <v>292</v>
      </c>
    </row>
    <row r="4464" spans="1:16" x14ac:dyDescent="0.3">
      <c r="A4464" s="12" t="s">
        <v>96</v>
      </c>
      <c r="B4464" s="12" t="s">
        <v>159</v>
      </c>
      <c r="C4464" s="12" t="s">
        <v>123</v>
      </c>
      <c r="D4464" s="12" t="s">
        <v>110</v>
      </c>
      <c r="E4464" s="12" t="s">
        <v>114</v>
      </c>
      <c r="F4464" s="12" t="s">
        <v>22</v>
      </c>
      <c r="G4464" s="20">
        <v>45329</v>
      </c>
      <c r="H4464" s="20">
        <v>45330</v>
      </c>
      <c r="I4464" s="20">
        <v>45348</v>
      </c>
      <c r="J4464" s="12">
        <v>66</v>
      </c>
      <c r="K4464" s="12">
        <v>0.99</v>
      </c>
      <c r="L4464" s="12">
        <v>0</v>
      </c>
      <c r="M4464" s="12">
        <v>0.05</v>
      </c>
      <c r="N4464" s="12">
        <v>3.3</v>
      </c>
      <c r="O4464" s="12">
        <v>2.31</v>
      </c>
      <c r="P4464" s="12" t="s">
        <v>291</v>
      </c>
    </row>
    <row r="4465" spans="1:16" x14ac:dyDescent="0.3">
      <c r="A4465" s="12" t="s">
        <v>96</v>
      </c>
      <c r="B4465" s="12" t="s">
        <v>159</v>
      </c>
      <c r="C4465" s="12" t="s">
        <v>123</v>
      </c>
      <c r="D4465" s="12" t="s">
        <v>110</v>
      </c>
      <c r="E4465" s="12" t="s">
        <v>114</v>
      </c>
      <c r="F4465" s="12" t="s">
        <v>22</v>
      </c>
      <c r="G4465" s="20">
        <v>45329</v>
      </c>
      <c r="H4465" s="20">
        <v>45330</v>
      </c>
      <c r="I4465" s="20">
        <v>45348</v>
      </c>
      <c r="J4465" s="12">
        <v>66</v>
      </c>
      <c r="K4465" s="12">
        <v>0.83</v>
      </c>
      <c r="L4465" s="12">
        <v>0</v>
      </c>
      <c r="M4465" s="12">
        <v>0.05</v>
      </c>
      <c r="N4465" s="12">
        <v>3.3</v>
      </c>
      <c r="O4465" s="12">
        <v>2.4700000000000002</v>
      </c>
      <c r="P4465" s="12" t="s">
        <v>291</v>
      </c>
    </row>
    <row r="4466" spans="1:16" x14ac:dyDescent="0.3">
      <c r="A4466" s="12" t="s">
        <v>96</v>
      </c>
      <c r="B4466" s="12" t="s">
        <v>159</v>
      </c>
      <c r="C4466" s="12" t="s">
        <v>123</v>
      </c>
      <c r="D4466" s="12" t="s">
        <v>110</v>
      </c>
      <c r="E4466" s="12" t="s">
        <v>114</v>
      </c>
      <c r="F4466" s="12" t="s">
        <v>22</v>
      </c>
      <c r="G4466" s="20">
        <v>45329</v>
      </c>
      <c r="H4466" s="20">
        <v>45330</v>
      </c>
      <c r="I4466" s="20">
        <v>45348</v>
      </c>
      <c r="J4466" s="12">
        <v>66</v>
      </c>
      <c r="K4466" s="12">
        <v>-0.99</v>
      </c>
      <c r="L4466" s="12">
        <v>0</v>
      </c>
      <c r="M4466" s="12">
        <v>0.05</v>
      </c>
      <c r="N4466" s="12">
        <v>-3.3</v>
      </c>
      <c r="O4466" s="12">
        <v>-2.31</v>
      </c>
      <c r="P4466" s="12" t="s">
        <v>292</v>
      </c>
    </row>
    <row r="4467" spans="1:16" x14ac:dyDescent="0.3">
      <c r="A4467" s="12" t="s">
        <v>96</v>
      </c>
      <c r="B4467" s="12" t="s">
        <v>159</v>
      </c>
      <c r="C4467" s="12" t="s">
        <v>123</v>
      </c>
      <c r="D4467" s="12" t="s">
        <v>110</v>
      </c>
      <c r="E4467" s="12" t="s">
        <v>114</v>
      </c>
      <c r="F4467" s="12" t="s">
        <v>22</v>
      </c>
      <c r="G4467" s="20">
        <v>45348</v>
      </c>
      <c r="H4467" s="20">
        <v>45330</v>
      </c>
      <c r="I4467" s="20">
        <v>45348</v>
      </c>
      <c r="J4467" s="12">
        <v>66</v>
      </c>
      <c r="K4467" s="12">
        <v>-0.83</v>
      </c>
      <c r="L4467" s="12">
        <v>0</v>
      </c>
      <c r="M4467" s="12">
        <v>0.05</v>
      </c>
      <c r="N4467" s="12">
        <v>-3.3</v>
      </c>
      <c r="O4467" s="12">
        <v>-2.4700000000000002</v>
      </c>
      <c r="P4467" s="12" t="s">
        <v>292</v>
      </c>
    </row>
    <row r="4468" spans="1:16" x14ac:dyDescent="0.3">
      <c r="A4468" s="12" t="s">
        <v>96</v>
      </c>
      <c r="B4468" s="12" t="s">
        <v>159</v>
      </c>
      <c r="C4468" s="12" t="s">
        <v>123</v>
      </c>
      <c r="D4468" s="12" t="s">
        <v>110</v>
      </c>
      <c r="E4468" s="12" t="s">
        <v>114</v>
      </c>
      <c r="F4468" s="12" t="s">
        <v>22</v>
      </c>
      <c r="G4468" s="20">
        <v>45420</v>
      </c>
      <c r="H4468" s="20">
        <v>45421</v>
      </c>
      <c r="I4468" s="20">
        <v>45440</v>
      </c>
      <c r="J4468" s="12">
        <v>83</v>
      </c>
      <c r="K4468" s="12">
        <v>1.04</v>
      </c>
      <c r="L4468" s="12">
        <v>0</v>
      </c>
      <c r="M4468" s="12">
        <v>0.05</v>
      </c>
      <c r="N4468" s="12">
        <v>4.1500000000000004</v>
      </c>
      <c r="O4468" s="12">
        <v>3.11</v>
      </c>
      <c r="P4468" s="12" t="s">
        <v>291</v>
      </c>
    </row>
    <row r="4469" spans="1:16" x14ac:dyDescent="0.3">
      <c r="A4469" s="12" t="s">
        <v>96</v>
      </c>
      <c r="B4469" s="12" t="s">
        <v>159</v>
      </c>
      <c r="C4469" s="12" t="s">
        <v>123</v>
      </c>
      <c r="D4469" s="12" t="s">
        <v>110</v>
      </c>
      <c r="E4469" s="12" t="s">
        <v>114</v>
      </c>
      <c r="F4469" s="12" t="s">
        <v>22</v>
      </c>
      <c r="G4469" s="20">
        <v>45440</v>
      </c>
      <c r="H4469" s="20">
        <v>45421</v>
      </c>
      <c r="I4469" s="20">
        <v>45440</v>
      </c>
      <c r="J4469" s="12">
        <v>83</v>
      </c>
      <c r="K4469" s="12">
        <v>-1.04</v>
      </c>
      <c r="L4469" s="12">
        <v>0</v>
      </c>
      <c r="M4469" s="12">
        <v>0.05</v>
      </c>
      <c r="N4469" s="12">
        <v>-4.1500000000000004</v>
      </c>
      <c r="O4469" s="12">
        <v>-3.11</v>
      </c>
      <c r="P4469" s="12" t="s">
        <v>292</v>
      </c>
    </row>
    <row r="4470" spans="1:16" x14ac:dyDescent="0.3">
      <c r="A4470" s="12" t="s">
        <v>96</v>
      </c>
      <c r="B4470" s="12" t="s">
        <v>159</v>
      </c>
      <c r="C4470" s="12" t="s">
        <v>123</v>
      </c>
      <c r="D4470" s="12" t="s">
        <v>110</v>
      </c>
      <c r="E4470" s="12" t="s">
        <v>114</v>
      </c>
      <c r="F4470" s="12" t="s">
        <v>22</v>
      </c>
      <c r="G4470" s="20">
        <v>45512</v>
      </c>
      <c r="H4470" s="20">
        <v>45513</v>
      </c>
      <c r="I4470" s="20">
        <v>45530</v>
      </c>
      <c r="J4470" s="12">
        <v>43</v>
      </c>
      <c r="K4470" s="12">
        <v>0.86</v>
      </c>
      <c r="L4470" s="12">
        <v>0</v>
      </c>
      <c r="M4470" s="12">
        <v>0.08</v>
      </c>
      <c r="N4470" s="12">
        <v>3.44</v>
      </c>
      <c r="O4470" s="12">
        <v>2.58</v>
      </c>
      <c r="P4470" s="12" t="s">
        <v>291</v>
      </c>
    </row>
    <row r="4471" spans="1:16" x14ac:dyDescent="0.3">
      <c r="A4471" s="12" t="s">
        <v>96</v>
      </c>
      <c r="B4471" s="12" t="s">
        <v>159</v>
      </c>
      <c r="C4471" s="12" t="s">
        <v>123</v>
      </c>
      <c r="D4471" s="12" t="s">
        <v>110</v>
      </c>
      <c r="E4471" s="12" t="s">
        <v>114</v>
      </c>
      <c r="F4471" s="12" t="s">
        <v>22</v>
      </c>
      <c r="G4471" s="20">
        <v>45530</v>
      </c>
      <c r="H4471" s="20">
        <v>45513</v>
      </c>
      <c r="I4471" s="20">
        <v>45530</v>
      </c>
      <c r="J4471" s="12">
        <v>43</v>
      </c>
      <c r="K4471" s="12">
        <v>-0.86</v>
      </c>
      <c r="L4471" s="12">
        <v>0</v>
      </c>
      <c r="M4471" s="12">
        <v>0.08</v>
      </c>
      <c r="N4471" s="12">
        <v>-3.44</v>
      </c>
      <c r="O4471" s="12">
        <v>-2.58</v>
      </c>
      <c r="P4471" s="12" t="s">
        <v>292</v>
      </c>
    </row>
    <row r="4472" spans="1:16" x14ac:dyDescent="0.3">
      <c r="A4472" s="12" t="s">
        <v>96</v>
      </c>
      <c r="B4472" s="12" t="s">
        <v>159</v>
      </c>
      <c r="C4472" s="12" t="s">
        <v>123</v>
      </c>
      <c r="D4472" s="12" t="s">
        <v>110</v>
      </c>
      <c r="E4472" s="12" t="s">
        <v>114</v>
      </c>
      <c r="F4472" s="12" t="s">
        <v>37</v>
      </c>
      <c r="G4472" s="20">
        <v>45420</v>
      </c>
      <c r="H4472" s="20">
        <v>45421</v>
      </c>
      <c r="I4472" s="20">
        <v>45453</v>
      </c>
      <c r="J4472" s="12">
        <v>30</v>
      </c>
      <c r="K4472" s="12">
        <v>12.53</v>
      </c>
      <c r="L4472" s="12">
        <v>0</v>
      </c>
      <c r="M4472" s="12">
        <v>1.67</v>
      </c>
      <c r="N4472" s="12">
        <v>50.1</v>
      </c>
      <c r="O4472" s="12">
        <v>37.57</v>
      </c>
      <c r="P4472" s="12" t="s">
        <v>291</v>
      </c>
    </row>
    <row r="4473" spans="1:16" x14ac:dyDescent="0.3">
      <c r="A4473" s="12" t="s">
        <v>96</v>
      </c>
      <c r="B4473" s="12" t="s">
        <v>159</v>
      </c>
      <c r="C4473" s="12" t="s">
        <v>123</v>
      </c>
      <c r="D4473" s="12" t="s">
        <v>110</v>
      </c>
      <c r="E4473" s="12" t="s">
        <v>114</v>
      </c>
      <c r="F4473" s="12" t="s">
        <v>37</v>
      </c>
      <c r="G4473" s="20">
        <v>45453</v>
      </c>
      <c r="H4473" s="20">
        <v>45421</v>
      </c>
      <c r="I4473" s="20">
        <v>45453</v>
      </c>
      <c r="J4473" s="12">
        <v>30</v>
      </c>
      <c r="K4473" s="12">
        <v>-12.53</v>
      </c>
      <c r="L4473" s="12">
        <v>0</v>
      </c>
      <c r="M4473" s="12">
        <v>1.67</v>
      </c>
      <c r="N4473" s="12">
        <v>-50.1</v>
      </c>
      <c r="O4473" s="12">
        <v>-37.57</v>
      </c>
      <c r="P4473" s="12" t="s">
        <v>292</v>
      </c>
    </row>
    <row r="4474" spans="1:16" x14ac:dyDescent="0.3">
      <c r="A4474" s="12" t="s">
        <v>96</v>
      </c>
      <c r="B4474" s="12" t="s">
        <v>159</v>
      </c>
      <c r="C4474" s="12" t="s">
        <v>123</v>
      </c>
      <c r="D4474" s="12" t="s">
        <v>110</v>
      </c>
      <c r="E4474" s="12" t="s">
        <v>114</v>
      </c>
      <c r="F4474" s="12" t="s">
        <v>23</v>
      </c>
      <c r="G4474" s="20">
        <v>45299</v>
      </c>
      <c r="H4474" s="20">
        <v>45300</v>
      </c>
      <c r="I4474" s="20">
        <v>45309</v>
      </c>
      <c r="J4474" s="12">
        <v>13</v>
      </c>
      <c r="K4474" s="12">
        <v>3.51</v>
      </c>
      <c r="L4474" s="12">
        <v>0</v>
      </c>
      <c r="M4474" s="12">
        <v>0.9</v>
      </c>
      <c r="N4474" s="12">
        <v>11.7</v>
      </c>
      <c r="O4474" s="12">
        <v>8.19</v>
      </c>
      <c r="P4474" s="12" t="s">
        <v>291</v>
      </c>
    </row>
    <row r="4475" spans="1:16" x14ac:dyDescent="0.3">
      <c r="A4475" s="12" t="s">
        <v>96</v>
      </c>
      <c r="B4475" s="12" t="s">
        <v>159</v>
      </c>
      <c r="C4475" s="12" t="s">
        <v>123</v>
      </c>
      <c r="D4475" s="12" t="s">
        <v>110</v>
      </c>
      <c r="E4475" s="12" t="s">
        <v>114</v>
      </c>
      <c r="F4475" s="12" t="s">
        <v>23</v>
      </c>
      <c r="G4475" s="20">
        <v>45309</v>
      </c>
      <c r="H4475" s="20">
        <v>45300</v>
      </c>
      <c r="I4475" s="20">
        <v>45309</v>
      </c>
      <c r="J4475" s="12">
        <v>13</v>
      </c>
      <c r="K4475" s="12">
        <v>-3.51</v>
      </c>
      <c r="L4475" s="12">
        <v>0</v>
      </c>
      <c r="M4475" s="12">
        <v>0.9</v>
      </c>
      <c r="N4475" s="12">
        <v>-11.7</v>
      </c>
      <c r="O4475" s="12">
        <v>-8.19</v>
      </c>
      <c r="P4475" s="12" t="s">
        <v>292</v>
      </c>
    </row>
    <row r="4476" spans="1:16" x14ac:dyDescent="0.3">
      <c r="A4476" s="12" t="s">
        <v>96</v>
      </c>
      <c r="B4476" s="12" t="s">
        <v>159</v>
      </c>
      <c r="C4476" s="12" t="s">
        <v>123</v>
      </c>
      <c r="D4476" s="12" t="s">
        <v>110</v>
      </c>
      <c r="E4476" s="12" t="s">
        <v>114</v>
      </c>
      <c r="F4476" s="12" t="s">
        <v>24</v>
      </c>
      <c r="G4476" s="20">
        <v>45356</v>
      </c>
      <c r="H4476" s="20">
        <v>45357</v>
      </c>
      <c r="I4476" s="20">
        <v>45379</v>
      </c>
      <c r="J4476" s="12">
        <v>50</v>
      </c>
      <c r="K4476" s="12">
        <v>0.25</v>
      </c>
      <c r="L4476" s="12">
        <v>0</v>
      </c>
      <c r="M4476" s="12">
        <v>0.02</v>
      </c>
      <c r="N4476" s="12">
        <v>1</v>
      </c>
      <c r="O4476" s="12">
        <v>0.75</v>
      </c>
      <c r="P4476" s="12" t="s">
        <v>291</v>
      </c>
    </row>
    <row r="4477" spans="1:16" x14ac:dyDescent="0.3">
      <c r="A4477" s="12" t="s">
        <v>96</v>
      </c>
      <c r="B4477" s="12" t="s">
        <v>159</v>
      </c>
      <c r="C4477" s="12" t="s">
        <v>123</v>
      </c>
      <c r="D4477" s="12" t="s">
        <v>110</v>
      </c>
      <c r="E4477" s="12" t="s">
        <v>114</v>
      </c>
      <c r="F4477" s="12" t="s">
        <v>24</v>
      </c>
      <c r="G4477" s="20">
        <v>45379</v>
      </c>
      <c r="H4477" s="20">
        <v>45357</v>
      </c>
      <c r="I4477" s="20">
        <v>45379</v>
      </c>
      <c r="J4477" s="12">
        <v>50</v>
      </c>
      <c r="K4477" s="12">
        <v>-0.25</v>
      </c>
      <c r="L4477" s="12">
        <v>0</v>
      </c>
      <c r="M4477" s="12">
        <v>0.02</v>
      </c>
      <c r="N4477" s="12">
        <v>-1</v>
      </c>
      <c r="O4477" s="12">
        <v>-0.75</v>
      </c>
      <c r="P4477" s="12" t="s">
        <v>292</v>
      </c>
    </row>
    <row r="4478" spans="1:16" x14ac:dyDescent="0.3">
      <c r="A4478" s="12" t="s">
        <v>96</v>
      </c>
      <c r="B4478" s="12" t="s">
        <v>159</v>
      </c>
      <c r="C4478" s="12" t="s">
        <v>123</v>
      </c>
      <c r="D4478" s="12" t="s">
        <v>110</v>
      </c>
      <c r="E4478" s="12" t="s">
        <v>114</v>
      </c>
      <c r="F4478" s="12" t="s">
        <v>24</v>
      </c>
      <c r="G4478" s="20">
        <v>45426</v>
      </c>
      <c r="H4478" s="20">
        <v>45427</v>
      </c>
      <c r="I4478" s="20">
        <v>45449</v>
      </c>
      <c r="J4478" s="12">
        <v>50</v>
      </c>
      <c r="K4478" s="12">
        <v>0.26</v>
      </c>
      <c r="L4478" s="12">
        <v>0</v>
      </c>
      <c r="M4478" s="12">
        <v>0.02</v>
      </c>
      <c r="N4478" s="12">
        <v>1</v>
      </c>
      <c r="O4478" s="12">
        <v>0.74</v>
      </c>
      <c r="P4478" s="12" t="s">
        <v>291</v>
      </c>
    </row>
    <row r="4479" spans="1:16" x14ac:dyDescent="0.3">
      <c r="A4479" s="12" t="s">
        <v>96</v>
      </c>
      <c r="B4479" s="12" t="s">
        <v>159</v>
      </c>
      <c r="C4479" s="12" t="s">
        <v>123</v>
      </c>
      <c r="D4479" s="12" t="s">
        <v>110</v>
      </c>
      <c r="E4479" s="12" t="s">
        <v>114</v>
      </c>
      <c r="F4479" s="12" t="s">
        <v>24</v>
      </c>
      <c r="G4479" s="20">
        <v>45426</v>
      </c>
      <c r="H4479" s="20">
        <v>45427</v>
      </c>
      <c r="I4479" s="20">
        <v>45449</v>
      </c>
      <c r="J4479" s="12">
        <v>50</v>
      </c>
      <c r="K4479" s="12">
        <v>0.25</v>
      </c>
      <c r="L4479" s="12">
        <v>0</v>
      </c>
      <c r="M4479" s="12">
        <v>0.02</v>
      </c>
      <c r="N4479" s="12">
        <v>1</v>
      </c>
      <c r="O4479" s="12">
        <v>0.75</v>
      </c>
      <c r="P4479" s="12" t="s">
        <v>291</v>
      </c>
    </row>
    <row r="4480" spans="1:16" x14ac:dyDescent="0.3">
      <c r="A4480" s="12" t="s">
        <v>96</v>
      </c>
      <c r="B4480" s="12" t="s">
        <v>159</v>
      </c>
      <c r="C4480" s="12" t="s">
        <v>123</v>
      </c>
      <c r="D4480" s="12" t="s">
        <v>110</v>
      </c>
      <c r="E4480" s="12" t="s">
        <v>114</v>
      </c>
      <c r="F4480" s="12" t="s">
        <v>24</v>
      </c>
      <c r="G4480" s="20">
        <v>45426</v>
      </c>
      <c r="H4480" s="20">
        <v>45427</v>
      </c>
      <c r="I4480" s="20">
        <v>45449</v>
      </c>
      <c r="J4480" s="12">
        <v>50</v>
      </c>
      <c r="K4480" s="12">
        <v>-0.26</v>
      </c>
      <c r="L4480" s="12">
        <v>0</v>
      </c>
      <c r="M4480" s="12">
        <v>0.02</v>
      </c>
      <c r="N4480" s="12">
        <v>-1</v>
      </c>
      <c r="O4480" s="12">
        <v>-0.74</v>
      </c>
      <c r="P4480" s="12" t="s">
        <v>292</v>
      </c>
    </row>
    <row r="4481" spans="1:16" x14ac:dyDescent="0.3">
      <c r="A4481" s="12" t="s">
        <v>96</v>
      </c>
      <c r="B4481" s="12" t="s">
        <v>159</v>
      </c>
      <c r="C4481" s="12" t="s">
        <v>123</v>
      </c>
      <c r="D4481" s="12" t="s">
        <v>110</v>
      </c>
      <c r="E4481" s="12" t="s">
        <v>114</v>
      </c>
      <c r="F4481" s="12" t="s">
        <v>24</v>
      </c>
      <c r="G4481" s="20">
        <v>45449</v>
      </c>
      <c r="H4481" s="20">
        <v>45427</v>
      </c>
      <c r="I4481" s="20">
        <v>45449</v>
      </c>
      <c r="J4481" s="12">
        <v>50</v>
      </c>
      <c r="K4481" s="12">
        <v>-0.25</v>
      </c>
      <c r="L4481" s="12">
        <v>0</v>
      </c>
      <c r="M4481" s="12">
        <v>0.02</v>
      </c>
      <c r="N4481" s="12">
        <v>-1</v>
      </c>
      <c r="O4481" s="12">
        <v>-0.75</v>
      </c>
      <c r="P4481" s="12" t="s">
        <v>292</v>
      </c>
    </row>
    <row r="4482" spans="1:16" x14ac:dyDescent="0.3">
      <c r="A4482" s="12" t="s">
        <v>96</v>
      </c>
      <c r="B4482" s="12" t="s">
        <v>159</v>
      </c>
      <c r="C4482" s="12" t="s">
        <v>123</v>
      </c>
      <c r="D4482" s="12" t="s">
        <v>110</v>
      </c>
      <c r="E4482" s="12" t="s">
        <v>114</v>
      </c>
      <c r="F4482" s="12" t="s">
        <v>24</v>
      </c>
      <c r="G4482" s="20">
        <v>45518</v>
      </c>
      <c r="H4482" s="20">
        <v>45519</v>
      </c>
      <c r="I4482" s="20">
        <v>45540</v>
      </c>
      <c r="J4482" s="12">
        <v>50</v>
      </c>
      <c r="K4482" s="12">
        <v>0.25</v>
      </c>
      <c r="L4482" s="12">
        <v>0</v>
      </c>
      <c r="M4482" s="12">
        <v>0.02</v>
      </c>
      <c r="N4482" s="12">
        <v>1</v>
      </c>
      <c r="O4482" s="12">
        <v>0.75</v>
      </c>
      <c r="P4482" s="12" t="s">
        <v>291</v>
      </c>
    </row>
    <row r="4483" spans="1:16" x14ac:dyDescent="0.3">
      <c r="A4483" s="12" t="s">
        <v>96</v>
      </c>
      <c r="B4483" s="12" t="s">
        <v>159</v>
      </c>
      <c r="C4483" s="12" t="s">
        <v>123</v>
      </c>
      <c r="D4483" s="12" t="s">
        <v>110</v>
      </c>
      <c r="E4483" s="12" t="s">
        <v>114</v>
      </c>
      <c r="F4483" s="12" t="s">
        <v>70</v>
      </c>
      <c r="G4483" s="20">
        <v>45477</v>
      </c>
      <c r="H4483" s="20">
        <v>45478</v>
      </c>
      <c r="I4483" s="20">
        <v>45504</v>
      </c>
      <c r="J4483" s="12">
        <v>25</v>
      </c>
      <c r="K4483" s="12">
        <v>7.19</v>
      </c>
      <c r="L4483" s="12">
        <v>0</v>
      </c>
      <c r="M4483" s="12">
        <v>1.1499999999999999</v>
      </c>
      <c r="N4483" s="12">
        <v>28.75</v>
      </c>
      <c r="O4483" s="12">
        <v>21.56</v>
      </c>
      <c r="P4483" s="12" t="s">
        <v>291</v>
      </c>
    </row>
    <row r="4484" spans="1:16" x14ac:dyDescent="0.3">
      <c r="A4484" s="12" t="s">
        <v>96</v>
      </c>
      <c r="B4484" s="12" t="s">
        <v>159</v>
      </c>
      <c r="C4484" s="12" t="s">
        <v>123</v>
      </c>
      <c r="D4484" s="12" t="s">
        <v>110</v>
      </c>
      <c r="E4484" s="12" t="s">
        <v>114</v>
      </c>
      <c r="F4484" s="12" t="s">
        <v>70</v>
      </c>
      <c r="G4484" s="20">
        <v>45504</v>
      </c>
      <c r="H4484" s="20">
        <v>45478</v>
      </c>
      <c r="I4484" s="20">
        <v>45504</v>
      </c>
      <c r="J4484" s="12">
        <v>25</v>
      </c>
      <c r="K4484" s="12">
        <v>-7.19</v>
      </c>
      <c r="L4484" s="12">
        <v>0</v>
      </c>
      <c r="M4484" s="12">
        <v>1.1499999999999999</v>
      </c>
      <c r="N4484" s="12">
        <v>-28.75</v>
      </c>
      <c r="O4484" s="12">
        <v>-21.56</v>
      </c>
      <c r="P4484" s="12" t="s">
        <v>292</v>
      </c>
    </row>
    <row r="4485" spans="1:16" x14ac:dyDescent="0.3">
      <c r="A4485" s="12" t="s">
        <v>96</v>
      </c>
      <c r="B4485" s="12" t="s">
        <v>159</v>
      </c>
      <c r="C4485" s="12" t="s">
        <v>123</v>
      </c>
      <c r="D4485" s="12" t="s">
        <v>110</v>
      </c>
      <c r="E4485" s="12" t="s">
        <v>114</v>
      </c>
      <c r="F4485" s="12" t="s">
        <v>59</v>
      </c>
      <c r="G4485" s="20">
        <v>45456</v>
      </c>
      <c r="H4485" s="20">
        <v>45457</v>
      </c>
      <c r="I4485" s="20">
        <v>45474</v>
      </c>
      <c r="J4485" s="12">
        <v>70</v>
      </c>
      <c r="K4485" s="12">
        <v>8.49</v>
      </c>
      <c r="L4485" s="12">
        <v>0</v>
      </c>
      <c r="M4485" s="12">
        <v>0.48499999999999999</v>
      </c>
      <c r="N4485" s="12">
        <v>33.950000000000003</v>
      </c>
      <c r="O4485" s="12">
        <v>25.46</v>
      </c>
      <c r="P4485" s="12" t="s">
        <v>291</v>
      </c>
    </row>
    <row r="4486" spans="1:16" x14ac:dyDescent="0.3">
      <c r="A4486" s="12" t="s">
        <v>96</v>
      </c>
      <c r="B4486" s="12" t="s">
        <v>159</v>
      </c>
      <c r="C4486" s="12" t="s">
        <v>123</v>
      </c>
      <c r="D4486" s="12" t="s">
        <v>110</v>
      </c>
      <c r="E4486" s="12" t="s">
        <v>114</v>
      </c>
      <c r="F4486" s="12" t="s">
        <v>59</v>
      </c>
      <c r="G4486" s="20">
        <v>45474</v>
      </c>
      <c r="H4486" s="20">
        <v>45457</v>
      </c>
      <c r="I4486" s="20">
        <v>45474</v>
      </c>
      <c r="J4486" s="12">
        <v>70</v>
      </c>
      <c r="K4486" s="12">
        <v>-8.49</v>
      </c>
      <c r="L4486" s="12">
        <v>0</v>
      </c>
      <c r="M4486" s="12">
        <v>0.48499999999999999</v>
      </c>
      <c r="N4486" s="12">
        <v>-33.950000000000003</v>
      </c>
      <c r="O4486" s="12">
        <v>-25.46</v>
      </c>
      <c r="P4486" s="12" t="s">
        <v>292</v>
      </c>
    </row>
    <row r="4487" spans="1:16" x14ac:dyDescent="0.3">
      <c r="A4487" s="12" t="s">
        <v>96</v>
      </c>
      <c r="B4487" s="12" t="s">
        <v>159</v>
      </c>
      <c r="C4487" s="12" t="s">
        <v>123</v>
      </c>
      <c r="D4487" s="12" t="s">
        <v>110</v>
      </c>
      <c r="E4487" s="12" t="s">
        <v>114</v>
      </c>
      <c r="F4487" s="12" t="s">
        <v>49</v>
      </c>
      <c r="G4487" s="20">
        <v>45426</v>
      </c>
      <c r="H4487" s="20">
        <v>45427</v>
      </c>
      <c r="I4487" s="20">
        <v>45453</v>
      </c>
      <c r="J4487" s="12">
        <v>10</v>
      </c>
      <c r="K4487" s="12">
        <v>3.25</v>
      </c>
      <c r="L4487" s="12">
        <v>0</v>
      </c>
      <c r="M4487" s="12">
        <v>1.3</v>
      </c>
      <c r="N4487" s="12">
        <v>13</v>
      </c>
      <c r="O4487" s="12">
        <v>9.75</v>
      </c>
      <c r="P4487" s="12" t="s">
        <v>291</v>
      </c>
    </row>
    <row r="4488" spans="1:16" x14ac:dyDescent="0.3">
      <c r="A4488" s="12" t="s">
        <v>96</v>
      </c>
      <c r="B4488" s="12" t="s">
        <v>159</v>
      </c>
      <c r="C4488" s="12" t="s">
        <v>123</v>
      </c>
      <c r="D4488" s="12" t="s">
        <v>110</v>
      </c>
      <c r="E4488" s="12" t="s">
        <v>114</v>
      </c>
      <c r="F4488" s="12" t="s">
        <v>49</v>
      </c>
      <c r="G4488" s="20">
        <v>45453</v>
      </c>
      <c r="H4488" s="20">
        <v>45427</v>
      </c>
      <c r="I4488" s="20">
        <v>45453</v>
      </c>
      <c r="J4488" s="12">
        <v>10</v>
      </c>
      <c r="K4488" s="12">
        <v>-3.25</v>
      </c>
      <c r="L4488" s="12">
        <v>0</v>
      </c>
      <c r="M4488" s="12">
        <v>1.3</v>
      </c>
      <c r="N4488" s="12">
        <v>-13</v>
      </c>
      <c r="O4488" s="12">
        <v>-9.75</v>
      </c>
      <c r="P4488" s="12" t="s">
        <v>292</v>
      </c>
    </row>
    <row r="4489" spans="1:16" x14ac:dyDescent="0.3">
      <c r="A4489" s="12" t="s">
        <v>96</v>
      </c>
      <c r="B4489" s="12" t="s">
        <v>159</v>
      </c>
      <c r="C4489" s="12" t="s">
        <v>123</v>
      </c>
      <c r="D4489" s="12" t="s">
        <v>110</v>
      </c>
      <c r="E4489" s="12" t="s">
        <v>114</v>
      </c>
      <c r="F4489" s="12" t="s">
        <v>49</v>
      </c>
      <c r="G4489" s="20">
        <v>45518</v>
      </c>
      <c r="H4489" s="20">
        <v>45519</v>
      </c>
      <c r="I4489" s="20">
        <v>45545</v>
      </c>
      <c r="J4489" s="12">
        <v>10</v>
      </c>
      <c r="K4489" s="12">
        <v>3.25</v>
      </c>
      <c r="L4489" s="12">
        <v>0</v>
      </c>
      <c r="M4489" s="12">
        <v>1.3</v>
      </c>
      <c r="N4489" s="12">
        <v>13</v>
      </c>
      <c r="O4489" s="12">
        <v>9.75</v>
      </c>
      <c r="P4489" s="12" t="s">
        <v>291</v>
      </c>
    </row>
    <row r="4490" spans="1:16" x14ac:dyDescent="0.3">
      <c r="A4490" s="12" t="s">
        <v>96</v>
      </c>
      <c r="B4490" s="12" t="s">
        <v>159</v>
      </c>
      <c r="C4490" s="12" t="s">
        <v>123</v>
      </c>
      <c r="D4490" s="12" t="s">
        <v>110</v>
      </c>
      <c r="E4490" s="12" t="s">
        <v>114</v>
      </c>
      <c r="F4490" s="12" t="s">
        <v>26</v>
      </c>
      <c r="G4490" s="20">
        <v>45343</v>
      </c>
      <c r="H4490" s="20">
        <v>45344</v>
      </c>
      <c r="I4490" s="20">
        <v>45366</v>
      </c>
      <c r="J4490" s="12">
        <v>10</v>
      </c>
      <c r="K4490" s="12">
        <v>2.13</v>
      </c>
      <c r="L4490" s="12">
        <v>0</v>
      </c>
      <c r="M4490" s="12">
        <v>0.85</v>
      </c>
      <c r="N4490" s="12">
        <v>8.5</v>
      </c>
      <c r="O4490" s="12">
        <v>6.37</v>
      </c>
      <c r="P4490" s="12" t="s">
        <v>291</v>
      </c>
    </row>
    <row r="4491" spans="1:16" x14ac:dyDescent="0.3">
      <c r="A4491" s="12" t="s">
        <v>96</v>
      </c>
      <c r="B4491" s="12" t="s">
        <v>159</v>
      </c>
      <c r="C4491" s="12" t="s">
        <v>123</v>
      </c>
      <c r="D4491" s="12" t="s">
        <v>110</v>
      </c>
      <c r="E4491" s="12" t="s">
        <v>114</v>
      </c>
      <c r="F4491" s="12" t="s">
        <v>26</v>
      </c>
      <c r="G4491" s="20">
        <v>45366</v>
      </c>
      <c r="H4491" s="20">
        <v>45344</v>
      </c>
      <c r="I4491" s="20">
        <v>45366</v>
      </c>
      <c r="J4491" s="12">
        <v>10</v>
      </c>
      <c r="K4491" s="12">
        <v>-2.13</v>
      </c>
      <c r="L4491" s="12">
        <v>0</v>
      </c>
      <c r="M4491" s="12">
        <v>0.85</v>
      </c>
      <c r="N4491" s="12">
        <v>-8.5</v>
      </c>
      <c r="O4491" s="12">
        <v>-6.37</v>
      </c>
      <c r="P4491" s="12" t="s">
        <v>292</v>
      </c>
    </row>
    <row r="4492" spans="1:16" x14ac:dyDescent="0.3">
      <c r="A4492" s="12" t="s">
        <v>96</v>
      </c>
      <c r="B4492" s="12" t="s">
        <v>159</v>
      </c>
      <c r="C4492" s="12" t="s">
        <v>123</v>
      </c>
      <c r="D4492" s="12" t="s">
        <v>110</v>
      </c>
      <c r="E4492" s="12" t="s">
        <v>114</v>
      </c>
      <c r="F4492" s="12" t="s">
        <v>26</v>
      </c>
      <c r="G4492" s="20">
        <v>45427</v>
      </c>
      <c r="H4492" s="20">
        <v>45428</v>
      </c>
      <c r="I4492" s="20">
        <v>45450</v>
      </c>
      <c r="J4492" s="12">
        <v>20</v>
      </c>
      <c r="K4492" s="12">
        <v>4.25</v>
      </c>
      <c r="L4492" s="12">
        <v>0</v>
      </c>
      <c r="M4492" s="12">
        <v>0.85</v>
      </c>
      <c r="N4492" s="12">
        <v>17</v>
      </c>
      <c r="O4492" s="12">
        <v>12.75</v>
      </c>
      <c r="P4492" s="12" t="s">
        <v>291</v>
      </c>
    </row>
    <row r="4493" spans="1:16" x14ac:dyDescent="0.3">
      <c r="A4493" s="12" t="s">
        <v>96</v>
      </c>
      <c r="B4493" s="12" t="s">
        <v>159</v>
      </c>
      <c r="C4493" s="12" t="s">
        <v>123</v>
      </c>
      <c r="D4493" s="12" t="s">
        <v>110</v>
      </c>
      <c r="E4493" s="12" t="s">
        <v>114</v>
      </c>
      <c r="F4493" s="12" t="s">
        <v>26</v>
      </c>
      <c r="G4493" s="20">
        <v>45450</v>
      </c>
      <c r="H4493" s="20">
        <v>45428</v>
      </c>
      <c r="I4493" s="20">
        <v>45450</v>
      </c>
      <c r="J4493" s="12">
        <v>20</v>
      </c>
      <c r="K4493" s="12">
        <v>-4.25</v>
      </c>
      <c r="L4493" s="12">
        <v>0</v>
      </c>
      <c r="M4493" s="12">
        <v>0.85</v>
      </c>
      <c r="N4493" s="12">
        <v>-17</v>
      </c>
      <c r="O4493" s="12">
        <v>-12.75</v>
      </c>
      <c r="P4493" s="12" t="s">
        <v>292</v>
      </c>
    </row>
    <row r="4494" spans="1:16" x14ac:dyDescent="0.3">
      <c r="A4494" s="12" t="s">
        <v>96</v>
      </c>
      <c r="B4494" s="12" t="s">
        <v>159</v>
      </c>
      <c r="C4494" s="12" t="s">
        <v>123</v>
      </c>
      <c r="D4494" s="12" t="s">
        <v>110</v>
      </c>
      <c r="E4494" s="12" t="s">
        <v>114</v>
      </c>
      <c r="F4494" s="12" t="s">
        <v>26</v>
      </c>
      <c r="G4494" s="20">
        <v>45519</v>
      </c>
      <c r="H4494" s="20">
        <v>45520</v>
      </c>
      <c r="I4494" s="20">
        <v>45541</v>
      </c>
      <c r="J4494" s="12">
        <v>10</v>
      </c>
      <c r="K4494" s="12">
        <v>2.13</v>
      </c>
      <c r="L4494" s="12">
        <v>0</v>
      </c>
      <c r="M4494" s="12">
        <v>0.85</v>
      </c>
      <c r="N4494" s="12">
        <v>8.5</v>
      </c>
      <c r="O4494" s="12">
        <v>6.37</v>
      </c>
      <c r="P4494" s="12" t="s">
        <v>291</v>
      </c>
    </row>
    <row r="4495" spans="1:16" x14ac:dyDescent="0.3">
      <c r="A4495" s="12" t="s">
        <v>96</v>
      </c>
      <c r="B4495" s="12" t="s">
        <v>159</v>
      </c>
      <c r="C4495" s="12" t="s">
        <v>123</v>
      </c>
      <c r="D4495" s="12" t="s">
        <v>110</v>
      </c>
      <c r="E4495" s="12" t="s">
        <v>114</v>
      </c>
      <c r="F4495" s="12" t="s">
        <v>27</v>
      </c>
      <c r="G4495" s="20">
        <v>45342</v>
      </c>
      <c r="H4495" s="20">
        <v>45343</v>
      </c>
      <c r="I4495" s="20">
        <v>45377</v>
      </c>
      <c r="J4495" s="12">
        <v>11</v>
      </c>
      <c r="K4495" s="12">
        <v>1.38</v>
      </c>
      <c r="L4495" s="12">
        <v>0</v>
      </c>
      <c r="M4495" s="12">
        <v>0.5</v>
      </c>
      <c r="N4495" s="12">
        <v>5.5</v>
      </c>
      <c r="O4495" s="12">
        <v>4.12</v>
      </c>
      <c r="P4495" s="12" t="s">
        <v>291</v>
      </c>
    </row>
    <row r="4496" spans="1:16" x14ac:dyDescent="0.3">
      <c r="A4496" s="12" t="s">
        <v>96</v>
      </c>
      <c r="B4496" s="12" t="s">
        <v>159</v>
      </c>
      <c r="C4496" s="12" t="s">
        <v>123</v>
      </c>
      <c r="D4496" s="12" t="s">
        <v>110</v>
      </c>
      <c r="E4496" s="12" t="s">
        <v>114</v>
      </c>
      <c r="F4496" s="12" t="s">
        <v>27</v>
      </c>
      <c r="G4496" s="20">
        <v>45377</v>
      </c>
      <c r="H4496" s="20">
        <v>45343</v>
      </c>
      <c r="I4496" s="20">
        <v>45377</v>
      </c>
      <c r="J4496" s="12">
        <v>11</v>
      </c>
      <c r="K4496" s="12">
        <v>-1.38</v>
      </c>
      <c r="L4496" s="12">
        <v>0</v>
      </c>
      <c r="M4496" s="12">
        <v>0.5</v>
      </c>
      <c r="N4496" s="12">
        <v>-5.5</v>
      </c>
      <c r="O4496" s="12">
        <v>-4.12</v>
      </c>
      <c r="P4496" s="12" t="s">
        <v>292</v>
      </c>
    </row>
    <row r="4497" spans="1:16" x14ac:dyDescent="0.3">
      <c r="A4497" s="12" t="s">
        <v>96</v>
      </c>
      <c r="B4497" s="12" t="s">
        <v>159</v>
      </c>
      <c r="C4497" s="12" t="s">
        <v>123</v>
      </c>
      <c r="D4497" s="12" t="s">
        <v>110</v>
      </c>
      <c r="E4497" s="12" t="s">
        <v>114</v>
      </c>
      <c r="F4497" s="12" t="s">
        <v>27</v>
      </c>
      <c r="G4497" s="20">
        <v>45456</v>
      </c>
      <c r="H4497" s="20">
        <v>45457</v>
      </c>
      <c r="I4497" s="20">
        <v>45469</v>
      </c>
      <c r="J4497" s="12">
        <v>44</v>
      </c>
      <c r="K4497" s="12">
        <v>5.5</v>
      </c>
      <c r="L4497" s="12">
        <v>0</v>
      </c>
      <c r="M4497" s="12">
        <v>0.5</v>
      </c>
      <c r="N4497" s="12">
        <v>22</v>
      </c>
      <c r="O4497" s="12">
        <v>16.5</v>
      </c>
      <c r="P4497" s="12" t="s">
        <v>291</v>
      </c>
    </row>
    <row r="4498" spans="1:16" x14ac:dyDescent="0.3">
      <c r="A4498" s="12" t="s">
        <v>96</v>
      </c>
      <c r="B4498" s="12" t="s">
        <v>159</v>
      </c>
      <c r="C4498" s="12" t="s">
        <v>123</v>
      </c>
      <c r="D4498" s="12" t="s">
        <v>110</v>
      </c>
      <c r="E4498" s="12" t="s">
        <v>114</v>
      </c>
      <c r="F4498" s="12" t="s">
        <v>27</v>
      </c>
      <c r="G4498" s="20">
        <v>45469</v>
      </c>
      <c r="H4498" s="20">
        <v>45457</v>
      </c>
      <c r="I4498" s="20">
        <v>45469</v>
      </c>
      <c r="J4498" s="12">
        <v>44</v>
      </c>
      <c r="K4498" s="12">
        <v>-5.5</v>
      </c>
      <c r="L4498" s="12">
        <v>0</v>
      </c>
      <c r="M4498" s="12">
        <v>0.5</v>
      </c>
      <c r="N4498" s="12">
        <v>-22</v>
      </c>
      <c r="O4498" s="12">
        <v>-16.5</v>
      </c>
      <c r="P4498" s="12" t="s">
        <v>292</v>
      </c>
    </row>
    <row r="4499" spans="1:16" x14ac:dyDescent="0.3">
      <c r="A4499" s="12" t="s">
        <v>96</v>
      </c>
      <c r="B4499" s="12" t="s">
        <v>159</v>
      </c>
      <c r="C4499" s="12" t="s">
        <v>123</v>
      </c>
      <c r="D4499" s="12" t="s">
        <v>110</v>
      </c>
      <c r="E4499" s="12" t="s">
        <v>114</v>
      </c>
      <c r="F4499" s="12" t="s">
        <v>28</v>
      </c>
      <c r="G4499" s="20">
        <v>45335</v>
      </c>
      <c r="H4499" s="20">
        <v>45336</v>
      </c>
      <c r="I4499" s="20">
        <v>45365</v>
      </c>
      <c r="J4499" s="12">
        <v>49</v>
      </c>
      <c r="K4499" s="12">
        <v>11.03</v>
      </c>
      <c r="L4499" s="12">
        <v>0</v>
      </c>
      <c r="M4499" s="12">
        <v>0.75</v>
      </c>
      <c r="N4499" s="12">
        <v>36.75</v>
      </c>
      <c r="O4499" s="12">
        <v>25.72</v>
      </c>
      <c r="P4499" s="12" t="s">
        <v>291</v>
      </c>
    </row>
    <row r="4500" spans="1:16" x14ac:dyDescent="0.3">
      <c r="A4500" s="12" t="s">
        <v>96</v>
      </c>
      <c r="B4500" s="12" t="s">
        <v>159</v>
      </c>
      <c r="C4500" s="12" t="s">
        <v>123</v>
      </c>
      <c r="D4500" s="12" t="s">
        <v>110</v>
      </c>
      <c r="E4500" s="12" t="s">
        <v>114</v>
      </c>
      <c r="F4500" s="12" t="s">
        <v>28</v>
      </c>
      <c r="G4500" s="20">
        <v>45335</v>
      </c>
      <c r="H4500" s="20">
        <v>45336</v>
      </c>
      <c r="I4500" s="20">
        <v>45365</v>
      </c>
      <c r="J4500" s="12">
        <v>49</v>
      </c>
      <c r="K4500" s="12">
        <v>9.19</v>
      </c>
      <c r="L4500" s="12">
        <v>0</v>
      </c>
      <c r="M4500" s="12">
        <v>0.75</v>
      </c>
      <c r="N4500" s="12">
        <v>36.75</v>
      </c>
      <c r="O4500" s="12">
        <v>27.56</v>
      </c>
      <c r="P4500" s="12" t="s">
        <v>291</v>
      </c>
    </row>
    <row r="4501" spans="1:16" x14ac:dyDescent="0.3">
      <c r="A4501" s="12" t="s">
        <v>96</v>
      </c>
      <c r="B4501" s="12" t="s">
        <v>159</v>
      </c>
      <c r="C4501" s="12" t="s">
        <v>123</v>
      </c>
      <c r="D4501" s="12" t="s">
        <v>110</v>
      </c>
      <c r="E4501" s="12" t="s">
        <v>114</v>
      </c>
      <c r="F4501" s="12" t="s">
        <v>28</v>
      </c>
      <c r="G4501" s="20">
        <v>45335</v>
      </c>
      <c r="H4501" s="20">
        <v>45336</v>
      </c>
      <c r="I4501" s="20">
        <v>45365</v>
      </c>
      <c r="J4501" s="12">
        <v>49</v>
      </c>
      <c r="K4501" s="12">
        <v>-11.03</v>
      </c>
      <c r="L4501" s="12">
        <v>0</v>
      </c>
      <c r="M4501" s="12">
        <v>0.75</v>
      </c>
      <c r="N4501" s="12">
        <v>-36.75</v>
      </c>
      <c r="O4501" s="12">
        <v>-25.72</v>
      </c>
      <c r="P4501" s="12" t="s">
        <v>292</v>
      </c>
    </row>
    <row r="4502" spans="1:16" x14ac:dyDescent="0.3">
      <c r="A4502" s="12" t="s">
        <v>96</v>
      </c>
      <c r="B4502" s="12" t="s">
        <v>159</v>
      </c>
      <c r="C4502" s="12" t="s">
        <v>123</v>
      </c>
      <c r="D4502" s="12" t="s">
        <v>110</v>
      </c>
      <c r="E4502" s="12" t="s">
        <v>114</v>
      </c>
      <c r="F4502" s="12" t="s">
        <v>28</v>
      </c>
      <c r="G4502" s="20">
        <v>45365</v>
      </c>
      <c r="H4502" s="20">
        <v>45336</v>
      </c>
      <c r="I4502" s="20">
        <v>45365</v>
      </c>
      <c r="J4502" s="12">
        <v>49</v>
      </c>
      <c r="K4502" s="12">
        <v>-9.19</v>
      </c>
      <c r="L4502" s="12">
        <v>0</v>
      </c>
      <c r="M4502" s="12">
        <v>0.75</v>
      </c>
      <c r="N4502" s="12">
        <v>-36.75</v>
      </c>
      <c r="O4502" s="12">
        <v>-27.56</v>
      </c>
      <c r="P4502" s="12" t="s">
        <v>292</v>
      </c>
    </row>
    <row r="4503" spans="1:16" x14ac:dyDescent="0.3">
      <c r="A4503" s="12" t="s">
        <v>96</v>
      </c>
      <c r="B4503" s="12" t="s">
        <v>159</v>
      </c>
      <c r="C4503" s="12" t="s">
        <v>123</v>
      </c>
      <c r="D4503" s="12" t="s">
        <v>110</v>
      </c>
      <c r="E4503" s="12" t="s">
        <v>114</v>
      </c>
      <c r="F4503" s="12" t="s">
        <v>28</v>
      </c>
      <c r="G4503" s="20">
        <v>45426</v>
      </c>
      <c r="H4503" s="20">
        <v>45427</v>
      </c>
      <c r="I4503" s="20">
        <v>45456</v>
      </c>
      <c r="J4503" s="12">
        <v>49</v>
      </c>
      <c r="K4503" s="12">
        <v>9.19</v>
      </c>
      <c r="L4503" s="12">
        <v>0</v>
      </c>
      <c r="M4503" s="12">
        <v>0.75</v>
      </c>
      <c r="N4503" s="12">
        <v>36.75</v>
      </c>
      <c r="O4503" s="12">
        <v>27.56</v>
      </c>
      <c r="P4503" s="12" t="s">
        <v>291</v>
      </c>
    </row>
    <row r="4504" spans="1:16" x14ac:dyDescent="0.3">
      <c r="A4504" s="12" t="s">
        <v>96</v>
      </c>
      <c r="B4504" s="12" t="s">
        <v>159</v>
      </c>
      <c r="C4504" s="12" t="s">
        <v>123</v>
      </c>
      <c r="D4504" s="12" t="s">
        <v>110</v>
      </c>
      <c r="E4504" s="12" t="s">
        <v>114</v>
      </c>
      <c r="F4504" s="12" t="s">
        <v>28</v>
      </c>
      <c r="G4504" s="20">
        <v>45456</v>
      </c>
      <c r="H4504" s="20">
        <v>45427</v>
      </c>
      <c r="I4504" s="20">
        <v>45456</v>
      </c>
      <c r="J4504" s="12">
        <v>49</v>
      </c>
      <c r="K4504" s="12">
        <v>-9.19</v>
      </c>
      <c r="L4504" s="12">
        <v>0</v>
      </c>
      <c r="M4504" s="12">
        <v>0.75</v>
      </c>
      <c r="N4504" s="12">
        <v>-36.75</v>
      </c>
      <c r="O4504" s="12">
        <v>-27.56</v>
      </c>
      <c r="P4504" s="12" t="s">
        <v>292</v>
      </c>
    </row>
    <row r="4505" spans="1:16" x14ac:dyDescent="0.3">
      <c r="A4505" s="12" t="s">
        <v>96</v>
      </c>
      <c r="B4505" s="12" t="s">
        <v>159</v>
      </c>
      <c r="C4505" s="12" t="s">
        <v>123</v>
      </c>
      <c r="D4505" s="12" t="s">
        <v>110</v>
      </c>
      <c r="E4505" s="12" t="s">
        <v>114</v>
      </c>
      <c r="F4505" s="12" t="s">
        <v>28</v>
      </c>
      <c r="G4505" s="20">
        <v>45518</v>
      </c>
      <c r="H4505" s="20">
        <v>45519</v>
      </c>
      <c r="I4505" s="20">
        <v>45547</v>
      </c>
      <c r="J4505" s="12">
        <v>61</v>
      </c>
      <c r="K4505" s="12">
        <v>11.44</v>
      </c>
      <c r="L4505" s="12">
        <v>0</v>
      </c>
      <c r="M4505" s="12">
        <v>0.75</v>
      </c>
      <c r="N4505" s="12">
        <v>45.75</v>
      </c>
      <c r="O4505" s="12">
        <v>34.31</v>
      </c>
      <c r="P4505" s="12" t="s">
        <v>291</v>
      </c>
    </row>
    <row r="4506" spans="1:16" x14ac:dyDescent="0.3">
      <c r="A4506" s="12" t="s">
        <v>96</v>
      </c>
      <c r="B4506" s="12" t="s">
        <v>159</v>
      </c>
      <c r="C4506" s="12" t="s">
        <v>123</v>
      </c>
      <c r="D4506" s="12" t="s">
        <v>110</v>
      </c>
      <c r="E4506" s="12" t="s">
        <v>114</v>
      </c>
      <c r="F4506" s="12" t="s">
        <v>55</v>
      </c>
      <c r="G4506" s="20">
        <v>45478</v>
      </c>
      <c r="H4506" s="20">
        <v>45481</v>
      </c>
      <c r="I4506" s="20">
        <v>45496</v>
      </c>
      <c r="J4506" s="12">
        <v>80</v>
      </c>
      <c r="K4506" s="12">
        <v>2.2999999999999998</v>
      </c>
      <c r="L4506" s="12">
        <v>0</v>
      </c>
      <c r="M4506" s="12">
        <v>0.115</v>
      </c>
      <c r="N4506" s="12">
        <v>9.1999999999999993</v>
      </c>
      <c r="O4506" s="12">
        <v>6.9</v>
      </c>
      <c r="P4506" s="12" t="s">
        <v>291</v>
      </c>
    </row>
    <row r="4507" spans="1:16" x14ac:dyDescent="0.3">
      <c r="A4507" s="12" t="s">
        <v>96</v>
      </c>
      <c r="B4507" s="12" t="s">
        <v>159</v>
      </c>
      <c r="C4507" s="12" t="s">
        <v>123</v>
      </c>
      <c r="D4507" s="12" t="s">
        <v>110</v>
      </c>
      <c r="E4507" s="12" t="s">
        <v>114</v>
      </c>
      <c r="F4507" s="12" t="s">
        <v>55</v>
      </c>
      <c r="G4507" s="20">
        <v>45496</v>
      </c>
      <c r="H4507" s="20">
        <v>45481</v>
      </c>
      <c r="I4507" s="20">
        <v>45496</v>
      </c>
      <c r="J4507" s="12">
        <v>80</v>
      </c>
      <c r="K4507" s="12">
        <v>-2.2999999999999998</v>
      </c>
      <c r="L4507" s="12">
        <v>0</v>
      </c>
      <c r="M4507" s="12">
        <v>0.115</v>
      </c>
      <c r="N4507" s="12">
        <v>-9.1999999999999993</v>
      </c>
      <c r="O4507" s="12">
        <v>-6.9</v>
      </c>
      <c r="P4507" s="12" t="s">
        <v>292</v>
      </c>
    </row>
    <row r="4508" spans="1:16" x14ac:dyDescent="0.3">
      <c r="A4508" s="12" t="s">
        <v>96</v>
      </c>
      <c r="B4508" s="12" t="s">
        <v>159</v>
      </c>
      <c r="C4508" s="12" t="s">
        <v>123</v>
      </c>
      <c r="D4508" s="12" t="s">
        <v>110</v>
      </c>
      <c r="E4508" s="12" t="s">
        <v>114</v>
      </c>
      <c r="F4508" s="12" t="s">
        <v>74</v>
      </c>
      <c r="G4508" s="20">
        <v>45471</v>
      </c>
      <c r="H4508" s="20">
        <v>45474</v>
      </c>
      <c r="I4508" s="20">
        <v>45485</v>
      </c>
      <c r="J4508" s="12">
        <v>10</v>
      </c>
      <c r="K4508" s="12">
        <v>0.23</v>
      </c>
      <c r="L4508" s="12">
        <v>0</v>
      </c>
      <c r="M4508" s="12">
        <v>0.09</v>
      </c>
      <c r="N4508" s="12">
        <v>0.9</v>
      </c>
      <c r="O4508" s="12">
        <v>0.67</v>
      </c>
      <c r="P4508" s="12" t="s">
        <v>291</v>
      </c>
    </row>
    <row r="4509" spans="1:16" x14ac:dyDescent="0.3">
      <c r="A4509" s="12" t="s">
        <v>96</v>
      </c>
      <c r="B4509" s="12" t="s">
        <v>159</v>
      </c>
      <c r="C4509" s="12" t="s">
        <v>123</v>
      </c>
      <c r="D4509" s="12" t="s">
        <v>110</v>
      </c>
      <c r="E4509" s="12" t="s">
        <v>114</v>
      </c>
      <c r="F4509" s="12" t="s">
        <v>74</v>
      </c>
      <c r="G4509" s="20">
        <v>45485</v>
      </c>
      <c r="H4509" s="20">
        <v>45474</v>
      </c>
      <c r="I4509" s="20">
        <v>45485</v>
      </c>
      <c r="J4509" s="12">
        <v>10</v>
      </c>
      <c r="K4509" s="12">
        <v>-0.23</v>
      </c>
      <c r="L4509" s="12">
        <v>0</v>
      </c>
      <c r="M4509" s="12">
        <v>0.09</v>
      </c>
      <c r="N4509" s="12">
        <v>-0.9</v>
      </c>
      <c r="O4509" s="12">
        <v>-0.67</v>
      </c>
      <c r="P4509" s="12" t="s">
        <v>292</v>
      </c>
    </row>
    <row r="4510" spans="1:16" x14ac:dyDescent="0.3">
      <c r="A4510" s="12" t="s">
        <v>96</v>
      </c>
      <c r="B4510" s="12" t="s">
        <v>159</v>
      </c>
      <c r="C4510" s="12" t="s">
        <v>123</v>
      </c>
      <c r="D4510" s="12" t="s">
        <v>110</v>
      </c>
      <c r="E4510" s="12" t="s">
        <v>114</v>
      </c>
      <c r="F4510" s="12" t="s">
        <v>39</v>
      </c>
      <c r="G4510" s="20">
        <v>45349</v>
      </c>
      <c r="H4510" s="20">
        <v>45350</v>
      </c>
      <c r="I4510" s="20">
        <v>45372</v>
      </c>
      <c r="J4510" s="12">
        <v>20</v>
      </c>
      <c r="K4510" s="12">
        <v>4</v>
      </c>
      <c r="L4510" s="12">
        <v>0</v>
      </c>
      <c r="M4510" s="12">
        <v>0.8</v>
      </c>
      <c r="N4510" s="12">
        <v>16</v>
      </c>
      <c r="O4510" s="12">
        <v>12</v>
      </c>
      <c r="P4510" s="12" t="s">
        <v>291</v>
      </c>
    </row>
    <row r="4511" spans="1:16" x14ac:dyDescent="0.3">
      <c r="A4511" s="12" t="s">
        <v>96</v>
      </c>
      <c r="B4511" s="12" t="s">
        <v>159</v>
      </c>
      <c r="C4511" s="12" t="s">
        <v>123</v>
      </c>
      <c r="D4511" s="12" t="s">
        <v>110</v>
      </c>
      <c r="E4511" s="12" t="s">
        <v>114</v>
      </c>
      <c r="F4511" s="12" t="s">
        <v>39</v>
      </c>
      <c r="G4511" s="20">
        <v>45372</v>
      </c>
      <c r="H4511" s="20">
        <v>45350</v>
      </c>
      <c r="I4511" s="20">
        <v>45372</v>
      </c>
      <c r="J4511" s="12">
        <v>20</v>
      </c>
      <c r="K4511" s="12">
        <v>-4</v>
      </c>
      <c r="L4511" s="12">
        <v>0</v>
      </c>
      <c r="M4511" s="12">
        <v>0.8</v>
      </c>
      <c r="N4511" s="12">
        <v>-16</v>
      </c>
      <c r="O4511" s="12">
        <v>-12</v>
      </c>
      <c r="P4511" s="12" t="s">
        <v>292</v>
      </c>
    </row>
    <row r="4512" spans="1:16" x14ac:dyDescent="0.3">
      <c r="A4512" s="12" t="s">
        <v>96</v>
      </c>
      <c r="B4512" s="12" t="s">
        <v>159</v>
      </c>
      <c r="C4512" s="12" t="s">
        <v>123</v>
      </c>
      <c r="D4512" s="12" t="s">
        <v>110</v>
      </c>
      <c r="E4512" s="12" t="s">
        <v>114</v>
      </c>
      <c r="F4512" s="12" t="s">
        <v>39</v>
      </c>
      <c r="G4512" s="20">
        <v>45441</v>
      </c>
      <c r="H4512" s="20">
        <v>45442</v>
      </c>
      <c r="I4512" s="20">
        <v>45463</v>
      </c>
      <c r="J4512" s="12">
        <v>50</v>
      </c>
      <c r="K4512" s="12">
        <v>10.63</v>
      </c>
      <c r="L4512" s="12">
        <v>0</v>
      </c>
      <c r="M4512" s="12">
        <v>0.85</v>
      </c>
      <c r="N4512" s="12">
        <v>42.5</v>
      </c>
      <c r="O4512" s="12">
        <v>31.87</v>
      </c>
      <c r="P4512" s="12" t="s">
        <v>291</v>
      </c>
    </row>
    <row r="4513" spans="1:16" x14ac:dyDescent="0.3">
      <c r="A4513" s="12" t="s">
        <v>96</v>
      </c>
      <c r="B4513" s="12" t="s">
        <v>159</v>
      </c>
      <c r="C4513" s="12" t="s">
        <v>123</v>
      </c>
      <c r="D4513" s="12" t="s">
        <v>110</v>
      </c>
      <c r="E4513" s="12" t="s">
        <v>114</v>
      </c>
      <c r="F4513" s="12" t="s">
        <v>39</v>
      </c>
      <c r="G4513" s="20">
        <v>45463</v>
      </c>
      <c r="H4513" s="20">
        <v>45442</v>
      </c>
      <c r="I4513" s="20">
        <v>45463</v>
      </c>
      <c r="J4513" s="12">
        <v>50</v>
      </c>
      <c r="K4513" s="12">
        <v>-10.63</v>
      </c>
      <c r="L4513" s="12">
        <v>0</v>
      </c>
      <c r="M4513" s="12">
        <v>0.85</v>
      </c>
      <c r="N4513" s="12">
        <v>-42.5</v>
      </c>
      <c r="O4513" s="12">
        <v>-31.87</v>
      </c>
      <c r="P4513" s="12" t="s">
        <v>292</v>
      </c>
    </row>
    <row r="4514" spans="1:16" x14ac:dyDescent="0.3">
      <c r="A4514" s="12" t="s">
        <v>96</v>
      </c>
      <c r="B4514" s="12" t="s">
        <v>159</v>
      </c>
      <c r="C4514" s="12" t="s">
        <v>123</v>
      </c>
      <c r="D4514" s="12" t="s">
        <v>110</v>
      </c>
      <c r="E4514" s="12" t="s">
        <v>114</v>
      </c>
      <c r="F4514" s="12" t="s">
        <v>30</v>
      </c>
      <c r="G4514" s="20">
        <v>45364</v>
      </c>
      <c r="H4514" s="20">
        <v>45365</v>
      </c>
      <c r="I4514" s="20">
        <v>45383</v>
      </c>
      <c r="J4514" s="12">
        <v>26</v>
      </c>
      <c r="K4514" s="12">
        <v>2.39</v>
      </c>
      <c r="L4514" s="12">
        <v>0</v>
      </c>
      <c r="M4514" s="12">
        <v>0.36749999999999999</v>
      </c>
      <c r="N4514" s="12">
        <v>9.5500000000000007</v>
      </c>
      <c r="O4514" s="12">
        <v>7.16</v>
      </c>
      <c r="P4514" s="12" t="s">
        <v>291</v>
      </c>
    </row>
    <row r="4515" spans="1:16" x14ac:dyDescent="0.3">
      <c r="A4515" s="12" t="s">
        <v>96</v>
      </c>
      <c r="B4515" s="12" t="s">
        <v>159</v>
      </c>
      <c r="C4515" s="12" t="s">
        <v>123</v>
      </c>
      <c r="D4515" s="12" t="s">
        <v>110</v>
      </c>
      <c r="E4515" s="12" t="s">
        <v>114</v>
      </c>
      <c r="F4515" s="12" t="s">
        <v>30</v>
      </c>
      <c r="G4515" s="20">
        <v>45364</v>
      </c>
      <c r="H4515" s="20">
        <v>45365</v>
      </c>
      <c r="I4515" s="20">
        <v>45383</v>
      </c>
      <c r="J4515" s="12">
        <v>26</v>
      </c>
      <c r="K4515" s="12">
        <v>2.39</v>
      </c>
      <c r="L4515" s="12">
        <v>0</v>
      </c>
      <c r="M4515" s="12">
        <v>0.36749999999999999</v>
      </c>
      <c r="N4515" s="12">
        <v>9.56</v>
      </c>
      <c r="O4515" s="12">
        <v>7.17</v>
      </c>
      <c r="P4515" s="12" t="s">
        <v>291</v>
      </c>
    </row>
    <row r="4516" spans="1:16" x14ac:dyDescent="0.3">
      <c r="A4516" s="12" t="s">
        <v>96</v>
      </c>
      <c r="B4516" s="12" t="s">
        <v>159</v>
      </c>
      <c r="C4516" s="12" t="s">
        <v>123</v>
      </c>
      <c r="D4516" s="12" t="s">
        <v>110</v>
      </c>
      <c r="E4516" s="12" t="s">
        <v>114</v>
      </c>
      <c r="F4516" s="12" t="s">
        <v>30</v>
      </c>
      <c r="G4516" s="20">
        <v>45364</v>
      </c>
      <c r="H4516" s="20">
        <v>45365</v>
      </c>
      <c r="I4516" s="20">
        <v>45383</v>
      </c>
      <c r="J4516" s="12">
        <v>26</v>
      </c>
      <c r="K4516" s="12">
        <v>-2.39</v>
      </c>
      <c r="L4516" s="12">
        <v>0</v>
      </c>
      <c r="M4516" s="12">
        <v>0.36749999999999999</v>
      </c>
      <c r="N4516" s="12">
        <v>-9.5500000000000007</v>
      </c>
      <c r="O4516" s="12">
        <v>-7.16</v>
      </c>
      <c r="P4516" s="12" t="s">
        <v>292</v>
      </c>
    </row>
    <row r="4517" spans="1:16" x14ac:dyDescent="0.3">
      <c r="A4517" s="12" t="s">
        <v>96</v>
      </c>
      <c r="B4517" s="12" t="s">
        <v>159</v>
      </c>
      <c r="C4517" s="12" t="s">
        <v>123</v>
      </c>
      <c r="D4517" s="12" t="s">
        <v>110</v>
      </c>
      <c r="E4517" s="12" t="s">
        <v>114</v>
      </c>
      <c r="F4517" s="12" t="s">
        <v>30</v>
      </c>
      <c r="G4517" s="20">
        <v>45383</v>
      </c>
      <c r="H4517" s="20">
        <v>45365</v>
      </c>
      <c r="I4517" s="20">
        <v>45383</v>
      </c>
      <c r="J4517" s="12">
        <v>26</v>
      </c>
      <c r="K4517" s="12">
        <v>-2.39</v>
      </c>
      <c r="L4517" s="12">
        <v>0</v>
      </c>
      <c r="M4517" s="12">
        <v>0.36749999999999999</v>
      </c>
      <c r="N4517" s="12">
        <v>-9.56</v>
      </c>
      <c r="O4517" s="12">
        <v>-7.17</v>
      </c>
      <c r="P4517" s="12" t="s">
        <v>292</v>
      </c>
    </row>
    <row r="4518" spans="1:16" x14ac:dyDescent="0.3">
      <c r="A4518" s="12" t="s">
        <v>96</v>
      </c>
      <c r="B4518" s="12" t="s">
        <v>159</v>
      </c>
      <c r="C4518" s="12" t="s">
        <v>123</v>
      </c>
      <c r="D4518" s="12" t="s">
        <v>110</v>
      </c>
      <c r="E4518" s="12" t="s">
        <v>114</v>
      </c>
      <c r="F4518" s="12" t="s">
        <v>78</v>
      </c>
      <c r="G4518" s="20">
        <v>45503</v>
      </c>
      <c r="H4518" s="20">
        <v>45504</v>
      </c>
      <c r="I4518" s="20">
        <v>45517</v>
      </c>
      <c r="J4518" s="12">
        <v>30</v>
      </c>
      <c r="K4518" s="12">
        <v>9.75</v>
      </c>
      <c r="L4518" s="12">
        <v>0</v>
      </c>
      <c r="M4518" s="12">
        <v>1.3</v>
      </c>
      <c r="N4518" s="12">
        <v>39</v>
      </c>
      <c r="O4518" s="12">
        <v>29.25</v>
      </c>
      <c r="P4518" s="12" t="s">
        <v>291</v>
      </c>
    </row>
    <row r="4519" spans="1:16" x14ac:dyDescent="0.3">
      <c r="A4519" s="12" t="s">
        <v>96</v>
      </c>
      <c r="B4519" s="12" t="s">
        <v>159</v>
      </c>
      <c r="C4519" s="12" t="s">
        <v>123</v>
      </c>
      <c r="D4519" s="12" t="s">
        <v>110</v>
      </c>
      <c r="E4519" s="12" t="s">
        <v>114</v>
      </c>
      <c r="F4519" s="12" t="s">
        <v>78</v>
      </c>
      <c r="G4519" s="20">
        <v>45517</v>
      </c>
      <c r="H4519" s="20">
        <v>45504</v>
      </c>
      <c r="I4519" s="20">
        <v>45517</v>
      </c>
      <c r="J4519" s="12">
        <v>30</v>
      </c>
      <c r="K4519" s="12">
        <v>-9.75</v>
      </c>
      <c r="L4519" s="12">
        <v>0</v>
      </c>
      <c r="M4519" s="12">
        <v>1.3</v>
      </c>
      <c r="N4519" s="12">
        <v>-39</v>
      </c>
      <c r="O4519" s="12">
        <v>-29.25</v>
      </c>
      <c r="P4519" s="12" t="s">
        <v>292</v>
      </c>
    </row>
    <row r="4520" spans="1:16" x14ac:dyDescent="0.3">
      <c r="A4520" s="12" t="s">
        <v>96</v>
      </c>
      <c r="B4520" s="12" t="s">
        <v>159</v>
      </c>
      <c r="C4520" s="12" t="s">
        <v>123</v>
      </c>
      <c r="D4520" s="12" t="s">
        <v>110</v>
      </c>
      <c r="E4520" s="12" t="s">
        <v>114</v>
      </c>
      <c r="F4520" s="12" t="s">
        <v>60</v>
      </c>
      <c r="G4520" s="20">
        <v>45457</v>
      </c>
      <c r="H4520" s="20">
        <v>45460</v>
      </c>
      <c r="I4520" s="20">
        <v>45468</v>
      </c>
      <c r="J4520" s="12">
        <v>15</v>
      </c>
      <c r="K4520" s="12">
        <v>7.88</v>
      </c>
      <c r="L4520" s="12">
        <v>0</v>
      </c>
      <c r="M4520" s="12">
        <v>2.1</v>
      </c>
      <c r="N4520" s="12">
        <v>31.5</v>
      </c>
      <c r="O4520" s="12">
        <v>23.62</v>
      </c>
      <c r="P4520" s="12" t="s">
        <v>291</v>
      </c>
    </row>
    <row r="4521" spans="1:16" x14ac:dyDescent="0.3">
      <c r="A4521" s="12" t="s">
        <v>96</v>
      </c>
      <c r="B4521" s="12" t="s">
        <v>159</v>
      </c>
      <c r="C4521" s="12" t="s">
        <v>123</v>
      </c>
      <c r="D4521" s="12" t="s">
        <v>110</v>
      </c>
      <c r="E4521" s="12" t="s">
        <v>114</v>
      </c>
      <c r="F4521" s="12" t="s">
        <v>60</v>
      </c>
      <c r="G4521" s="20">
        <v>45468</v>
      </c>
      <c r="H4521" s="20">
        <v>45460</v>
      </c>
      <c r="I4521" s="20">
        <v>45468</v>
      </c>
      <c r="J4521" s="12">
        <v>15</v>
      </c>
      <c r="K4521" s="12">
        <v>-7.88</v>
      </c>
      <c r="L4521" s="12">
        <v>0</v>
      </c>
      <c r="M4521" s="12">
        <v>2.1</v>
      </c>
      <c r="N4521" s="12">
        <v>-31.5</v>
      </c>
      <c r="O4521" s="12">
        <v>-23.62</v>
      </c>
      <c r="P4521" s="12" t="s">
        <v>292</v>
      </c>
    </row>
    <row r="4522" spans="1:16" x14ac:dyDescent="0.3">
      <c r="A4522" s="12" t="s">
        <v>96</v>
      </c>
      <c r="B4522" s="12" t="s">
        <v>159</v>
      </c>
      <c r="C4522" s="12" t="s">
        <v>123</v>
      </c>
      <c r="D4522" s="12" t="s">
        <v>110</v>
      </c>
      <c r="E4522" s="12" t="s">
        <v>114</v>
      </c>
      <c r="F4522" s="12" t="s">
        <v>40</v>
      </c>
      <c r="G4522" s="20">
        <v>45349</v>
      </c>
      <c r="H4522" s="20">
        <v>45350</v>
      </c>
      <c r="I4522" s="20">
        <v>45383</v>
      </c>
      <c r="J4522" s="12">
        <v>15</v>
      </c>
      <c r="K4522" s="12">
        <v>4.88</v>
      </c>
      <c r="L4522" s="12">
        <v>0</v>
      </c>
      <c r="M4522" s="12">
        <v>1.3</v>
      </c>
      <c r="N4522" s="12">
        <v>19.5</v>
      </c>
      <c r="O4522" s="12">
        <v>14.62</v>
      </c>
      <c r="P4522" s="12" t="s">
        <v>291</v>
      </c>
    </row>
    <row r="4523" spans="1:16" x14ac:dyDescent="0.3">
      <c r="A4523" s="12" t="s">
        <v>96</v>
      </c>
      <c r="B4523" s="12" t="s">
        <v>159</v>
      </c>
      <c r="C4523" s="12" t="s">
        <v>123</v>
      </c>
      <c r="D4523" s="12" t="s">
        <v>110</v>
      </c>
      <c r="E4523" s="12" t="s">
        <v>114</v>
      </c>
      <c r="F4523" s="12" t="s">
        <v>40</v>
      </c>
      <c r="G4523" s="20">
        <v>45383</v>
      </c>
      <c r="H4523" s="20">
        <v>45350</v>
      </c>
      <c r="I4523" s="20">
        <v>45383</v>
      </c>
      <c r="J4523" s="12">
        <v>15</v>
      </c>
      <c r="K4523" s="12">
        <v>-4.88</v>
      </c>
      <c r="L4523" s="12">
        <v>0</v>
      </c>
      <c r="M4523" s="12">
        <v>1.3</v>
      </c>
      <c r="N4523" s="12">
        <v>-19.5</v>
      </c>
      <c r="O4523" s="12">
        <v>-14.62</v>
      </c>
      <c r="P4523" s="12" t="s">
        <v>292</v>
      </c>
    </row>
    <row r="4524" spans="1:16" x14ac:dyDescent="0.3">
      <c r="A4524" s="12" t="s">
        <v>96</v>
      </c>
      <c r="B4524" s="12" t="s">
        <v>159</v>
      </c>
      <c r="C4524" s="12" t="s">
        <v>123</v>
      </c>
      <c r="D4524" s="12" t="s">
        <v>110</v>
      </c>
      <c r="E4524" s="12" t="s">
        <v>114</v>
      </c>
      <c r="F4524" s="12" t="s">
        <v>61</v>
      </c>
      <c r="G4524" s="20">
        <v>45464</v>
      </c>
      <c r="H4524" s="20">
        <v>45467</v>
      </c>
      <c r="I4524" s="20">
        <v>45469</v>
      </c>
      <c r="J4524" s="12">
        <v>100</v>
      </c>
      <c r="K4524" s="12">
        <v>17.87</v>
      </c>
      <c r="L4524" s="12">
        <v>0</v>
      </c>
      <c r="M4524" s="12">
        <v>0.714839</v>
      </c>
      <c r="N4524" s="12">
        <v>71.48</v>
      </c>
      <c r="O4524" s="12">
        <v>53.61</v>
      </c>
      <c r="P4524" s="12" t="s">
        <v>291</v>
      </c>
    </row>
    <row r="4525" spans="1:16" x14ac:dyDescent="0.3">
      <c r="A4525" s="12" t="s">
        <v>96</v>
      </c>
      <c r="B4525" s="12" t="s">
        <v>159</v>
      </c>
      <c r="C4525" s="12" t="s">
        <v>123</v>
      </c>
      <c r="D4525" s="12" t="s">
        <v>110</v>
      </c>
      <c r="E4525" s="12" t="s">
        <v>114</v>
      </c>
      <c r="F4525" s="12" t="s">
        <v>61</v>
      </c>
      <c r="G4525" s="20">
        <v>45469</v>
      </c>
      <c r="H4525" s="20">
        <v>45467</v>
      </c>
      <c r="I4525" s="20">
        <v>45469</v>
      </c>
      <c r="J4525" s="12">
        <v>100</v>
      </c>
      <c r="K4525" s="12">
        <v>-17.87</v>
      </c>
      <c r="L4525" s="12">
        <v>0</v>
      </c>
      <c r="M4525" s="12">
        <v>0.714839</v>
      </c>
      <c r="N4525" s="12">
        <v>-71.48</v>
      </c>
      <c r="O4525" s="12">
        <v>-53.61</v>
      </c>
      <c r="P4525" s="12" t="s">
        <v>292</v>
      </c>
    </row>
    <row r="4526" spans="1:16" x14ac:dyDescent="0.3">
      <c r="A4526" s="12" t="s">
        <v>96</v>
      </c>
      <c r="B4526" s="12" t="s">
        <v>159</v>
      </c>
      <c r="C4526" s="12" t="s">
        <v>123</v>
      </c>
      <c r="D4526" s="12" t="s">
        <v>110</v>
      </c>
      <c r="E4526" s="12" t="s">
        <v>114</v>
      </c>
      <c r="F4526" s="12" t="s">
        <v>62</v>
      </c>
      <c r="G4526" s="20">
        <v>45464</v>
      </c>
      <c r="H4526" s="20">
        <v>45467</v>
      </c>
      <c r="I4526" s="20">
        <v>45469</v>
      </c>
      <c r="J4526" s="12">
        <v>200</v>
      </c>
      <c r="K4526" s="12">
        <v>8.14</v>
      </c>
      <c r="L4526" s="12">
        <v>0</v>
      </c>
      <c r="M4526" s="12">
        <v>0.162796</v>
      </c>
      <c r="N4526" s="12">
        <v>32.56</v>
      </c>
      <c r="O4526" s="12">
        <v>24.42</v>
      </c>
      <c r="P4526" s="12" t="s">
        <v>291</v>
      </c>
    </row>
    <row r="4527" spans="1:16" x14ac:dyDescent="0.3">
      <c r="A4527" s="12" t="s">
        <v>96</v>
      </c>
      <c r="B4527" s="12" t="s">
        <v>159</v>
      </c>
      <c r="C4527" s="12" t="s">
        <v>123</v>
      </c>
      <c r="D4527" s="12" t="s">
        <v>110</v>
      </c>
      <c r="E4527" s="12" t="s">
        <v>114</v>
      </c>
      <c r="F4527" s="12" t="s">
        <v>62</v>
      </c>
      <c r="G4527" s="20">
        <v>45469</v>
      </c>
      <c r="H4527" s="20">
        <v>45467</v>
      </c>
      <c r="I4527" s="20">
        <v>45469</v>
      </c>
      <c r="J4527" s="12">
        <v>200</v>
      </c>
      <c r="K4527" s="12">
        <v>-8.14</v>
      </c>
      <c r="L4527" s="12">
        <v>0</v>
      </c>
      <c r="M4527" s="12">
        <v>0.162796</v>
      </c>
      <c r="N4527" s="12">
        <v>-32.56</v>
      </c>
      <c r="O4527" s="12">
        <v>-24.42</v>
      </c>
      <c r="P4527" s="12" t="s">
        <v>292</v>
      </c>
    </row>
    <row r="4528" spans="1:16" x14ac:dyDescent="0.3">
      <c r="A4528" s="12" t="s">
        <v>96</v>
      </c>
      <c r="B4528" s="12" t="s">
        <v>159</v>
      </c>
      <c r="C4528" s="12" t="s">
        <v>123</v>
      </c>
      <c r="D4528" s="12" t="s">
        <v>110</v>
      </c>
      <c r="E4528" s="12" t="s">
        <v>114</v>
      </c>
      <c r="F4528" s="12" t="s">
        <v>41</v>
      </c>
      <c r="G4528" s="20">
        <v>45366</v>
      </c>
      <c r="H4528" s="20">
        <v>45369</v>
      </c>
      <c r="I4528" s="20">
        <v>45373</v>
      </c>
      <c r="J4528" s="12">
        <v>1200</v>
      </c>
      <c r="K4528" s="12">
        <v>26.97</v>
      </c>
      <c r="L4528" s="12">
        <v>0</v>
      </c>
      <c r="M4528" s="12">
        <v>8.9889999999999998E-2</v>
      </c>
      <c r="N4528" s="12">
        <v>107.86</v>
      </c>
      <c r="O4528" s="12">
        <v>80.89</v>
      </c>
      <c r="P4528" s="12" t="s">
        <v>291</v>
      </c>
    </row>
    <row r="4529" spans="1:16" x14ac:dyDescent="0.3">
      <c r="A4529" s="12" t="s">
        <v>96</v>
      </c>
      <c r="B4529" s="12" t="s">
        <v>159</v>
      </c>
      <c r="C4529" s="12" t="s">
        <v>123</v>
      </c>
      <c r="D4529" s="12" t="s">
        <v>110</v>
      </c>
      <c r="E4529" s="12" t="s">
        <v>114</v>
      </c>
      <c r="F4529" s="12" t="s">
        <v>41</v>
      </c>
      <c r="G4529" s="20">
        <v>45366</v>
      </c>
      <c r="H4529" s="20">
        <v>45369</v>
      </c>
      <c r="I4529" s="20">
        <v>45373</v>
      </c>
      <c r="J4529" s="12">
        <v>1200</v>
      </c>
      <c r="K4529" s="12">
        <v>26.97</v>
      </c>
      <c r="L4529" s="12">
        <v>0</v>
      </c>
      <c r="M4529" s="12">
        <v>8.9889999999999998E-2</v>
      </c>
      <c r="N4529" s="12">
        <v>107.87</v>
      </c>
      <c r="O4529" s="12">
        <v>80.900000000000006</v>
      </c>
      <c r="P4529" s="12" t="s">
        <v>291</v>
      </c>
    </row>
    <row r="4530" spans="1:16" x14ac:dyDescent="0.3">
      <c r="A4530" s="12" t="s">
        <v>96</v>
      </c>
      <c r="B4530" s="12" t="s">
        <v>159</v>
      </c>
      <c r="C4530" s="12" t="s">
        <v>123</v>
      </c>
      <c r="D4530" s="12" t="s">
        <v>110</v>
      </c>
      <c r="E4530" s="12" t="s">
        <v>114</v>
      </c>
      <c r="F4530" s="12" t="s">
        <v>41</v>
      </c>
      <c r="G4530" s="20">
        <v>45366</v>
      </c>
      <c r="H4530" s="20">
        <v>45369</v>
      </c>
      <c r="I4530" s="20">
        <v>45373</v>
      </c>
      <c r="J4530" s="12">
        <v>1200</v>
      </c>
      <c r="K4530" s="12">
        <v>-26.97</v>
      </c>
      <c r="L4530" s="12">
        <v>0</v>
      </c>
      <c r="M4530" s="12">
        <v>8.9889999999999998E-2</v>
      </c>
      <c r="N4530" s="12">
        <v>-107.86</v>
      </c>
      <c r="O4530" s="12">
        <v>-80.89</v>
      </c>
      <c r="P4530" s="12" t="s">
        <v>292</v>
      </c>
    </row>
    <row r="4531" spans="1:16" x14ac:dyDescent="0.3">
      <c r="A4531" s="12" t="s">
        <v>96</v>
      </c>
      <c r="B4531" s="12" t="s">
        <v>159</v>
      </c>
      <c r="C4531" s="12" t="s">
        <v>123</v>
      </c>
      <c r="D4531" s="12" t="s">
        <v>110</v>
      </c>
      <c r="E4531" s="12" t="s">
        <v>114</v>
      </c>
      <c r="F4531" s="12" t="s">
        <v>41</v>
      </c>
      <c r="G4531" s="20">
        <v>45373</v>
      </c>
      <c r="H4531" s="20">
        <v>45369</v>
      </c>
      <c r="I4531" s="20">
        <v>45373</v>
      </c>
      <c r="J4531" s="12">
        <v>1200</v>
      </c>
      <c r="K4531" s="12">
        <v>-26.97</v>
      </c>
      <c r="L4531" s="12">
        <v>0</v>
      </c>
      <c r="M4531" s="12">
        <v>8.9889999999999998E-2</v>
      </c>
      <c r="N4531" s="12">
        <v>-107.87</v>
      </c>
      <c r="O4531" s="12">
        <v>-80.900000000000006</v>
      </c>
      <c r="P4531" s="12" t="s">
        <v>292</v>
      </c>
    </row>
    <row r="4532" spans="1:16" x14ac:dyDescent="0.3">
      <c r="A4532" s="12" t="s">
        <v>96</v>
      </c>
      <c r="B4532" s="12" t="s">
        <v>159</v>
      </c>
      <c r="C4532" s="12" t="s">
        <v>123</v>
      </c>
      <c r="D4532" s="12" t="s">
        <v>110</v>
      </c>
      <c r="E4532" s="12" t="s">
        <v>114</v>
      </c>
      <c r="F4532" s="12" t="s">
        <v>41</v>
      </c>
      <c r="G4532" s="20">
        <v>45464</v>
      </c>
      <c r="H4532" s="20">
        <v>45467</v>
      </c>
      <c r="I4532" s="20">
        <v>45471</v>
      </c>
      <c r="J4532" s="12">
        <v>1100</v>
      </c>
      <c r="K4532" s="12">
        <v>25.94</v>
      </c>
      <c r="L4532" s="12">
        <v>0</v>
      </c>
      <c r="M4532" s="12">
        <v>9.4310000000000005E-2</v>
      </c>
      <c r="N4532" s="12">
        <v>103.74</v>
      </c>
      <c r="O4532" s="12">
        <v>77.8</v>
      </c>
      <c r="P4532" s="12" t="s">
        <v>291</v>
      </c>
    </row>
    <row r="4533" spans="1:16" x14ac:dyDescent="0.3">
      <c r="A4533" s="12" t="s">
        <v>96</v>
      </c>
      <c r="B4533" s="12" t="s">
        <v>159</v>
      </c>
      <c r="C4533" s="12" t="s">
        <v>123</v>
      </c>
      <c r="D4533" s="12" t="s">
        <v>110</v>
      </c>
      <c r="E4533" s="12" t="s">
        <v>114</v>
      </c>
      <c r="F4533" s="12" t="s">
        <v>41</v>
      </c>
      <c r="G4533" s="20">
        <v>45471</v>
      </c>
      <c r="H4533" s="20">
        <v>45467</v>
      </c>
      <c r="I4533" s="20">
        <v>45471</v>
      </c>
      <c r="J4533" s="12">
        <v>1100</v>
      </c>
      <c r="K4533" s="12">
        <v>-25.94</v>
      </c>
      <c r="L4533" s="12">
        <v>0</v>
      </c>
      <c r="M4533" s="12">
        <v>9.4310000000000005E-2</v>
      </c>
      <c r="N4533" s="12">
        <v>-103.74</v>
      </c>
      <c r="O4533" s="12">
        <v>-77.8</v>
      </c>
      <c r="P4533" s="12" t="s">
        <v>292</v>
      </c>
    </row>
    <row r="4534" spans="1:16" x14ac:dyDescent="0.3">
      <c r="A4534" s="12" t="s">
        <v>96</v>
      </c>
      <c r="B4534" s="12" t="s">
        <v>159</v>
      </c>
      <c r="C4534" s="12" t="s">
        <v>123</v>
      </c>
      <c r="D4534" s="12" t="s">
        <v>110</v>
      </c>
      <c r="E4534" s="12" t="s">
        <v>114</v>
      </c>
      <c r="F4534" s="12" t="s">
        <v>79</v>
      </c>
      <c r="G4534" s="20">
        <v>45464</v>
      </c>
      <c r="H4534" s="20">
        <v>45467</v>
      </c>
      <c r="I4534" s="20">
        <v>45469</v>
      </c>
      <c r="J4534" s="12">
        <v>80</v>
      </c>
      <c r="K4534" s="12">
        <v>8.43</v>
      </c>
      <c r="L4534" s="12">
        <v>0</v>
      </c>
      <c r="M4534" s="12">
        <v>0.42125899999999999</v>
      </c>
      <c r="N4534" s="12">
        <v>33.700000000000003</v>
      </c>
      <c r="O4534" s="12">
        <v>25.27</v>
      </c>
      <c r="P4534" s="12" t="s">
        <v>291</v>
      </c>
    </row>
    <row r="4535" spans="1:16" x14ac:dyDescent="0.3">
      <c r="A4535" s="12" t="s">
        <v>96</v>
      </c>
      <c r="B4535" s="12" t="s">
        <v>159</v>
      </c>
      <c r="C4535" s="12" t="s">
        <v>123</v>
      </c>
      <c r="D4535" s="12" t="s">
        <v>110</v>
      </c>
      <c r="E4535" s="12" t="s">
        <v>114</v>
      </c>
      <c r="F4535" s="12" t="s">
        <v>79</v>
      </c>
      <c r="G4535" s="20">
        <v>45469</v>
      </c>
      <c r="H4535" s="20">
        <v>45467</v>
      </c>
      <c r="I4535" s="20">
        <v>45469</v>
      </c>
      <c r="J4535" s="12">
        <v>80</v>
      </c>
      <c r="K4535" s="12">
        <v>-8.43</v>
      </c>
      <c r="L4535" s="12">
        <v>0</v>
      </c>
      <c r="M4535" s="12">
        <v>0.42125899999999999</v>
      </c>
      <c r="N4535" s="12">
        <v>-33.700000000000003</v>
      </c>
      <c r="O4535" s="12">
        <v>-25.27</v>
      </c>
      <c r="P4535" s="12" t="s">
        <v>292</v>
      </c>
    </row>
    <row r="4536" spans="1:16" x14ac:dyDescent="0.3">
      <c r="A4536" s="12" t="s">
        <v>96</v>
      </c>
      <c r="B4536" s="12" t="s">
        <v>159</v>
      </c>
      <c r="C4536" s="12" t="s">
        <v>123</v>
      </c>
      <c r="D4536" s="12" t="s">
        <v>110</v>
      </c>
      <c r="E4536" s="12" t="s">
        <v>114</v>
      </c>
      <c r="F4536" s="12" t="s">
        <v>42</v>
      </c>
      <c r="G4536" s="20">
        <v>45366</v>
      </c>
      <c r="H4536" s="20">
        <v>45369</v>
      </c>
      <c r="I4536" s="20">
        <v>45372</v>
      </c>
      <c r="J4536" s="12">
        <v>50</v>
      </c>
      <c r="K4536" s="12">
        <v>4.24</v>
      </c>
      <c r="L4536" s="12">
        <v>0</v>
      </c>
      <c r="M4536" s="12">
        <v>0.33919899999999997</v>
      </c>
      <c r="N4536" s="12">
        <v>16.96</v>
      </c>
      <c r="O4536" s="12">
        <v>12.72</v>
      </c>
      <c r="P4536" s="12" t="s">
        <v>291</v>
      </c>
    </row>
    <row r="4537" spans="1:16" x14ac:dyDescent="0.3">
      <c r="A4537" s="12" t="s">
        <v>96</v>
      </c>
      <c r="B4537" s="12" t="s">
        <v>159</v>
      </c>
      <c r="C4537" s="12" t="s">
        <v>123</v>
      </c>
      <c r="D4537" s="12" t="s">
        <v>110</v>
      </c>
      <c r="E4537" s="12" t="s">
        <v>114</v>
      </c>
      <c r="F4537" s="12" t="s">
        <v>42</v>
      </c>
      <c r="G4537" s="20">
        <v>45372</v>
      </c>
      <c r="H4537" s="20">
        <v>45369</v>
      </c>
      <c r="I4537" s="20">
        <v>45372</v>
      </c>
      <c r="J4537" s="12">
        <v>50</v>
      </c>
      <c r="K4537" s="12">
        <v>-4.24</v>
      </c>
      <c r="L4537" s="12">
        <v>0</v>
      </c>
      <c r="M4537" s="12">
        <v>0.33919899999999997</v>
      </c>
      <c r="N4537" s="12">
        <v>-16.96</v>
      </c>
      <c r="O4537" s="12">
        <v>-12.72</v>
      </c>
      <c r="P4537" s="12" t="s">
        <v>292</v>
      </c>
    </row>
    <row r="4538" spans="1:16" x14ac:dyDescent="0.3">
      <c r="A4538" s="12" t="s">
        <v>96</v>
      </c>
      <c r="B4538" s="12" t="s">
        <v>159</v>
      </c>
      <c r="C4538" s="12" t="s">
        <v>123</v>
      </c>
      <c r="D4538" s="12" t="s">
        <v>110</v>
      </c>
      <c r="E4538" s="12" t="s">
        <v>114</v>
      </c>
      <c r="F4538" s="12" t="s">
        <v>42</v>
      </c>
      <c r="G4538" s="20">
        <v>45464</v>
      </c>
      <c r="H4538" s="20">
        <v>45467</v>
      </c>
      <c r="I4538" s="20">
        <v>45469</v>
      </c>
      <c r="J4538" s="12">
        <v>150</v>
      </c>
      <c r="K4538" s="12">
        <v>15</v>
      </c>
      <c r="L4538" s="12">
        <v>0</v>
      </c>
      <c r="M4538" s="12">
        <v>0.400001</v>
      </c>
      <c r="N4538" s="12">
        <v>60</v>
      </c>
      <c r="O4538" s="12">
        <v>45</v>
      </c>
      <c r="P4538" s="12" t="s">
        <v>291</v>
      </c>
    </row>
    <row r="4539" spans="1:16" x14ac:dyDescent="0.3">
      <c r="A4539" s="12" t="s">
        <v>96</v>
      </c>
      <c r="B4539" s="12" t="s">
        <v>159</v>
      </c>
      <c r="C4539" s="12" t="s">
        <v>123</v>
      </c>
      <c r="D4539" s="12" t="s">
        <v>110</v>
      </c>
      <c r="E4539" s="12" t="s">
        <v>114</v>
      </c>
      <c r="F4539" s="12" t="s">
        <v>42</v>
      </c>
      <c r="G4539" s="20">
        <v>45469</v>
      </c>
      <c r="H4539" s="20">
        <v>45467</v>
      </c>
      <c r="I4539" s="20">
        <v>45469</v>
      </c>
      <c r="J4539" s="12">
        <v>150</v>
      </c>
      <c r="K4539" s="12">
        <v>-15</v>
      </c>
      <c r="L4539" s="12">
        <v>0</v>
      </c>
      <c r="M4539" s="12">
        <v>0.400001</v>
      </c>
      <c r="N4539" s="12">
        <v>-60</v>
      </c>
      <c r="O4539" s="12">
        <v>-45</v>
      </c>
      <c r="P4539" s="12" t="s">
        <v>292</v>
      </c>
    </row>
    <row r="4540" spans="1:16" x14ac:dyDescent="0.3">
      <c r="A4540" s="12" t="s">
        <v>96</v>
      </c>
      <c r="B4540" s="12" t="s">
        <v>159</v>
      </c>
      <c r="C4540" s="12" t="s">
        <v>123</v>
      </c>
      <c r="D4540" s="12" t="s">
        <v>110</v>
      </c>
      <c r="E4540" s="12" t="s">
        <v>114</v>
      </c>
      <c r="F4540" s="12" t="s">
        <v>43</v>
      </c>
      <c r="G4540" s="20">
        <v>45366</v>
      </c>
      <c r="H4540" s="20">
        <v>45369</v>
      </c>
      <c r="I4540" s="20">
        <v>45372</v>
      </c>
      <c r="J4540" s="12">
        <v>80</v>
      </c>
      <c r="K4540" s="12">
        <v>10.39</v>
      </c>
      <c r="L4540" s="12">
        <v>0</v>
      </c>
      <c r="M4540" s="12">
        <v>0.51955499999999999</v>
      </c>
      <c r="N4540" s="12">
        <v>41.57</v>
      </c>
      <c r="O4540" s="12">
        <v>31.18</v>
      </c>
      <c r="P4540" s="12" t="s">
        <v>291</v>
      </c>
    </row>
    <row r="4541" spans="1:16" x14ac:dyDescent="0.3">
      <c r="A4541" s="12" t="s">
        <v>96</v>
      </c>
      <c r="B4541" s="12" t="s">
        <v>159</v>
      </c>
      <c r="C4541" s="12" t="s">
        <v>123</v>
      </c>
      <c r="D4541" s="12" t="s">
        <v>110</v>
      </c>
      <c r="E4541" s="12" t="s">
        <v>114</v>
      </c>
      <c r="F4541" s="12" t="s">
        <v>43</v>
      </c>
      <c r="G4541" s="20">
        <v>45366</v>
      </c>
      <c r="H4541" s="20">
        <v>45369</v>
      </c>
      <c r="I4541" s="20">
        <v>45372</v>
      </c>
      <c r="J4541" s="12">
        <v>80</v>
      </c>
      <c r="K4541" s="12">
        <v>10.39</v>
      </c>
      <c r="L4541" s="12">
        <v>0</v>
      </c>
      <c r="M4541" s="12">
        <v>0.51955499999999999</v>
      </c>
      <c r="N4541" s="12">
        <v>41.56</v>
      </c>
      <c r="O4541" s="12">
        <v>31.17</v>
      </c>
      <c r="P4541" s="12" t="s">
        <v>291</v>
      </c>
    </row>
    <row r="4542" spans="1:16" x14ac:dyDescent="0.3">
      <c r="A4542" s="12" t="s">
        <v>96</v>
      </c>
      <c r="B4542" s="12" t="s">
        <v>159</v>
      </c>
      <c r="C4542" s="12" t="s">
        <v>123</v>
      </c>
      <c r="D4542" s="12" t="s">
        <v>110</v>
      </c>
      <c r="E4542" s="12" t="s">
        <v>114</v>
      </c>
      <c r="F4542" s="12" t="s">
        <v>43</v>
      </c>
      <c r="G4542" s="20">
        <v>45366</v>
      </c>
      <c r="H4542" s="20">
        <v>45369</v>
      </c>
      <c r="I4542" s="20">
        <v>45372</v>
      </c>
      <c r="J4542" s="12">
        <v>80</v>
      </c>
      <c r="K4542" s="12">
        <v>-10.39</v>
      </c>
      <c r="L4542" s="12">
        <v>0</v>
      </c>
      <c r="M4542" s="12">
        <v>0.51955499999999999</v>
      </c>
      <c r="N4542" s="12">
        <v>-41.57</v>
      </c>
      <c r="O4542" s="12">
        <v>-31.18</v>
      </c>
      <c r="P4542" s="12" t="s">
        <v>292</v>
      </c>
    </row>
    <row r="4543" spans="1:16" x14ac:dyDescent="0.3">
      <c r="A4543" s="12" t="s">
        <v>96</v>
      </c>
      <c r="B4543" s="12" t="s">
        <v>159</v>
      </c>
      <c r="C4543" s="12" t="s">
        <v>123</v>
      </c>
      <c r="D4543" s="12" t="s">
        <v>110</v>
      </c>
      <c r="E4543" s="12" t="s">
        <v>114</v>
      </c>
      <c r="F4543" s="12" t="s">
        <v>43</v>
      </c>
      <c r="G4543" s="20">
        <v>45372</v>
      </c>
      <c r="H4543" s="20">
        <v>45369</v>
      </c>
      <c r="I4543" s="20">
        <v>45372</v>
      </c>
      <c r="J4543" s="12">
        <v>80</v>
      </c>
      <c r="K4543" s="12">
        <v>-10.39</v>
      </c>
      <c r="L4543" s="12">
        <v>0</v>
      </c>
      <c r="M4543" s="12">
        <v>0.51955499999999999</v>
      </c>
      <c r="N4543" s="12">
        <v>-41.56</v>
      </c>
      <c r="O4543" s="12">
        <v>-31.17</v>
      </c>
      <c r="P4543" s="12" t="s">
        <v>292</v>
      </c>
    </row>
    <row r="4544" spans="1:16" x14ac:dyDescent="0.3">
      <c r="A4544" s="12" t="s">
        <v>96</v>
      </c>
      <c r="B4544" s="12" t="s">
        <v>159</v>
      </c>
      <c r="C4544" s="12" t="s">
        <v>123</v>
      </c>
      <c r="D4544" s="12" t="s">
        <v>110</v>
      </c>
      <c r="E4544" s="12" t="s">
        <v>114</v>
      </c>
      <c r="F4544" s="12" t="s">
        <v>43</v>
      </c>
      <c r="G4544" s="20">
        <v>45464</v>
      </c>
      <c r="H4544" s="20">
        <v>45467</v>
      </c>
      <c r="I4544" s="20">
        <v>45469</v>
      </c>
      <c r="J4544" s="12">
        <v>230</v>
      </c>
      <c r="K4544" s="12">
        <v>31.92</v>
      </c>
      <c r="L4544" s="12">
        <v>0</v>
      </c>
      <c r="M4544" s="12">
        <v>0.55507499999999999</v>
      </c>
      <c r="N4544" s="12">
        <v>127.67</v>
      </c>
      <c r="O4544" s="12">
        <v>95.75</v>
      </c>
      <c r="P4544" s="12" t="s">
        <v>291</v>
      </c>
    </row>
    <row r="4545" spans="1:16" x14ac:dyDescent="0.3">
      <c r="A4545" s="12" t="s">
        <v>96</v>
      </c>
      <c r="B4545" s="12" t="s">
        <v>159</v>
      </c>
      <c r="C4545" s="12" t="s">
        <v>123</v>
      </c>
      <c r="D4545" s="12" t="s">
        <v>110</v>
      </c>
      <c r="E4545" s="12" t="s">
        <v>114</v>
      </c>
      <c r="F4545" s="12" t="s">
        <v>43</v>
      </c>
      <c r="G4545" s="20">
        <v>45469</v>
      </c>
      <c r="H4545" s="20">
        <v>45467</v>
      </c>
      <c r="I4545" s="20">
        <v>45469</v>
      </c>
      <c r="J4545" s="12">
        <v>230</v>
      </c>
      <c r="K4545" s="12">
        <v>-31.92</v>
      </c>
      <c r="L4545" s="12">
        <v>0</v>
      </c>
      <c r="M4545" s="12">
        <v>0.55507499999999999</v>
      </c>
      <c r="N4545" s="12">
        <v>-127.67</v>
      </c>
      <c r="O4545" s="12">
        <v>-95.75</v>
      </c>
      <c r="P4545" s="12" t="s">
        <v>292</v>
      </c>
    </row>
    <row r="4546" spans="1:16" x14ac:dyDescent="0.3">
      <c r="A4546" s="12" t="s">
        <v>96</v>
      </c>
      <c r="B4546" s="12" t="s">
        <v>159</v>
      </c>
      <c r="C4546" s="12" t="s">
        <v>123</v>
      </c>
      <c r="D4546" s="12" t="s">
        <v>110</v>
      </c>
      <c r="E4546" s="12" t="s">
        <v>114</v>
      </c>
      <c r="F4546" s="12" t="s">
        <v>44</v>
      </c>
      <c r="G4546" s="20">
        <v>45366</v>
      </c>
      <c r="H4546" s="20">
        <v>45369</v>
      </c>
      <c r="I4546" s="20">
        <v>45372</v>
      </c>
      <c r="J4546" s="12">
        <v>30</v>
      </c>
      <c r="K4546" s="12">
        <v>3.93</v>
      </c>
      <c r="L4546" s="12">
        <v>0</v>
      </c>
      <c r="M4546" s="12">
        <v>0.52294099999999999</v>
      </c>
      <c r="N4546" s="12">
        <v>15.69</v>
      </c>
      <c r="O4546" s="12">
        <v>11.76</v>
      </c>
      <c r="P4546" s="12" t="s">
        <v>291</v>
      </c>
    </row>
    <row r="4547" spans="1:16" x14ac:dyDescent="0.3">
      <c r="A4547" s="12" t="s">
        <v>96</v>
      </c>
      <c r="B4547" s="12" t="s">
        <v>159</v>
      </c>
      <c r="C4547" s="12" t="s">
        <v>123</v>
      </c>
      <c r="D4547" s="12" t="s">
        <v>110</v>
      </c>
      <c r="E4547" s="12" t="s">
        <v>114</v>
      </c>
      <c r="F4547" s="12" t="s">
        <v>44</v>
      </c>
      <c r="G4547" s="20">
        <v>45366</v>
      </c>
      <c r="H4547" s="20">
        <v>45369</v>
      </c>
      <c r="I4547" s="20">
        <v>45372</v>
      </c>
      <c r="J4547" s="12">
        <v>30</v>
      </c>
      <c r="K4547" s="12">
        <v>3.92</v>
      </c>
      <c r="L4547" s="12">
        <v>0</v>
      </c>
      <c r="M4547" s="12">
        <v>0.52294099999999999</v>
      </c>
      <c r="N4547" s="12">
        <v>15.69</v>
      </c>
      <c r="O4547" s="12">
        <v>11.77</v>
      </c>
      <c r="P4547" s="12" t="s">
        <v>291</v>
      </c>
    </row>
    <row r="4548" spans="1:16" x14ac:dyDescent="0.3">
      <c r="A4548" s="12" t="s">
        <v>96</v>
      </c>
      <c r="B4548" s="12" t="s">
        <v>159</v>
      </c>
      <c r="C4548" s="12" t="s">
        <v>123</v>
      </c>
      <c r="D4548" s="12" t="s">
        <v>110</v>
      </c>
      <c r="E4548" s="12" t="s">
        <v>114</v>
      </c>
      <c r="F4548" s="12" t="s">
        <v>44</v>
      </c>
      <c r="G4548" s="20">
        <v>45366</v>
      </c>
      <c r="H4548" s="20">
        <v>45369</v>
      </c>
      <c r="I4548" s="20">
        <v>45372</v>
      </c>
      <c r="J4548" s="12">
        <v>30</v>
      </c>
      <c r="K4548" s="12">
        <v>-3.92</v>
      </c>
      <c r="L4548" s="12">
        <v>0</v>
      </c>
      <c r="M4548" s="12">
        <v>0.52294099999999999</v>
      </c>
      <c r="N4548" s="12">
        <v>-15.68</v>
      </c>
      <c r="O4548" s="12">
        <v>-11.76</v>
      </c>
      <c r="P4548" s="12" t="s">
        <v>292</v>
      </c>
    </row>
    <row r="4549" spans="1:16" x14ac:dyDescent="0.3">
      <c r="A4549" s="12" t="s">
        <v>96</v>
      </c>
      <c r="B4549" s="12" t="s">
        <v>159</v>
      </c>
      <c r="C4549" s="12" t="s">
        <v>123</v>
      </c>
      <c r="D4549" s="12" t="s">
        <v>110</v>
      </c>
      <c r="E4549" s="12" t="s">
        <v>114</v>
      </c>
      <c r="F4549" s="12" t="s">
        <v>44</v>
      </c>
      <c r="G4549" s="20">
        <v>45372</v>
      </c>
      <c r="H4549" s="20">
        <v>45369</v>
      </c>
      <c r="I4549" s="20">
        <v>45372</v>
      </c>
      <c r="J4549" s="12">
        <v>30</v>
      </c>
      <c r="K4549" s="12">
        <v>-3.92</v>
      </c>
      <c r="L4549" s="12">
        <v>0</v>
      </c>
      <c r="M4549" s="12">
        <v>0.52294099999999999</v>
      </c>
      <c r="N4549" s="12">
        <v>-15.69</v>
      </c>
      <c r="O4549" s="12">
        <v>-11.77</v>
      </c>
      <c r="P4549" s="12" t="s">
        <v>292</v>
      </c>
    </row>
    <row r="4550" spans="1:16" x14ac:dyDescent="0.3">
      <c r="A4550" s="12" t="s">
        <v>96</v>
      </c>
      <c r="B4550" s="12" t="s">
        <v>159</v>
      </c>
      <c r="C4550" s="12" t="s">
        <v>123</v>
      </c>
      <c r="D4550" s="12" t="s">
        <v>110</v>
      </c>
      <c r="E4550" s="12" t="s">
        <v>114</v>
      </c>
      <c r="F4550" s="12" t="s">
        <v>44</v>
      </c>
      <c r="G4550" s="20">
        <v>45464</v>
      </c>
      <c r="H4550" s="20">
        <v>45467</v>
      </c>
      <c r="I4550" s="20">
        <v>45469</v>
      </c>
      <c r="J4550" s="12">
        <v>60</v>
      </c>
      <c r="K4550" s="12">
        <v>8.59</v>
      </c>
      <c r="L4550" s="12">
        <v>0</v>
      </c>
      <c r="M4550" s="12">
        <v>0.57253299999999996</v>
      </c>
      <c r="N4550" s="12">
        <v>34.35</v>
      </c>
      <c r="O4550" s="12">
        <v>25.76</v>
      </c>
      <c r="P4550" s="12" t="s">
        <v>291</v>
      </c>
    </row>
    <row r="4551" spans="1:16" x14ac:dyDescent="0.3">
      <c r="A4551" s="12" t="s">
        <v>96</v>
      </c>
      <c r="B4551" s="12" t="s">
        <v>159</v>
      </c>
      <c r="C4551" s="12" t="s">
        <v>123</v>
      </c>
      <c r="D4551" s="12" t="s">
        <v>110</v>
      </c>
      <c r="E4551" s="12" t="s">
        <v>114</v>
      </c>
      <c r="F4551" s="12" t="s">
        <v>44</v>
      </c>
      <c r="G4551" s="20">
        <v>45469</v>
      </c>
      <c r="H4551" s="20">
        <v>45467</v>
      </c>
      <c r="I4551" s="20">
        <v>45469</v>
      </c>
      <c r="J4551" s="12">
        <v>60</v>
      </c>
      <c r="K4551" s="12">
        <v>-8.59</v>
      </c>
      <c r="L4551" s="12">
        <v>0</v>
      </c>
      <c r="M4551" s="12">
        <v>0.57253299999999996</v>
      </c>
      <c r="N4551" s="12">
        <v>-34.35</v>
      </c>
      <c r="O4551" s="12">
        <v>-25.76</v>
      </c>
      <c r="P4551" s="12" t="s">
        <v>292</v>
      </c>
    </row>
    <row r="4552" spans="1:16" x14ac:dyDescent="0.3">
      <c r="A4552" s="12" t="s">
        <v>96</v>
      </c>
      <c r="B4552" s="12" t="s">
        <v>159</v>
      </c>
      <c r="C4552" s="12" t="s">
        <v>123</v>
      </c>
      <c r="D4552" s="12" t="s">
        <v>110</v>
      </c>
      <c r="E4552" s="12" t="s">
        <v>114</v>
      </c>
      <c r="F4552" s="12" t="s">
        <v>35</v>
      </c>
      <c r="G4552" s="20">
        <v>45334</v>
      </c>
      <c r="H4552" s="20">
        <v>45335</v>
      </c>
      <c r="I4552" s="20">
        <v>45362</v>
      </c>
      <c r="J4552" s="12">
        <v>100</v>
      </c>
      <c r="K4552" s="12">
        <v>28.51</v>
      </c>
      <c r="L4552" s="12">
        <v>0</v>
      </c>
      <c r="M4552" s="12">
        <v>0.95</v>
      </c>
      <c r="N4552" s="12">
        <v>95</v>
      </c>
      <c r="O4552" s="12">
        <v>66.489999999999995</v>
      </c>
      <c r="P4552" s="12" t="s">
        <v>291</v>
      </c>
    </row>
    <row r="4553" spans="1:16" x14ac:dyDescent="0.3">
      <c r="A4553" s="12" t="s">
        <v>96</v>
      </c>
      <c r="B4553" s="12" t="s">
        <v>159</v>
      </c>
      <c r="C4553" s="12" t="s">
        <v>123</v>
      </c>
      <c r="D4553" s="12" t="s">
        <v>110</v>
      </c>
      <c r="E4553" s="12" t="s">
        <v>114</v>
      </c>
      <c r="F4553" s="12" t="s">
        <v>35</v>
      </c>
      <c r="G4553" s="20">
        <v>45334</v>
      </c>
      <c r="H4553" s="20">
        <v>45335</v>
      </c>
      <c r="I4553" s="20">
        <v>45362</v>
      </c>
      <c r="J4553" s="12">
        <v>100</v>
      </c>
      <c r="K4553" s="12">
        <v>28.5</v>
      </c>
      <c r="L4553" s="12">
        <v>0</v>
      </c>
      <c r="M4553" s="12">
        <v>0.95</v>
      </c>
      <c r="N4553" s="12">
        <v>95</v>
      </c>
      <c r="O4553" s="12">
        <v>66.5</v>
      </c>
      <c r="P4553" s="12" t="s">
        <v>291</v>
      </c>
    </row>
    <row r="4554" spans="1:16" x14ac:dyDescent="0.3">
      <c r="A4554" s="12" t="s">
        <v>96</v>
      </c>
      <c r="B4554" s="12" t="s">
        <v>159</v>
      </c>
      <c r="C4554" s="12" t="s">
        <v>123</v>
      </c>
      <c r="D4554" s="12" t="s">
        <v>110</v>
      </c>
      <c r="E4554" s="12" t="s">
        <v>114</v>
      </c>
      <c r="F4554" s="12" t="s">
        <v>35</v>
      </c>
      <c r="G4554" s="20">
        <v>45334</v>
      </c>
      <c r="H4554" s="20">
        <v>45335</v>
      </c>
      <c r="I4554" s="20">
        <v>45362</v>
      </c>
      <c r="J4554" s="12">
        <v>100</v>
      </c>
      <c r="K4554" s="12">
        <v>23.75</v>
      </c>
      <c r="L4554" s="12">
        <v>0</v>
      </c>
      <c r="M4554" s="12">
        <v>0.95</v>
      </c>
      <c r="N4554" s="12">
        <v>95</v>
      </c>
      <c r="O4554" s="12">
        <v>71.25</v>
      </c>
      <c r="P4554" s="12" t="s">
        <v>291</v>
      </c>
    </row>
    <row r="4555" spans="1:16" x14ac:dyDescent="0.3">
      <c r="A4555" s="12" t="s">
        <v>96</v>
      </c>
      <c r="B4555" s="12" t="s">
        <v>159</v>
      </c>
      <c r="C4555" s="12" t="s">
        <v>123</v>
      </c>
      <c r="D4555" s="12" t="s">
        <v>110</v>
      </c>
      <c r="E4555" s="12" t="s">
        <v>114</v>
      </c>
      <c r="F4555" s="12" t="s">
        <v>35</v>
      </c>
      <c r="G4555" s="20">
        <v>45334</v>
      </c>
      <c r="H4555" s="20">
        <v>45335</v>
      </c>
      <c r="I4555" s="20">
        <v>45362</v>
      </c>
      <c r="J4555" s="12">
        <v>100</v>
      </c>
      <c r="K4555" s="12">
        <v>-28.51</v>
      </c>
      <c r="L4555" s="12">
        <v>0</v>
      </c>
      <c r="M4555" s="12">
        <v>0.95</v>
      </c>
      <c r="N4555" s="12">
        <v>-95</v>
      </c>
      <c r="O4555" s="12">
        <v>-66.489999999999995</v>
      </c>
      <c r="P4555" s="12" t="s">
        <v>292</v>
      </c>
    </row>
    <row r="4556" spans="1:16" x14ac:dyDescent="0.3">
      <c r="A4556" s="12" t="s">
        <v>96</v>
      </c>
      <c r="B4556" s="12" t="s">
        <v>159</v>
      </c>
      <c r="C4556" s="12" t="s">
        <v>123</v>
      </c>
      <c r="D4556" s="12" t="s">
        <v>110</v>
      </c>
      <c r="E4556" s="12" t="s">
        <v>114</v>
      </c>
      <c r="F4556" s="12" t="s">
        <v>35</v>
      </c>
      <c r="G4556" s="20">
        <v>45334</v>
      </c>
      <c r="H4556" s="20">
        <v>45335</v>
      </c>
      <c r="I4556" s="20">
        <v>45362</v>
      </c>
      <c r="J4556" s="12">
        <v>100</v>
      </c>
      <c r="K4556" s="12">
        <v>-28.5</v>
      </c>
      <c r="L4556" s="12">
        <v>0</v>
      </c>
      <c r="M4556" s="12">
        <v>0.95</v>
      </c>
      <c r="N4556" s="12">
        <v>-95</v>
      </c>
      <c r="O4556" s="12">
        <v>-66.5</v>
      </c>
      <c r="P4556" s="12" t="s">
        <v>292</v>
      </c>
    </row>
    <row r="4557" spans="1:16" x14ac:dyDescent="0.3">
      <c r="A4557" s="12" t="s">
        <v>96</v>
      </c>
      <c r="B4557" s="12" t="s">
        <v>159</v>
      </c>
      <c r="C4557" s="12" t="s">
        <v>123</v>
      </c>
      <c r="D4557" s="12" t="s">
        <v>110</v>
      </c>
      <c r="E4557" s="12" t="s">
        <v>114</v>
      </c>
      <c r="F4557" s="12" t="s">
        <v>35</v>
      </c>
      <c r="G4557" s="20">
        <v>45362</v>
      </c>
      <c r="H4557" s="20">
        <v>45335</v>
      </c>
      <c r="I4557" s="20">
        <v>45362</v>
      </c>
      <c r="J4557" s="12">
        <v>100</v>
      </c>
      <c r="K4557" s="12">
        <v>-23.75</v>
      </c>
      <c r="L4557" s="12">
        <v>0</v>
      </c>
      <c r="M4557" s="12">
        <v>0.95</v>
      </c>
      <c r="N4557" s="12">
        <v>-95</v>
      </c>
      <c r="O4557" s="12">
        <v>-71.25</v>
      </c>
      <c r="P4557" s="12" t="s">
        <v>292</v>
      </c>
    </row>
    <row r="4558" spans="1:16" x14ac:dyDescent="0.3">
      <c r="A4558" s="12" t="s">
        <v>96</v>
      </c>
      <c r="B4558" s="12" t="s">
        <v>159</v>
      </c>
      <c r="C4558" s="12" t="s">
        <v>123</v>
      </c>
      <c r="D4558" s="12" t="s">
        <v>110</v>
      </c>
      <c r="E4558" s="12" t="s">
        <v>114</v>
      </c>
      <c r="F4558" s="12" t="s">
        <v>35</v>
      </c>
      <c r="G4558" s="20">
        <v>45425</v>
      </c>
      <c r="H4558" s="20">
        <v>45426</v>
      </c>
      <c r="I4558" s="20">
        <v>45453</v>
      </c>
      <c r="J4558" s="12">
        <v>100</v>
      </c>
      <c r="K4558" s="12">
        <v>23.75</v>
      </c>
      <c r="L4558" s="12">
        <v>0</v>
      </c>
      <c r="M4558" s="12">
        <v>0.95</v>
      </c>
      <c r="N4558" s="12">
        <v>95</v>
      </c>
      <c r="O4558" s="12">
        <v>71.25</v>
      </c>
      <c r="P4558" s="12" t="s">
        <v>291</v>
      </c>
    </row>
    <row r="4559" spans="1:16" x14ac:dyDescent="0.3">
      <c r="A4559" s="12" t="s">
        <v>96</v>
      </c>
      <c r="B4559" s="12" t="s">
        <v>159</v>
      </c>
      <c r="C4559" s="12" t="s">
        <v>123</v>
      </c>
      <c r="D4559" s="12" t="s">
        <v>110</v>
      </c>
      <c r="E4559" s="12" t="s">
        <v>114</v>
      </c>
      <c r="F4559" s="12" t="s">
        <v>35</v>
      </c>
      <c r="G4559" s="20">
        <v>45453</v>
      </c>
      <c r="H4559" s="20">
        <v>45426</v>
      </c>
      <c r="I4559" s="20">
        <v>45453</v>
      </c>
      <c r="J4559" s="12">
        <v>100</v>
      </c>
      <c r="K4559" s="12">
        <v>-23.75</v>
      </c>
      <c r="L4559" s="12">
        <v>0</v>
      </c>
      <c r="M4559" s="12">
        <v>0.95</v>
      </c>
      <c r="N4559" s="12">
        <v>-95</v>
      </c>
      <c r="O4559" s="12">
        <v>-71.25</v>
      </c>
      <c r="P4559" s="12" t="s">
        <v>292</v>
      </c>
    </row>
    <row r="4560" spans="1:16" x14ac:dyDescent="0.3">
      <c r="A4560" s="12" t="s">
        <v>96</v>
      </c>
      <c r="B4560" s="12" t="s">
        <v>159</v>
      </c>
      <c r="C4560" s="12" t="s">
        <v>123</v>
      </c>
      <c r="D4560" s="12" t="s">
        <v>97</v>
      </c>
      <c r="K4560" s="12">
        <v>17.079999999999998</v>
      </c>
      <c r="L4560" s="12">
        <v>0.57999999999999996</v>
      </c>
      <c r="N4560" s="12">
        <v>68.260000000000005</v>
      </c>
      <c r="O4560" s="12">
        <v>50.6</v>
      </c>
    </row>
    <row r="4561" spans="1:15" x14ac:dyDescent="0.3">
      <c r="A4561" s="12" t="s">
        <v>96</v>
      </c>
      <c r="B4561" s="12" t="s">
        <v>159</v>
      </c>
      <c r="C4561" s="12" t="s">
        <v>123</v>
      </c>
      <c r="D4561" s="12" t="s">
        <v>293</v>
      </c>
      <c r="O4561" s="12">
        <v>50.6</v>
      </c>
    </row>
    <row r="4562" spans="1:15" x14ac:dyDescent="0.3">
      <c r="A4562" s="12" t="s">
        <v>96</v>
      </c>
      <c r="B4562" s="12" t="s">
        <v>294</v>
      </c>
      <c r="C4562" s="12" t="s">
        <v>120</v>
      </c>
      <c r="D4562" s="12" t="s">
        <v>100</v>
      </c>
      <c r="E4562" s="12" t="s">
        <v>0</v>
      </c>
      <c r="F4562" s="12" t="s">
        <v>269</v>
      </c>
      <c r="G4562" s="12" t="s">
        <v>295</v>
      </c>
      <c r="H4562" s="12" t="s">
        <v>296</v>
      </c>
      <c r="I4562" s="12" t="s">
        <v>297</v>
      </c>
      <c r="J4562" s="12" t="s">
        <v>298</v>
      </c>
      <c r="K4562" s="12" t="s">
        <v>299</v>
      </c>
      <c r="L4562" s="12" t="s">
        <v>165</v>
      </c>
    </row>
    <row r="4563" spans="1:15" x14ac:dyDescent="0.3">
      <c r="A4563" s="12" t="s">
        <v>96</v>
      </c>
      <c r="B4563" s="12" t="s">
        <v>294</v>
      </c>
      <c r="C4563" s="12" t="s">
        <v>123</v>
      </c>
      <c r="D4563" s="12" t="s">
        <v>110</v>
      </c>
      <c r="E4563" s="12" t="s">
        <v>2</v>
      </c>
      <c r="F4563" s="12" t="s">
        <v>300</v>
      </c>
      <c r="G4563" s="12">
        <v>265598</v>
      </c>
      <c r="H4563" s="12" t="s">
        <v>301</v>
      </c>
      <c r="I4563" s="12" t="s">
        <v>302</v>
      </c>
      <c r="J4563" s="12">
        <v>1</v>
      </c>
      <c r="K4563" s="12" t="s">
        <v>303</v>
      </c>
    </row>
    <row r="4564" spans="1:15" x14ac:dyDescent="0.3">
      <c r="A4564" s="12" t="s">
        <v>96</v>
      </c>
      <c r="B4564" s="12" t="s">
        <v>294</v>
      </c>
      <c r="C4564" s="12" t="s">
        <v>123</v>
      </c>
      <c r="D4564" s="12" t="s">
        <v>110</v>
      </c>
      <c r="E4564" s="12" t="s">
        <v>63</v>
      </c>
      <c r="F4564" s="12" t="s">
        <v>940</v>
      </c>
      <c r="G4564" s="12">
        <v>10763362</v>
      </c>
      <c r="H4564" s="12" t="s">
        <v>941</v>
      </c>
      <c r="I4564" s="12" t="s">
        <v>302</v>
      </c>
      <c r="J4564" s="12">
        <v>1</v>
      </c>
      <c r="K4564" s="12" t="s">
        <v>303</v>
      </c>
    </row>
    <row r="4565" spans="1:15" x14ac:dyDescent="0.3">
      <c r="A4565" s="12" t="s">
        <v>96</v>
      </c>
      <c r="B4565" s="12" t="s">
        <v>294</v>
      </c>
      <c r="C4565" s="12" t="s">
        <v>123</v>
      </c>
      <c r="D4565" s="12" t="s">
        <v>110</v>
      </c>
      <c r="E4565" s="12" t="s">
        <v>64</v>
      </c>
      <c r="F4565" s="12" t="s">
        <v>942</v>
      </c>
      <c r="G4565" s="12">
        <v>4157</v>
      </c>
      <c r="H4565" s="12" t="s">
        <v>943</v>
      </c>
      <c r="I4565" s="12" t="s">
        <v>302</v>
      </c>
      <c r="J4565" s="12">
        <v>1</v>
      </c>
      <c r="K4565" s="12" t="s">
        <v>303</v>
      </c>
    </row>
    <row r="4566" spans="1:15" x14ac:dyDescent="0.3">
      <c r="A4566" s="12" t="s">
        <v>96</v>
      </c>
      <c r="B4566" s="12" t="s">
        <v>294</v>
      </c>
      <c r="C4566" s="12" t="s">
        <v>123</v>
      </c>
      <c r="D4566" s="12" t="s">
        <v>110</v>
      </c>
      <c r="E4566" s="12" t="s">
        <v>45</v>
      </c>
      <c r="F4566" s="12" t="s">
        <v>692</v>
      </c>
      <c r="G4566" s="12">
        <v>4391</v>
      </c>
      <c r="H4566" s="12" t="s">
        <v>693</v>
      </c>
      <c r="I4566" s="12" t="s">
        <v>302</v>
      </c>
      <c r="J4566" s="12">
        <v>1</v>
      </c>
      <c r="K4566" s="12" t="s">
        <v>303</v>
      </c>
    </row>
    <row r="4567" spans="1:15" x14ac:dyDescent="0.3">
      <c r="A4567" s="12" t="s">
        <v>96</v>
      </c>
      <c r="B4567" s="12" t="s">
        <v>294</v>
      </c>
      <c r="C4567" s="12" t="s">
        <v>123</v>
      </c>
      <c r="D4567" s="12" t="s">
        <v>110</v>
      </c>
      <c r="E4567" s="12" t="s">
        <v>4</v>
      </c>
      <c r="F4567" s="12" t="s">
        <v>304</v>
      </c>
      <c r="G4567" s="12">
        <v>99831145</v>
      </c>
      <c r="H4567" s="12" t="s">
        <v>305</v>
      </c>
      <c r="I4567" s="12" t="s">
        <v>306</v>
      </c>
      <c r="J4567" s="12">
        <v>1</v>
      </c>
      <c r="K4567" s="12" t="s">
        <v>307</v>
      </c>
    </row>
    <row r="4568" spans="1:15" x14ac:dyDescent="0.3">
      <c r="A4568" s="12" t="s">
        <v>96</v>
      </c>
      <c r="B4568" s="12" t="s">
        <v>294</v>
      </c>
      <c r="C4568" s="12" t="s">
        <v>123</v>
      </c>
      <c r="D4568" s="12" t="s">
        <v>110</v>
      </c>
      <c r="E4568" s="12" t="s">
        <v>5</v>
      </c>
      <c r="F4568" s="12" t="s">
        <v>308</v>
      </c>
      <c r="G4568" s="12">
        <v>3691937</v>
      </c>
      <c r="H4568" s="12" t="s">
        <v>309</v>
      </c>
      <c r="I4568" s="12" t="s">
        <v>302</v>
      </c>
      <c r="J4568" s="12">
        <v>1</v>
      </c>
      <c r="K4568" s="12" t="s">
        <v>303</v>
      </c>
    </row>
    <row r="4569" spans="1:15" x14ac:dyDescent="0.3">
      <c r="A4569" s="12" t="s">
        <v>96</v>
      </c>
      <c r="B4569" s="12" t="s">
        <v>294</v>
      </c>
      <c r="C4569" s="12" t="s">
        <v>123</v>
      </c>
      <c r="D4569" s="12" t="s">
        <v>110</v>
      </c>
      <c r="E4569" s="12" t="s">
        <v>6</v>
      </c>
      <c r="F4569" s="12" t="s">
        <v>310</v>
      </c>
      <c r="G4569" s="12">
        <v>153912055</v>
      </c>
      <c r="H4569" s="12" t="s">
        <v>311</v>
      </c>
      <c r="I4569" s="12" t="s">
        <v>306</v>
      </c>
      <c r="J4569" s="12">
        <v>1</v>
      </c>
      <c r="K4569" s="12" t="s">
        <v>303</v>
      </c>
    </row>
    <row r="4570" spans="1:15" x14ac:dyDescent="0.3">
      <c r="A4570" s="12" t="s">
        <v>96</v>
      </c>
      <c r="B4570" s="12" t="s">
        <v>294</v>
      </c>
      <c r="C4570" s="12" t="s">
        <v>123</v>
      </c>
      <c r="D4570" s="12" t="s">
        <v>110</v>
      </c>
      <c r="E4570" s="12" t="s">
        <v>65</v>
      </c>
      <c r="F4570" s="12" t="s">
        <v>944</v>
      </c>
      <c r="G4570" s="12">
        <v>4493</v>
      </c>
      <c r="H4570" s="12" t="s">
        <v>945</v>
      </c>
      <c r="I4570" s="12" t="s">
        <v>306</v>
      </c>
      <c r="J4570" s="12">
        <v>1</v>
      </c>
      <c r="K4570" s="12" t="s">
        <v>303</v>
      </c>
    </row>
    <row r="4571" spans="1:15" x14ac:dyDescent="0.3">
      <c r="A4571" s="12" t="s">
        <v>96</v>
      </c>
      <c r="B4571" s="12" t="s">
        <v>294</v>
      </c>
      <c r="C4571" s="12" t="s">
        <v>123</v>
      </c>
      <c r="D4571" s="12" t="s">
        <v>110</v>
      </c>
      <c r="E4571" s="12" t="s">
        <v>58</v>
      </c>
      <c r="F4571" s="12" t="s">
        <v>834</v>
      </c>
      <c r="G4571" s="12">
        <v>653400472</v>
      </c>
      <c r="H4571" s="12" t="s">
        <v>835</v>
      </c>
      <c r="I4571" s="12" t="s">
        <v>302</v>
      </c>
      <c r="J4571" s="12">
        <v>1</v>
      </c>
      <c r="K4571" s="12" t="s">
        <v>382</v>
      </c>
    </row>
    <row r="4572" spans="1:15" x14ac:dyDescent="0.3">
      <c r="A4572" s="12" t="s">
        <v>96</v>
      </c>
      <c r="B4572" s="12" t="s">
        <v>294</v>
      </c>
      <c r="C4572" s="12" t="s">
        <v>123</v>
      </c>
      <c r="D4572" s="12" t="s">
        <v>110</v>
      </c>
      <c r="E4572" s="12" t="s">
        <v>7</v>
      </c>
      <c r="F4572" s="12" t="s">
        <v>312</v>
      </c>
      <c r="G4572" s="12">
        <v>313130367</v>
      </c>
      <c r="H4572" s="12" t="s">
        <v>313</v>
      </c>
      <c r="I4572" s="12" t="s">
        <v>302</v>
      </c>
      <c r="J4572" s="12">
        <v>1</v>
      </c>
      <c r="K4572" s="12" t="s">
        <v>303</v>
      </c>
    </row>
    <row r="4573" spans="1:15" x14ac:dyDescent="0.3">
      <c r="A4573" s="12" t="s">
        <v>96</v>
      </c>
      <c r="B4573" s="12" t="s">
        <v>294</v>
      </c>
      <c r="C4573" s="12" t="s">
        <v>123</v>
      </c>
      <c r="D4573" s="12" t="s">
        <v>110</v>
      </c>
      <c r="E4573" s="12" t="s">
        <v>8</v>
      </c>
      <c r="F4573" s="12" t="s">
        <v>314</v>
      </c>
      <c r="G4573" s="12">
        <v>10098</v>
      </c>
      <c r="H4573" s="12" t="s">
        <v>315</v>
      </c>
      <c r="I4573" s="12" t="s">
        <v>306</v>
      </c>
      <c r="J4573" s="12">
        <v>1</v>
      </c>
      <c r="K4573" s="12" t="s">
        <v>303</v>
      </c>
    </row>
    <row r="4574" spans="1:15" x14ac:dyDescent="0.3">
      <c r="A4574" s="12" t="s">
        <v>96</v>
      </c>
      <c r="B4574" s="12" t="s">
        <v>294</v>
      </c>
      <c r="C4574" s="12" t="s">
        <v>123</v>
      </c>
      <c r="D4574" s="12" t="s">
        <v>110</v>
      </c>
      <c r="E4574" s="12" t="s">
        <v>9</v>
      </c>
      <c r="F4574" s="12" t="s">
        <v>316</v>
      </c>
      <c r="G4574" s="12">
        <v>308728373</v>
      </c>
      <c r="H4574" s="12" t="s">
        <v>317</v>
      </c>
      <c r="I4574" s="12" t="s">
        <v>302</v>
      </c>
      <c r="J4574" s="12">
        <v>1</v>
      </c>
      <c r="K4574" s="12" t="s">
        <v>303</v>
      </c>
    </row>
    <row r="4575" spans="1:15" x14ac:dyDescent="0.3">
      <c r="A4575" s="12" t="s">
        <v>96</v>
      </c>
      <c r="B4575" s="12" t="s">
        <v>294</v>
      </c>
      <c r="C4575" s="12" t="s">
        <v>123</v>
      </c>
      <c r="D4575" s="12" t="s">
        <v>110</v>
      </c>
      <c r="E4575" s="12" t="s">
        <v>3</v>
      </c>
      <c r="F4575" s="12" t="s">
        <v>318</v>
      </c>
      <c r="G4575" s="12">
        <v>87335484</v>
      </c>
      <c r="H4575" s="12" t="s">
        <v>319</v>
      </c>
      <c r="I4575" s="12" t="s">
        <v>306</v>
      </c>
      <c r="J4575" s="12">
        <v>1</v>
      </c>
      <c r="K4575" s="12" t="s">
        <v>303</v>
      </c>
    </row>
    <row r="4576" spans="1:15" x14ac:dyDescent="0.3">
      <c r="A4576" s="12" t="s">
        <v>96</v>
      </c>
      <c r="B4576" s="12" t="s">
        <v>294</v>
      </c>
      <c r="C4576" s="12" t="s">
        <v>123</v>
      </c>
      <c r="D4576" s="12" t="s">
        <v>110</v>
      </c>
      <c r="E4576" s="12" t="s">
        <v>46</v>
      </c>
      <c r="F4576" s="12" t="s">
        <v>694</v>
      </c>
      <c r="G4576" s="12">
        <v>5437</v>
      </c>
      <c r="H4576" s="12" t="s">
        <v>695</v>
      </c>
      <c r="I4576" s="12" t="s">
        <v>306</v>
      </c>
      <c r="J4576" s="12">
        <v>1</v>
      </c>
      <c r="K4576" s="12" t="s">
        <v>303</v>
      </c>
    </row>
    <row r="4577" spans="1:11" x14ac:dyDescent="0.3">
      <c r="A4577" s="12" t="s">
        <v>96</v>
      </c>
      <c r="B4577" s="12" t="s">
        <v>294</v>
      </c>
      <c r="C4577" s="12" t="s">
        <v>123</v>
      </c>
      <c r="D4577" s="12" t="s">
        <v>110</v>
      </c>
      <c r="E4577" s="12" t="s">
        <v>10</v>
      </c>
      <c r="F4577" s="12" t="s">
        <v>320</v>
      </c>
      <c r="G4577" s="12">
        <v>10885</v>
      </c>
      <c r="H4577" s="12" t="s">
        <v>321</v>
      </c>
      <c r="I4577" s="12" t="s">
        <v>306</v>
      </c>
      <c r="J4577" s="12">
        <v>1</v>
      </c>
      <c r="K4577" s="12" t="s">
        <v>303</v>
      </c>
    </row>
    <row r="4578" spans="1:11" x14ac:dyDescent="0.3">
      <c r="A4578" s="12" t="s">
        <v>96</v>
      </c>
      <c r="B4578" s="12" t="s">
        <v>294</v>
      </c>
      <c r="C4578" s="12" t="s">
        <v>123</v>
      </c>
      <c r="D4578" s="12" t="s">
        <v>110</v>
      </c>
      <c r="E4578" s="12" t="s">
        <v>11</v>
      </c>
      <c r="F4578" s="12" t="s">
        <v>322</v>
      </c>
      <c r="G4578" s="12">
        <v>272997</v>
      </c>
      <c r="H4578" s="12" t="s">
        <v>323</v>
      </c>
      <c r="I4578" s="12" t="s">
        <v>302</v>
      </c>
      <c r="J4578" s="12">
        <v>1</v>
      </c>
      <c r="K4578" s="12" t="s">
        <v>303</v>
      </c>
    </row>
    <row r="4579" spans="1:11" x14ac:dyDescent="0.3">
      <c r="A4579" s="12" t="s">
        <v>96</v>
      </c>
      <c r="B4579" s="12" t="s">
        <v>294</v>
      </c>
      <c r="C4579" s="12" t="s">
        <v>123</v>
      </c>
      <c r="D4579" s="12" t="s">
        <v>110</v>
      </c>
      <c r="E4579" s="12" t="s">
        <v>47</v>
      </c>
      <c r="F4579" s="12" t="s">
        <v>696</v>
      </c>
      <c r="G4579" s="12">
        <v>2730877</v>
      </c>
      <c r="H4579" s="12" t="s">
        <v>697</v>
      </c>
      <c r="I4579" s="12" t="s">
        <v>306</v>
      </c>
      <c r="J4579" s="12">
        <v>1</v>
      </c>
      <c r="K4579" s="12" t="s">
        <v>303</v>
      </c>
    </row>
    <row r="4580" spans="1:11" x14ac:dyDescent="0.3">
      <c r="A4580" s="12" t="s">
        <v>96</v>
      </c>
      <c r="B4580" s="12" t="s">
        <v>294</v>
      </c>
      <c r="C4580" s="12" t="s">
        <v>123</v>
      </c>
      <c r="D4580" s="12" t="s">
        <v>110</v>
      </c>
      <c r="E4580" s="12" t="s">
        <v>85</v>
      </c>
      <c r="F4580" s="12" t="s">
        <v>1118</v>
      </c>
      <c r="G4580" s="12">
        <v>29624264</v>
      </c>
      <c r="H4580" s="12" t="s">
        <v>1119</v>
      </c>
      <c r="I4580" s="12" t="s">
        <v>306</v>
      </c>
      <c r="J4580" s="12">
        <v>1</v>
      </c>
      <c r="K4580" s="12" t="s">
        <v>303</v>
      </c>
    </row>
    <row r="4581" spans="1:11" x14ac:dyDescent="0.3">
      <c r="A4581" s="12" t="s">
        <v>96</v>
      </c>
      <c r="B4581" s="12" t="s">
        <v>294</v>
      </c>
      <c r="C4581" s="12" t="s">
        <v>123</v>
      </c>
      <c r="D4581" s="12" t="s">
        <v>110</v>
      </c>
      <c r="E4581" s="12" t="s">
        <v>12</v>
      </c>
      <c r="F4581" s="12" t="s">
        <v>324</v>
      </c>
      <c r="G4581" s="12">
        <v>2585769</v>
      </c>
      <c r="H4581" s="12" t="s">
        <v>325</v>
      </c>
      <c r="I4581" s="12" t="s">
        <v>306</v>
      </c>
      <c r="J4581" s="12">
        <v>1</v>
      </c>
      <c r="K4581" s="12" t="s">
        <v>303</v>
      </c>
    </row>
    <row r="4582" spans="1:11" x14ac:dyDescent="0.3">
      <c r="A4582" s="12" t="s">
        <v>96</v>
      </c>
      <c r="B4582" s="12" t="s">
        <v>294</v>
      </c>
      <c r="C4582" s="12" t="s">
        <v>123</v>
      </c>
      <c r="D4582" s="12" t="s">
        <v>110</v>
      </c>
      <c r="E4582" s="12" t="s">
        <v>66</v>
      </c>
      <c r="F4582" s="12" t="s">
        <v>946</v>
      </c>
      <c r="G4582" s="12">
        <v>365921621</v>
      </c>
      <c r="H4582" s="12" t="s">
        <v>947</v>
      </c>
      <c r="I4582" s="12" t="s">
        <v>306</v>
      </c>
      <c r="J4582" s="12">
        <v>1</v>
      </c>
      <c r="K4582" s="12" t="s">
        <v>303</v>
      </c>
    </row>
    <row r="4583" spans="1:11" x14ac:dyDescent="0.3">
      <c r="A4583" s="12" t="s">
        <v>96</v>
      </c>
      <c r="B4583" s="12" t="s">
        <v>294</v>
      </c>
      <c r="C4583" s="12" t="s">
        <v>123</v>
      </c>
      <c r="D4583" s="12" t="s">
        <v>110</v>
      </c>
      <c r="E4583" s="12" t="s">
        <v>13</v>
      </c>
      <c r="F4583" s="12" t="s">
        <v>326</v>
      </c>
      <c r="G4583" s="12">
        <v>6393</v>
      </c>
      <c r="H4583" s="12" t="s">
        <v>327</v>
      </c>
      <c r="I4583" s="12" t="s">
        <v>306</v>
      </c>
      <c r="J4583" s="12">
        <v>1</v>
      </c>
      <c r="K4583" s="12" t="s">
        <v>303</v>
      </c>
    </row>
    <row r="4584" spans="1:11" x14ac:dyDescent="0.3">
      <c r="A4584" s="12" t="s">
        <v>96</v>
      </c>
      <c r="B4584" s="12" t="s">
        <v>294</v>
      </c>
      <c r="C4584" s="12" t="s">
        <v>123</v>
      </c>
      <c r="D4584" s="12" t="s">
        <v>110</v>
      </c>
      <c r="E4584" s="12" t="s">
        <v>14</v>
      </c>
      <c r="F4584" s="12" t="s">
        <v>328</v>
      </c>
      <c r="G4584" s="12">
        <v>6442</v>
      </c>
      <c r="H4584" s="12" t="s">
        <v>329</v>
      </c>
      <c r="I4584" s="12" t="s">
        <v>306</v>
      </c>
      <c r="J4584" s="12">
        <v>1</v>
      </c>
      <c r="K4584" s="12" t="s">
        <v>303</v>
      </c>
    </row>
    <row r="4585" spans="1:11" x14ac:dyDescent="0.3">
      <c r="A4585" s="12" t="s">
        <v>96</v>
      </c>
      <c r="B4585" s="12" t="s">
        <v>294</v>
      </c>
      <c r="C4585" s="12" t="s">
        <v>123</v>
      </c>
      <c r="D4585" s="12" t="s">
        <v>110</v>
      </c>
      <c r="E4585" s="12" t="s">
        <v>67</v>
      </c>
      <c r="F4585" s="12" t="s">
        <v>948</v>
      </c>
      <c r="G4585" s="12">
        <v>6682</v>
      </c>
      <c r="H4585" s="12" t="s">
        <v>949</v>
      </c>
      <c r="I4585" s="12" t="s">
        <v>306</v>
      </c>
      <c r="J4585" s="12">
        <v>1</v>
      </c>
      <c r="K4585" s="12" t="s">
        <v>303</v>
      </c>
    </row>
    <row r="4586" spans="1:11" x14ac:dyDescent="0.3">
      <c r="A4586" s="12" t="s">
        <v>96</v>
      </c>
      <c r="B4586" s="12" t="s">
        <v>294</v>
      </c>
      <c r="C4586" s="12" t="s">
        <v>123</v>
      </c>
      <c r="D4586" s="12" t="s">
        <v>110</v>
      </c>
      <c r="E4586" s="12" t="s">
        <v>15</v>
      </c>
      <c r="F4586" s="12" t="s">
        <v>330</v>
      </c>
      <c r="G4586" s="12">
        <v>173962302</v>
      </c>
      <c r="H4586" s="12" t="s">
        <v>331</v>
      </c>
      <c r="I4586" s="12" t="s">
        <v>306</v>
      </c>
      <c r="J4586" s="12">
        <v>1</v>
      </c>
      <c r="K4586" s="12" t="s">
        <v>303</v>
      </c>
    </row>
    <row r="4587" spans="1:11" x14ac:dyDescent="0.3">
      <c r="A4587" s="12" t="s">
        <v>96</v>
      </c>
      <c r="B4587" s="12" t="s">
        <v>294</v>
      </c>
      <c r="C4587" s="12" t="s">
        <v>123</v>
      </c>
      <c r="D4587" s="12" t="s">
        <v>110</v>
      </c>
      <c r="E4587" s="12" t="s">
        <v>16</v>
      </c>
      <c r="F4587" s="12" t="s">
        <v>332</v>
      </c>
      <c r="G4587" s="12">
        <v>6890</v>
      </c>
      <c r="H4587" s="12" t="s">
        <v>333</v>
      </c>
      <c r="I4587" s="12" t="s">
        <v>306</v>
      </c>
      <c r="J4587" s="12">
        <v>1</v>
      </c>
      <c r="K4587" s="12" t="s">
        <v>303</v>
      </c>
    </row>
    <row r="4588" spans="1:11" x14ac:dyDescent="0.3">
      <c r="A4588" s="12" t="s">
        <v>96</v>
      </c>
      <c r="B4588" s="12" t="s">
        <v>294</v>
      </c>
      <c r="C4588" s="12" t="s">
        <v>123</v>
      </c>
      <c r="D4588" s="12" t="s">
        <v>110</v>
      </c>
      <c r="E4588" s="12" t="s">
        <v>17</v>
      </c>
      <c r="F4588" s="12" t="s">
        <v>334</v>
      </c>
      <c r="G4588" s="12">
        <v>398898580</v>
      </c>
      <c r="H4588" s="12" t="s">
        <v>335</v>
      </c>
      <c r="I4588" s="12" t="s">
        <v>306</v>
      </c>
      <c r="J4588" s="12">
        <v>1</v>
      </c>
      <c r="K4588" s="12" t="s">
        <v>303</v>
      </c>
    </row>
    <row r="4589" spans="1:11" x14ac:dyDescent="0.3">
      <c r="A4589" s="12" t="s">
        <v>96</v>
      </c>
      <c r="B4589" s="12" t="s">
        <v>294</v>
      </c>
      <c r="C4589" s="12" t="s">
        <v>123</v>
      </c>
      <c r="D4589" s="12" t="s">
        <v>110</v>
      </c>
      <c r="E4589" s="12" t="s">
        <v>68</v>
      </c>
      <c r="F4589" s="12" t="s">
        <v>950</v>
      </c>
      <c r="G4589" s="12">
        <v>41622169</v>
      </c>
      <c r="H4589" s="12" t="s">
        <v>951</v>
      </c>
      <c r="I4589" s="12" t="s">
        <v>302</v>
      </c>
      <c r="J4589" s="12">
        <v>1</v>
      </c>
      <c r="K4589" s="12" t="s">
        <v>303</v>
      </c>
    </row>
    <row r="4590" spans="1:11" x14ac:dyDescent="0.3">
      <c r="A4590" s="12" t="s">
        <v>96</v>
      </c>
      <c r="B4590" s="12" t="s">
        <v>294</v>
      </c>
      <c r="C4590" s="12" t="s">
        <v>123</v>
      </c>
      <c r="D4590" s="12" t="s">
        <v>110</v>
      </c>
      <c r="E4590" s="12" t="s">
        <v>18</v>
      </c>
      <c r="F4590" s="12" t="s">
        <v>336</v>
      </c>
      <c r="G4590" s="12">
        <v>7496</v>
      </c>
      <c r="H4590" s="12" t="s">
        <v>337</v>
      </c>
      <c r="I4590" s="12" t="s">
        <v>306</v>
      </c>
      <c r="J4590" s="12">
        <v>1</v>
      </c>
      <c r="K4590" s="12" t="s">
        <v>303</v>
      </c>
    </row>
    <row r="4591" spans="1:11" x14ac:dyDescent="0.3">
      <c r="A4591" s="12" t="s">
        <v>96</v>
      </c>
      <c r="B4591" s="12" t="s">
        <v>294</v>
      </c>
      <c r="C4591" s="12" t="s">
        <v>123</v>
      </c>
      <c r="D4591" s="12" t="s">
        <v>110</v>
      </c>
      <c r="E4591" s="12" t="s">
        <v>48</v>
      </c>
      <c r="F4591" s="12" t="s">
        <v>698</v>
      </c>
      <c r="G4591" s="12">
        <v>498843743</v>
      </c>
      <c r="H4591" s="12" t="s">
        <v>699</v>
      </c>
      <c r="I4591" s="12" t="s">
        <v>306</v>
      </c>
      <c r="J4591" s="12">
        <v>1</v>
      </c>
      <c r="K4591" s="12" t="s">
        <v>303</v>
      </c>
    </row>
    <row r="4592" spans="1:11" x14ac:dyDescent="0.3">
      <c r="A4592" s="12" t="s">
        <v>96</v>
      </c>
      <c r="B4592" s="12" t="s">
        <v>294</v>
      </c>
      <c r="C4592" s="12" t="s">
        <v>123</v>
      </c>
      <c r="D4592" s="12" t="s">
        <v>110</v>
      </c>
      <c r="E4592" s="12" t="s">
        <v>54</v>
      </c>
      <c r="F4592" s="12" t="s">
        <v>761</v>
      </c>
      <c r="G4592" s="12">
        <v>691984365</v>
      </c>
      <c r="H4592" s="12" t="s">
        <v>762</v>
      </c>
      <c r="I4592" s="12" t="s">
        <v>306</v>
      </c>
      <c r="J4592" s="12">
        <v>1</v>
      </c>
      <c r="K4592" s="12" t="s">
        <v>303</v>
      </c>
    </row>
    <row r="4593" spans="1:11" x14ac:dyDescent="0.3">
      <c r="A4593" s="12" t="s">
        <v>96</v>
      </c>
      <c r="B4593" s="12" t="s">
        <v>294</v>
      </c>
      <c r="C4593" s="12" t="s">
        <v>123</v>
      </c>
      <c r="D4593" s="12" t="s">
        <v>110</v>
      </c>
      <c r="E4593" s="12" t="s">
        <v>19</v>
      </c>
      <c r="F4593" s="12" t="s">
        <v>338</v>
      </c>
      <c r="G4593" s="12">
        <v>208813719</v>
      </c>
      <c r="H4593" s="12" t="s">
        <v>339</v>
      </c>
      <c r="I4593" s="12" t="s">
        <v>302</v>
      </c>
      <c r="J4593" s="12">
        <v>1</v>
      </c>
      <c r="K4593" s="12" t="s">
        <v>303</v>
      </c>
    </row>
    <row r="4594" spans="1:11" x14ac:dyDescent="0.3">
      <c r="A4594" s="12" t="s">
        <v>96</v>
      </c>
      <c r="B4594" s="12" t="s">
        <v>294</v>
      </c>
      <c r="C4594" s="12" t="s">
        <v>123</v>
      </c>
      <c r="D4594" s="12" t="s">
        <v>110</v>
      </c>
      <c r="E4594" s="12" t="s">
        <v>69</v>
      </c>
      <c r="F4594" s="12" t="s">
        <v>952</v>
      </c>
      <c r="G4594" s="12">
        <v>85076790</v>
      </c>
      <c r="H4594" s="12" t="s">
        <v>953</v>
      </c>
      <c r="I4594" s="12" t="s">
        <v>306</v>
      </c>
      <c r="J4594" s="12">
        <v>1</v>
      </c>
      <c r="K4594" s="12" t="s">
        <v>303</v>
      </c>
    </row>
    <row r="4595" spans="1:11" x14ac:dyDescent="0.3">
      <c r="A4595" s="12" t="s">
        <v>96</v>
      </c>
      <c r="B4595" s="12" t="s">
        <v>294</v>
      </c>
      <c r="C4595" s="12" t="s">
        <v>123</v>
      </c>
      <c r="D4595" s="12" t="s">
        <v>110</v>
      </c>
      <c r="E4595" s="12" t="s">
        <v>20</v>
      </c>
      <c r="F4595" s="12" t="s">
        <v>340</v>
      </c>
      <c r="G4595" s="12">
        <v>7930</v>
      </c>
      <c r="H4595" s="12" t="s">
        <v>341</v>
      </c>
      <c r="I4595" s="12" t="s">
        <v>306</v>
      </c>
      <c r="J4595" s="12">
        <v>1</v>
      </c>
      <c r="K4595" s="12" t="s">
        <v>303</v>
      </c>
    </row>
    <row r="4596" spans="1:11" x14ac:dyDescent="0.3">
      <c r="A4596" s="12" t="s">
        <v>96</v>
      </c>
      <c r="B4596" s="12" t="s">
        <v>294</v>
      </c>
      <c r="C4596" s="12" t="s">
        <v>123</v>
      </c>
      <c r="D4596" s="12" t="s">
        <v>110</v>
      </c>
      <c r="E4596" s="12" t="s">
        <v>21</v>
      </c>
      <c r="F4596" s="12" t="s">
        <v>342</v>
      </c>
      <c r="G4596" s="12">
        <v>169544810</v>
      </c>
      <c r="H4596" s="12" t="s">
        <v>343</v>
      </c>
      <c r="I4596" s="12" t="s">
        <v>306</v>
      </c>
      <c r="J4596" s="12">
        <v>1</v>
      </c>
      <c r="K4596" s="12" t="s">
        <v>303</v>
      </c>
    </row>
    <row r="4597" spans="1:11" x14ac:dyDescent="0.3">
      <c r="A4597" s="12" t="s">
        <v>96</v>
      </c>
      <c r="B4597" s="12" t="s">
        <v>294</v>
      </c>
      <c r="C4597" s="12" t="s">
        <v>123</v>
      </c>
      <c r="D4597" s="12" t="s">
        <v>110</v>
      </c>
      <c r="E4597" s="12" t="s">
        <v>22</v>
      </c>
      <c r="F4597" s="12" t="s">
        <v>344</v>
      </c>
      <c r="G4597" s="12">
        <v>403121976</v>
      </c>
      <c r="H4597" s="12" t="s">
        <v>345</v>
      </c>
      <c r="I4597" s="12" t="s">
        <v>306</v>
      </c>
      <c r="J4597" s="12">
        <v>1</v>
      </c>
      <c r="K4597" s="12" t="s">
        <v>303</v>
      </c>
    </row>
    <row r="4598" spans="1:11" x14ac:dyDescent="0.3">
      <c r="A4598" s="12" t="s">
        <v>96</v>
      </c>
      <c r="B4598" s="12" t="s">
        <v>294</v>
      </c>
      <c r="C4598" s="12" t="s">
        <v>123</v>
      </c>
      <c r="D4598" s="12" t="s">
        <v>110</v>
      </c>
      <c r="E4598" s="12" t="s">
        <v>37</v>
      </c>
      <c r="F4598" s="12" t="s">
        <v>613</v>
      </c>
      <c r="G4598" s="12">
        <v>8314</v>
      </c>
      <c r="H4598" s="12" t="s">
        <v>614</v>
      </c>
      <c r="I4598" s="12" t="s">
        <v>306</v>
      </c>
      <c r="J4598" s="12">
        <v>1</v>
      </c>
      <c r="K4598" s="12" t="s">
        <v>303</v>
      </c>
    </row>
    <row r="4599" spans="1:11" x14ac:dyDescent="0.3">
      <c r="A4599" s="12" t="s">
        <v>96</v>
      </c>
      <c r="B4599" s="12" t="s">
        <v>294</v>
      </c>
      <c r="C4599" s="12" t="s">
        <v>123</v>
      </c>
      <c r="D4599" s="12" t="s">
        <v>110</v>
      </c>
      <c r="E4599" s="12" t="s">
        <v>23</v>
      </c>
      <c r="F4599" s="12" t="s">
        <v>346</v>
      </c>
      <c r="G4599" s="12">
        <v>270662</v>
      </c>
      <c r="H4599" s="12" t="s">
        <v>347</v>
      </c>
      <c r="I4599" s="12" t="s">
        <v>302</v>
      </c>
      <c r="J4599" s="12">
        <v>1</v>
      </c>
      <c r="K4599" s="12" t="s">
        <v>303</v>
      </c>
    </row>
    <row r="4600" spans="1:11" x14ac:dyDescent="0.3">
      <c r="A4600" s="12" t="s">
        <v>96</v>
      </c>
      <c r="B4600" s="12" t="s">
        <v>294</v>
      </c>
      <c r="C4600" s="12" t="s">
        <v>123</v>
      </c>
      <c r="D4600" s="12" t="s">
        <v>110</v>
      </c>
      <c r="E4600" s="12" t="s">
        <v>24</v>
      </c>
      <c r="F4600" s="12" t="s">
        <v>348</v>
      </c>
      <c r="G4600" s="12">
        <v>404509190</v>
      </c>
      <c r="H4600" s="12" t="s">
        <v>349</v>
      </c>
      <c r="I4600" s="12" t="s">
        <v>306</v>
      </c>
      <c r="J4600" s="12">
        <v>1</v>
      </c>
      <c r="K4600" s="12" t="s">
        <v>303</v>
      </c>
    </row>
    <row r="4601" spans="1:11" x14ac:dyDescent="0.3">
      <c r="A4601" s="12" t="s">
        <v>96</v>
      </c>
      <c r="B4601" s="12" t="s">
        <v>294</v>
      </c>
      <c r="C4601" s="12" t="s">
        <v>123</v>
      </c>
      <c r="D4601" s="12" t="s">
        <v>110</v>
      </c>
      <c r="E4601" s="12" t="s">
        <v>70</v>
      </c>
      <c r="F4601" s="12" t="s">
        <v>954</v>
      </c>
      <c r="G4601" s="12">
        <v>1520593</v>
      </c>
      <c r="H4601" s="12" t="s">
        <v>955</v>
      </c>
      <c r="I4601" s="12" t="s">
        <v>306</v>
      </c>
      <c r="J4601" s="12">
        <v>1</v>
      </c>
      <c r="K4601" s="12" t="s">
        <v>303</v>
      </c>
    </row>
    <row r="4602" spans="1:11" x14ac:dyDescent="0.3">
      <c r="A4602" s="12" t="s">
        <v>96</v>
      </c>
      <c r="B4602" s="12" t="s">
        <v>294</v>
      </c>
      <c r="C4602" s="12" t="s">
        <v>123</v>
      </c>
      <c r="D4602" s="12" t="s">
        <v>110</v>
      </c>
      <c r="E4602" s="12" t="s">
        <v>59</v>
      </c>
      <c r="F4602" s="12" t="s">
        <v>836</v>
      </c>
      <c r="G4602" s="12">
        <v>8894</v>
      </c>
      <c r="H4602" s="12" t="s">
        <v>837</v>
      </c>
      <c r="I4602" s="12" t="s">
        <v>306</v>
      </c>
      <c r="J4602" s="12">
        <v>1</v>
      </c>
      <c r="K4602" s="12" t="s">
        <v>303</v>
      </c>
    </row>
    <row r="4603" spans="1:11" x14ac:dyDescent="0.3">
      <c r="A4603" s="12" t="s">
        <v>96</v>
      </c>
      <c r="B4603" s="12" t="s">
        <v>294</v>
      </c>
      <c r="C4603" s="12" t="s">
        <v>123</v>
      </c>
      <c r="D4603" s="12" t="s">
        <v>110</v>
      </c>
      <c r="E4603" s="12" t="s">
        <v>49</v>
      </c>
      <c r="F4603" s="12" t="s">
        <v>700</v>
      </c>
      <c r="G4603" s="12">
        <v>9160</v>
      </c>
      <c r="H4603" s="12" t="s">
        <v>701</v>
      </c>
      <c r="I4603" s="12" t="s">
        <v>306</v>
      </c>
      <c r="J4603" s="12">
        <v>1</v>
      </c>
      <c r="K4603" s="12" t="s">
        <v>303</v>
      </c>
    </row>
    <row r="4604" spans="1:11" x14ac:dyDescent="0.3">
      <c r="A4604" s="12" t="s">
        <v>96</v>
      </c>
      <c r="B4604" s="12" t="s">
        <v>294</v>
      </c>
      <c r="C4604" s="12" t="s">
        <v>123</v>
      </c>
      <c r="D4604" s="12" t="s">
        <v>110</v>
      </c>
      <c r="E4604" s="12" t="s">
        <v>25</v>
      </c>
      <c r="F4604" s="12" t="s">
        <v>350</v>
      </c>
      <c r="G4604" s="12">
        <v>45157951</v>
      </c>
      <c r="H4604" s="12" t="s">
        <v>351</v>
      </c>
      <c r="I4604" s="12" t="s">
        <v>302</v>
      </c>
      <c r="J4604" s="12">
        <v>1</v>
      </c>
      <c r="K4604" s="12" t="s">
        <v>303</v>
      </c>
    </row>
    <row r="4605" spans="1:11" x14ac:dyDescent="0.3">
      <c r="A4605" s="12" t="s">
        <v>96</v>
      </c>
      <c r="B4605" s="12" t="s">
        <v>294</v>
      </c>
      <c r="C4605" s="12" t="s">
        <v>123</v>
      </c>
      <c r="D4605" s="12" t="s">
        <v>110</v>
      </c>
      <c r="E4605" s="12" t="s">
        <v>26</v>
      </c>
      <c r="F4605" s="12" t="s">
        <v>352</v>
      </c>
      <c r="G4605" s="12">
        <v>6497</v>
      </c>
      <c r="H4605" s="12" t="s">
        <v>353</v>
      </c>
      <c r="I4605" s="12" t="s">
        <v>306</v>
      </c>
      <c r="J4605" s="12">
        <v>1</v>
      </c>
      <c r="K4605" s="12" t="s">
        <v>303</v>
      </c>
    </row>
    <row r="4606" spans="1:11" x14ac:dyDescent="0.3">
      <c r="A4606" s="12" t="s">
        <v>96</v>
      </c>
      <c r="B4606" s="12" t="s">
        <v>294</v>
      </c>
      <c r="C4606" s="12" t="s">
        <v>123</v>
      </c>
      <c r="D4606" s="12" t="s">
        <v>110</v>
      </c>
      <c r="E4606" s="12" t="s">
        <v>38</v>
      </c>
      <c r="F4606" s="12" t="s">
        <v>615</v>
      </c>
      <c r="G4606" s="12">
        <v>292833239</v>
      </c>
      <c r="H4606" s="12" t="s">
        <v>616</v>
      </c>
      <c r="I4606" s="12" t="s">
        <v>302</v>
      </c>
      <c r="J4606" s="12">
        <v>1</v>
      </c>
      <c r="K4606" s="12" t="s">
        <v>303</v>
      </c>
    </row>
    <row r="4607" spans="1:11" x14ac:dyDescent="0.3">
      <c r="A4607" s="12" t="s">
        <v>96</v>
      </c>
      <c r="B4607" s="12" t="s">
        <v>294</v>
      </c>
      <c r="C4607" s="12" t="s">
        <v>123</v>
      </c>
      <c r="D4607" s="12" t="s">
        <v>110</v>
      </c>
      <c r="E4607" s="12" t="s">
        <v>27</v>
      </c>
      <c r="F4607" s="12" t="s">
        <v>354</v>
      </c>
      <c r="G4607" s="12">
        <v>107113386</v>
      </c>
      <c r="H4607" s="12" t="s">
        <v>355</v>
      </c>
      <c r="I4607" s="12" t="s">
        <v>302</v>
      </c>
      <c r="J4607" s="12">
        <v>1</v>
      </c>
      <c r="K4607" s="12" t="s">
        <v>303</v>
      </c>
    </row>
    <row r="4608" spans="1:11" x14ac:dyDescent="0.3">
      <c r="A4608" s="12" t="s">
        <v>96</v>
      </c>
      <c r="B4608" s="12" t="s">
        <v>294</v>
      </c>
      <c r="C4608" s="12" t="s">
        <v>123</v>
      </c>
      <c r="D4608" s="12" t="s">
        <v>110</v>
      </c>
      <c r="E4608" s="12" t="s">
        <v>28</v>
      </c>
      <c r="F4608" s="12" t="s">
        <v>356</v>
      </c>
      <c r="G4608" s="12">
        <v>272093</v>
      </c>
      <c r="H4608" s="12" t="s">
        <v>357</v>
      </c>
      <c r="I4608" s="12" t="s">
        <v>302</v>
      </c>
      <c r="J4608" s="12">
        <v>1</v>
      </c>
      <c r="K4608" s="12" t="s">
        <v>303</v>
      </c>
    </row>
    <row r="4609" spans="1:11" x14ac:dyDescent="0.3">
      <c r="A4609" s="12" t="s">
        <v>96</v>
      </c>
      <c r="B4609" s="12" t="s">
        <v>294</v>
      </c>
      <c r="C4609" s="12" t="s">
        <v>123</v>
      </c>
      <c r="D4609" s="12" t="s">
        <v>110</v>
      </c>
      <c r="E4609" s="12" t="s">
        <v>55</v>
      </c>
      <c r="F4609" s="12" t="s">
        <v>763</v>
      </c>
      <c r="G4609" s="12">
        <v>9939</v>
      </c>
      <c r="H4609" s="12" t="s">
        <v>764</v>
      </c>
      <c r="I4609" s="12" t="s">
        <v>302</v>
      </c>
      <c r="J4609" s="12">
        <v>1</v>
      </c>
      <c r="K4609" s="12" t="s">
        <v>303</v>
      </c>
    </row>
    <row r="4610" spans="1:11" x14ac:dyDescent="0.3">
      <c r="A4610" s="12" t="s">
        <v>96</v>
      </c>
      <c r="B4610" s="12" t="s">
        <v>294</v>
      </c>
      <c r="C4610" s="12" t="s">
        <v>123</v>
      </c>
      <c r="D4610" s="12" t="s">
        <v>110</v>
      </c>
      <c r="E4610" s="12" t="s">
        <v>50</v>
      </c>
      <c r="F4610" s="12" t="s">
        <v>702</v>
      </c>
      <c r="G4610" s="12">
        <v>109911821</v>
      </c>
      <c r="H4610" s="12" t="s">
        <v>703</v>
      </c>
      <c r="I4610" s="12" t="s">
        <v>306</v>
      </c>
      <c r="J4610" s="12">
        <v>1</v>
      </c>
      <c r="K4610" s="12" t="s">
        <v>303</v>
      </c>
    </row>
    <row r="4611" spans="1:11" x14ac:dyDescent="0.3">
      <c r="A4611" s="12" t="s">
        <v>96</v>
      </c>
      <c r="B4611" s="12" t="s">
        <v>294</v>
      </c>
      <c r="C4611" s="12" t="s">
        <v>123</v>
      </c>
      <c r="D4611" s="12" t="s">
        <v>110</v>
      </c>
      <c r="E4611" s="12" t="s">
        <v>71</v>
      </c>
      <c r="F4611" s="12" t="s">
        <v>956</v>
      </c>
      <c r="G4611" s="12">
        <v>4815747</v>
      </c>
      <c r="H4611" s="12" t="s">
        <v>957</v>
      </c>
      <c r="I4611" s="12" t="s">
        <v>302</v>
      </c>
      <c r="J4611" s="12">
        <v>1</v>
      </c>
      <c r="K4611" s="12" t="s">
        <v>303</v>
      </c>
    </row>
    <row r="4612" spans="1:11" x14ac:dyDescent="0.3">
      <c r="A4612" s="12" t="s">
        <v>96</v>
      </c>
      <c r="B4612" s="12" t="s">
        <v>294</v>
      </c>
      <c r="C4612" s="12" t="s">
        <v>123</v>
      </c>
      <c r="D4612" s="12" t="s">
        <v>110</v>
      </c>
      <c r="E4612" s="12" t="s">
        <v>56</v>
      </c>
      <c r="F4612" s="12" t="s">
        <v>765</v>
      </c>
      <c r="G4612" s="12">
        <v>10611</v>
      </c>
      <c r="H4612" s="12" t="s">
        <v>766</v>
      </c>
      <c r="I4612" s="12" t="s">
        <v>306</v>
      </c>
      <c r="J4612" s="12">
        <v>1</v>
      </c>
      <c r="K4612" s="12" t="s">
        <v>382</v>
      </c>
    </row>
    <row r="4613" spans="1:11" x14ac:dyDescent="0.3">
      <c r="A4613" s="12" t="s">
        <v>96</v>
      </c>
      <c r="B4613" s="12" t="s">
        <v>294</v>
      </c>
      <c r="C4613" s="12" t="s">
        <v>123</v>
      </c>
      <c r="D4613" s="12" t="s">
        <v>110</v>
      </c>
      <c r="E4613" s="12" t="s">
        <v>72</v>
      </c>
      <c r="F4613" s="12" t="s">
        <v>958</v>
      </c>
      <c r="G4613" s="12">
        <v>77791077</v>
      </c>
      <c r="H4613" s="12" t="s">
        <v>959</v>
      </c>
      <c r="I4613" s="12" t="s">
        <v>302</v>
      </c>
      <c r="J4613" s="12">
        <v>1</v>
      </c>
      <c r="K4613" s="12" t="s">
        <v>303</v>
      </c>
    </row>
    <row r="4614" spans="1:11" x14ac:dyDescent="0.3">
      <c r="A4614" s="12" t="s">
        <v>96</v>
      </c>
      <c r="B4614" s="12" t="s">
        <v>294</v>
      </c>
      <c r="C4614" s="12" t="s">
        <v>123</v>
      </c>
      <c r="D4614" s="12" t="s">
        <v>110</v>
      </c>
      <c r="E4614" s="12" t="s">
        <v>57</v>
      </c>
      <c r="F4614" s="12" t="s">
        <v>767</v>
      </c>
      <c r="G4614" s="12">
        <v>272800</v>
      </c>
      <c r="H4614" s="12" t="s">
        <v>768</v>
      </c>
      <c r="I4614" s="12" t="s">
        <v>306</v>
      </c>
      <c r="J4614" s="12">
        <v>1</v>
      </c>
      <c r="K4614" s="12" t="s">
        <v>303</v>
      </c>
    </row>
    <row r="4615" spans="1:11" x14ac:dyDescent="0.3">
      <c r="A4615" s="12" t="s">
        <v>96</v>
      </c>
      <c r="B4615" s="12" t="s">
        <v>294</v>
      </c>
      <c r="C4615" s="12" t="s">
        <v>123</v>
      </c>
      <c r="D4615" s="12" t="s">
        <v>110</v>
      </c>
      <c r="E4615" s="12" t="s">
        <v>29</v>
      </c>
      <c r="F4615" s="12" t="s">
        <v>358</v>
      </c>
      <c r="G4615" s="12">
        <v>110619459</v>
      </c>
      <c r="H4615" s="12" t="s">
        <v>359</v>
      </c>
      <c r="I4615" s="12" t="s">
        <v>302</v>
      </c>
      <c r="J4615" s="12">
        <v>1</v>
      </c>
      <c r="K4615" s="12" t="s">
        <v>303</v>
      </c>
    </row>
    <row r="4616" spans="1:11" x14ac:dyDescent="0.3">
      <c r="A4616" s="12" t="s">
        <v>96</v>
      </c>
      <c r="B4616" s="12" t="s">
        <v>294</v>
      </c>
      <c r="C4616" s="12" t="s">
        <v>123</v>
      </c>
      <c r="D4616" s="12" t="s">
        <v>110</v>
      </c>
      <c r="E4616" s="12" t="s">
        <v>73</v>
      </c>
      <c r="F4616" s="12" t="s">
        <v>960</v>
      </c>
      <c r="G4616" s="12">
        <v>105669270</v>
      </c>
      <c r="H4616" s="12" t="s">
        <v>961</v>
      </c>
      <c r="I4616" s="12" t="s">
        <v>306</v>
      </c>
      <c r="J4616" s="12">
        <v>1</v>
      </c>
      <c r="K4616" s="12" t="s">
        <v>303</v>
      </c>
    </row>
    <row r="4617" spans="1:11" x14ac:dyDescent="0.3">
      <c r="A4617" s="12" t="s">
        <v>96</v>
      </c>
      <c r="B4617" s="12" t="s">
        <v>294</v>
      </c>
      <c r="C4617" s="12" t="s">
        <v>123</v>
      </c>
      <c r="D4617" s="12" t="s">
        <v>110</v>
      </c>
      <c r="E4617" s="12" t="s">
        <v>74</v>
      </c>
      <c r="F4617" s="12" t="s">
        <v>962</v>
      </c>
      <c r="G4617" s="12">
        <v>6608432</v>
      </c>
      <c r="H4617" s="12" t="s">
        <v>963</v>
      </c>
      <c r="I4617" s="12" t="s">
        <v>306</v>
      </c>
      <c r="J4617" s="12">
        <v>1</v>
      </c>
      <c r="K4617" s="12" t="s">
        <v>303</v>
      </c>
    </row>
    <row r="4618" spans="1:11" x14ac:dyDescent="0.3">
      <c r="A4618" s="12" t="s">
        <v>96</v>
      </c>
      <c r="B4618" s="12" t="s">
        <v>294</v>
      </c>
      <c r="C4618" s="12" t="s">
        <v>123</v>
      </c>
      <c r="D4618" s="12" t="s">
        <v>110</v>
      </c>
      <c r="E4618" s="12" t="s">
        <v>39</v>
      </c>
      <c r="F4618" s="12" t="s">
        <v>617</v>
      </c>
      <c r="G4618" s="12">
        <v>273544</v>
      </c>
      <c r="H4618" s="12" t="s">
        <v>618</v>
      </c>
      <c r="I4618" s="12" t="s">
        <v>302</v>
      </c>
      <c r="J4618" s="12">
        <v>1</v>
      </c>
      <c r="K4618" s="12" t="s">
        <v>303</v>
      </c>
    </row>
    <row r="4619" spans="1:11" x14ac:dyDescent="0.3">
      <c r="A4619" s="12" t="s">
        <v>96</v>
      </c>
      <c r="B4619" s="12" t="s">
        <v>294</v>
      </c>
      <c r="C4619" s="12" t="s">
        <v>123</v>
      </c>
      <c r="D4619" s="12" t="s">
        <v>110</v>
      </c>
      <c r="E4619" s="12" t="s">
        <v>82</v>
      </c>
      <c r="F4619" s="12" t="s">
        <v>1058</v>
      </c>
      <c r="G4619" s="12">
        <v>320227571</v>
      </c>
      <c r="H4619" s="12" t="s">
        <v>1059</v>
      </c>
      <c r="I4619" s="12" t="s">
        <v>302</v>
      </c>
      <c r="J4619" s="12">
        <v>1</v>
      </c>
      <c r="K4619" s="12" t="s">
        <v>413</v>
      </c>
    </row>
    <row r="4620" spans="1:11" x14ac:dyDescent="0.3">
      <c r="A4620" s="12" t="s">
        <v>96</v>
      </c>
      <c r="B4620" s="12" t="s">
        <v>294</v>
      </c>
      <c r="C4620" s="12" t="s">
        <v>123</v>
      </c>
      <c r="D4620" s="12" t="s">
        <v>110</v>
      </c>
      <c r="E4620" s="12" t="s">
        <v>75</v>
      </c>
      <c r="F4620" s="12" t="s">
        <v>964</v>
      </c>
      <c r="G4620" s="12">
        <v>273733</v>
      </c>
      <c r="H4620" s="12" t="s">
        <v>965</v>
      </c>
      <c r="I4620" s="12" t="s">
        <v>302</v>
      </c>
      <c r="J4620" s="12">
        <v>1</v>
      </c>
      <c r="K4620" s="12" t="s">
        <v>303</v>
      </c>
    </row>
    <row r="4621" spans="1:11" x14ac:dyDescent="0.3">
      <c r="A4621" s="12" t="s">
        <v>96</v>
      </c>
      <c r="B4621" s="12" t="s">
        <v>294</v>
      </c>
      <c r="C4621" s="12" t="s">
        <v>123</v>
      </c>
      <c r="D4621" s="12" t="s">
        <v>110</v>
      </c>
      <c r="E4621" s="12" t="s">
        <v>30</v>
      </c>
      <c r="F4621" s="12" t="s">
        <v>360</v>
      </c>
      <c r="G4621" s="12">
        <v>273939</v>
      </c>
      <c r="H4621" s="12" t="s">
        <v>361</v>
      </c>
      <c r="I4621" s="12" t="s">
        <v>302</v>
      </c>
      <c r="J4621" s="12">
        <v>1</v>
      </c>
      <c r="K4621" s="12" t="s">
        <v>303</v>
      </c>
    </row>
    <row r="4622" spans="1:11" x14ac:dyDescent="0.3">
      <c r="A4622" s="12" t="s">
        <v>96</v>
      </c>
      <c r="B4622" s="12" t="s">
        <v>294</v>
      </c>
      <c r="C4622" s="12" t="s">
        <v>123</v>
      </c>
      <c r="D4622" s="12" t="s">
        <v>110</v>
      </c>
      <c r="E4622" s="12" t="s">
        <v>76</v>
      </c>
      <c r="F4622" s="12" t="s">
        <v>966</v>
      </c>
      <c r="G4622" s="12">
        <v>415342104</v>
      </c>
      <c r="H4622" s="12" t="s">
        <v>967</v>
      </c>
      <c r="I4622" s="12" t="s">
        <v>306</v>
      </c>
      <c r="J4622" s="12">
        <v>1</v>
      </c>
      <c r="K4622" s="12" t="s">
        <v>303</v>
      </c>
    </row>
    <row r="4623" spans="1:11" x14ac:dyDescent="0.3">
      <c r="A4623" s="12" t="s">
        <v>96</v>
      </c>
      <c r="B4623" s="12" t="s">
        <v>294</v>
      </c>
      <c r="C4623" s="12" t="s">
        <v>123</v>
      </c>
      <c r="D4623" s="12" t="s">
        <v>110</v>
      </c>
      <c r="E4623" s="12" t="s">
        <v>51</v>
      </c>
      <c r="F4623" s="12" t="s">
        <v>704</v>
      </c>
      <c r="G4623" s="12">
        <v>43261373</v>
      </c>
      <c r="H4623" s="12" t="s">
        <v>705</v>
      </c>
      <c r="I4623" s="12" t="s">
        <v>302</v>
      </c>
      <c r="J4623" s="12">
        <v>1</v>
      </c>
      <c r="K4623" s="12" t="s">
        <v>303</v>
      </c>
    </row>
    <row r="4624" spans="1:11" x14ac:dyDescent="0.3">
      <c r="A4624" s="12" t="s">
        <v>96</v>
      </c>
      <c r="B4624" s="12" t="s">
        <v>294</v>
      </c>
      <c r="C4624" s="12" t="s">
        <v>123</v>
      </c>
      <c r="D4624" s="12" t="s">
        <v>110</v>
      </c>
      <c r="E4624" s="12" t="s">
        <v>31</v>
      </c>
      <c r="F4624" s="12" t="s">
        <v>362</v>
      </c>
      <c r="G4624" s="12">
        <v>444884769</v>
      </c>
      <c r="H4624" s="12" t="s">
        <v>363</v>
      </c>
      <c r="I4624" s="12" t="s">
        <v>306</v>
      </c>
      <c r="J4624" s="12">
        <v>1</v>
      </c>
      <c r="K4624" s="12" t="s">
        <v>303</v>
      </c>
    </row>
    <row r="4625" spans="1:11" x14ac:dyDescent="0.3">
      <c r="A4625" s="12" t="s">
        <v>96</v>
      </c>
      <c r="B4625" s="12" t="s">
        <v>294</v>
      </c>
      <c r="C4625" s="12" t="s">
        <v>123</v>
      </c>
      <c r="D4625" s="12" t="s">
        <v>110</v>
      </c>
      <c r="E4625" s="12" t="s">
        <v>83</v>
      </c>
      <c r="F4625" s="12" t="s">
        <v>1060</v>
      </c>
      <c r="G4625" s="12">
        <v>12658194</v>
      </c>
      <c r="H4625" s="12" t="s">
        <v>1061</v>
      </c>
      <c r="I4625" s="12" t="s">
        <v>302</v>
      </c>
      <c r="J4625" s="12">
        <v>1</v>
      </c>
      <c r="K4625" s="12" t="s">
        <v>413</v>
      </c>
    </row>
    <row r="4626" spans="1:11" x14ac:dyDescent="0.3">
      <c r="A4626" s="12" t="s">
        <v>96</v>
      </c>
      <c r="B4626" s="12" t="s">
        <v>294</v>
      </c>
      <c r="C4626" s="12" t="s">
        <v>123</v>
      </c>
      <c r="D4626" s="12" t="s">
        <v>110</v>
      </c>
      <c r="E4626" s="12" t="s">
        <v>86</v>
      </c>
      <c r="F4626" s="12" t="s">
        <v>1120</v>
      </c>
      <c r="G4626" s="12">
        <v>756733</v>
      </c>
      <c r="H4626" s="12" t="s">
        <v>1121</v>
      </c>
      <c r="I4626" s="12" t="s">
        <v>623</v>
      </c>
      <c r="J4626" s="12">
        <v>1</v>
      </c>
      <c r="K4626" s="12" t="s">
        <v>413</v>
      </c>
    </row>
    <row r="4627" spans="1:11" x14ac:dyDescent="0.3">
      <c r="A4627" s="12" t="s">
        <v>96</v>
      </c>
      <c r="B4627" s="12" t="s">
        <v>294</v>
      </c>
      <c r="C4627" s="12" t="s">
        <v>123</v>
      </c>
      <c r="D4627" s="12" t="s">
        <v>110</v>
      </c>
      <c r="E4627" s="12" t="s">
        <v>77</v>
      </c>
      <c r="F4627" s="12" t="s">
        <v>968</v>
      </c>
      <c r="G4627" s="12">
        <v>76792991</v>
      </c>
      <c r="H4627" s="12" t="s">
        <v>969</v>
      </c>
      <c r="I4627" s="12" t="s">
        <v>302</v>
      </c>
      <c r="J4627" s="12">
        <v>1</v>
      </c>
      <c r="K4627" s="12" t="s">
        <v>303</v>
      </c>
    </row>
    <row r="4628" spans="1:11" x14ac:dyDescent="0.3">
      <c r="A4628" s="12" t="s">
        <v>96</v>
      </c>
      <c r="B4628" s="12" t="s">
        <v>294</v>
      </c>
      <c r="C4628" s="12" t="s">
        <v>123</v>
      </c>
      <c r="D4628" s="12" t="s">
        <v>110</v>
      </c>
      <c r="E4628" s="12" t="s">
        <v>87</v>
      </c>
      <c r="F4628" s="12" t="s">
        <v>1122</v>
      </c>
      <c r="G4628" s="12">
        <v>406709270</v>
      </c>
      <c r="H4628" s="12" t="s">
        <v>1123</v>
      </c>
      <c r="I4628" s="12" t="s">
        <v>306</v>
      </c>
      <c r="J4628" s="12">
        <v>1</v>
      </c>
      <c r="K4628" s="12" t="s">
        <v>303</v>
      </c>
    </row>
    <row r="4629" spans="1:11" x14ac:dyDescent="0.3">
      <c r="A4629" s="12" t="s">
        <v>96</v>
      </c>
      <c r="B4629" s="12" t="s">
        <v>294</v>
      </c>
      <c r="C4629" s="12" t="s">
        <v>123</v>
      </c>
      <c r="D4629" s="12" t="s">
        <v>110</v>
      </c>
      <c r="E4629" s="12" t="s">
        <v>78</v>
      </c>
      <c r="F4629" s="12" t="s">
        <v>970</v>
      </c>
      <c r="G4629" s="12">
        <v>13096</v>
      </c>
      <c r="H4629" s="12" t="s">
        <v>971</v>
      </c>
      <c r="I4629" s="12" t="s">
        <v>302</v>
      </c>
      <c r="J4629" s="12">
        <v>1</v>
      </c>
      <c r="K4629" s="12" t="s">
        <v>303</v>
      </c>
    </row>
    <row r="4630" spans="1:11" x14ac:dyDescent="0.3">
      <c r="A4630" s="12" t="s">
        <v>96</v>
      </c>
      <c r="B4630" s="12" t="s">
        <v>294</v>
      </c>
      <c r="C4630" s="12" t="s">
        <v>123</v>
      </c>
      <c r="D4630" s="12" t="s">
        <v>110</v>
      </c>
      <c r="E4630" s="12" t="s">
        <v>32</v>
      </c>
      <c r="F4630" s="12" t="s">
        <v>364</v>
      </c>
      <c r="G4630" s="12">
        <v>365207014</v>
      </c>
      <c r="H4630" s="12" t="s">
        <v>365</v>
      </c>
      <c r="I4630" s="12" t="s">
        <v>306</v>
      </c>
      <c r="J4630" s="12">
        <v>1</v>
      </c>
      <c r="K4630" s="12" t="s">
        <v>303</v>
      </c>
    </row>
    <row r="4631" spans="1:11" x14ac:dyDescent="0.3">
      <c r="A4631" s="12" t="s">
        <v>96</v>
      </c>
      <c r="B4631" s="12" t="s">
        <v>294</v>
      </c>
      <c r="C4631" s="12" t="s">
        <v>123</v>
      </c>
      <c r="D4631" s="12" t="s">
        <v>110</v>
      </c>
      <c r="E4631" s="12" t="s">
        <v>33</v>
      </c>
      <c r="F4631" s="12" t="s">
        <v>366</v>
      </c>
      <c r="G4631" s="12">
        <v>46970422</v>
      </c>
      <c r="H4631" s="12" t="s">
        <v>367</v>
      </c>
      <c r="I4631" s="12" t="s">
        <v>302</v>
      </c>
      <c r="J4631" s="12">
        <v>1</v>
      </c>
      <c r="K4631" s="12" t="s">
        <v>303</v>
      </c>
    </row>
    <row r="4632" spans="1:11" x14ac:dyDescent="0.3">
      <c r="A4632" s="12" t="s">
        <v>96</v>
      </c>
      <c r="B4632" s="12" t="s">
        <v>294</v>
      </c>
      <c r="C4632" s="12" t="s">
        <v>123</v>
      </c>
      <c r="D4632" s="12" t="s">
        <v>110</v>
      </c>
      <c r="E4632" s="12" t="s">
        <v>60</v>
      </c>
      <c r="F4632" s="12" t="s">
        <v>838</v>
      </c>
      <c r="G4632" s="12">
        <v>13272</v>
      </c>
      <c r="H4632" s="12" t="s">
        <v>839</v>
      </c>
      <c r="I4632" s="12" t="s">
        <v>306</v>
      </c>
      <c r="J4632" s="12">
        <v>1</v>
      </c>
      <c r="K4632" s="12" t="s">
        <v>303</v>
      </c>
    </row>
    <row r="4633" spans="1:11" x14ac:dyDescent="0.3">
      <c r="A4633" s="12" t="s">
        <v>96</v>
      </c>
      <c r="B4633" s="12" t="s">
        <v>294</v>
      </c>
      <c r="C4633" s="12" t="s">
        <v>123</v>
      </c>
      <c r="D4633" s="12" t="s">
        <v>110</v>
      </c>
      <c r="E4633" s="12" t="s">
        <v>40</v>
      </c>
      <c r="F4633" s="12" t="s">
        <v>619</v>
      </c>
      <c r="G4633" s="12">
        <v>13284</v>
      </c>
      <c r="H4633" s="12" t="s">
        <v>620</v>
      </c>
      <c r="I4633" s="12" t="s">
        <v>306</v>
      </c>
      <c r="J4633" s="12">
        <v>1</v>
      </c>
      <c r="K4633" s="12" t="s">
        <v>303</v>
      </c>
    </row>
    <row r="4634" spans="1:11" x14ac:dyDescent="0.3">
      <c r="A4634" s="12" t="s">
        <v>96</v>
      </c>
      <c r="B4634" s="12" t="s">
        <v>294</v>
      </c>
      <c r="C4634" s="12" t="s">
        <v>123</v>
      </c>
      <c r="D4634" s="12" t="s">
        <v>110</v>
      </c>
      <c r="E4634" s="12" t="s">
        <v>34</v>
      </c>
      <c r="F4634" s="12" t="s">
        <v>368</v>
      </c>
      <c r="G4634" s="12">
        <v>115324104</v>
      </c>
      <c r="H4634" s="12" t="s">
        <v>369</v>
      </c>
      <c r="I4634" s="12" t="s">
        <v>302</v>
      </c>
      <c r="J4634" s="12">
        <v>1</v>
      </c>
      <c r="K4634" s="12" t="s">
        <v>303</v>
      </c>
    </row>
    <row r="4635" spans="1:11" x14ac:dyDescent="0.3">
      <c r="A4635" s="12" t="s">
        <v>96</v>
      </c>
      <c r="B4635" s="12" t="s">
        <v>294</v>
      </c>
      <c r="C4635" s="12" t="s">
        <v>123</v>
      </c>
      <c r="D4635" s="12" t="s">
        <v>110</v>
      </c>
      <c r="E4635" s="12" t="s">
        <v>61</v>
      </c>
      <c r="F4635" s="12" t="s">
        <v>840</v>
      </c>
      <c r="G4635" s="12">
        <v>4215217</v>
      </c>
      <c r="H4635" s="12" t="s">
        <v>841</v>
      </c>
      <c r="I4635" s="12" t="s">
        <v>623</v>
      </c>
      <c r="J4635" s="12">
        <v>1</v>
      </c>
      <c r="K4635" s="12" t="s">
        <v>413</v>
      </c>
    </row>
    <row r="4636" spans="1:11" x14ac:dyDescent="0.3">
      <c r="A4636" s="12" t="s">
        <v>96</v>
      </c>
      <c r="B4636" s="12" t="s">
        <v>294</v>
      </c>
      <c r="C4636" s="12" t="s">
        <v>123</v>
      </c>
      <c r="D4636" s="12" t="s">
        <v>110</v>
      </c>
      <c r="E4636" s="12" t="s">
        <v>62</v>
      </c>
      <c r="F4636" s="12" t="s">
        <v>842</v>
      </c>
      <c r="G4636" s="12">
        <v>4215220</v>
      </c>
      <c r="H4636" s="12" t="s">
        <v>843</v>
      </c>
      <c r="I4636" s="12" t="s">
        <v>623</v>
      </c>
      <c r="J4636" s="12">
        <v>1</v>
      </c>
      <c r="K4636" s="12" t="s">
        <v>413</v>
      </c>
    </row>
    <row r="4637" spans="1:11" x14ac:dyDescent="0.3">
      <c r="A4637" s="12" t="s">
        <v>96</v>
      </c>
      <c r="B4637" s="12" t="s">
        <v>294</v>
      </c>
      <c r="C4637" s="12" t="s">
        <v>123</v>
      </c>
      <c r="D4637" s="12" t="s">
        <v>110</v>
      </c>
      <c r="E4637" s="12" t="s">
        <v>41</v>
      </c>
      <c r="F4637" s="12" t="s">
        <v>621</v>
      </c>
      <c r="G4637" s="12">
        <v>319359438</v>
      </c>
      <c r="H4637" s="12" t="s">
        <v>622</v>
      </c>
      <c r="I4637" s="12" t="s">
        <v>623</v>
      </c>
      <c r="J4637" s="12">
        <v>1</v>
      </c>
      <c r="K4637" s="12" t="s">
        <v>413</v>
      </c>
    </row>
    <row r="4638" spans="1:11" x14ac:dyDescent="0.3">
      <c r="A4638" s="12" t="s">
        <v>96</v>
      </c>
      <c r="B4638" s="12" t="s">
        <v>294</v>
      </c>
      <c r="C4638" s="12" t="s">
        <v>123</v>
      </c>
      <c r="D4638" s="12" t="s">
        <v>110</v>
      </c>
      <c r="E4638" s="12" t="s">
        <v>79</v>
      </c>
      <c r="F4638" s="12" t="s">
        <v>972</v>
      </c>
      <c r="G4638" s="12">
        <v>4215227</v>
      </c>
      <c r="H4638" s="12" t="s">
        <v>973</v>
      </c>
      <c r="I4638" s="12" t="s">
        <v>623</v>
      </c>
      <c r="J4638" s="12">
        <v>1</v>
      </c>
      <c r="K4638" s="12" t="s">
        <v>413</v>
      </c>
    </row>
    <row r="4639" spans="1:11" x14ac:dyDescent="0.3">
      <c r="A4639" s="12" t="s">
        <v>96</v>
      </c>
      <c r="B4639" s="12" t="s">
        <v>294</v>
      </c>
      <c r="C4639" s="12" t="s">
        <v>123</v>
      </c>
      <c r="D4639" s="12" t="s">
        <v>110</v>
      </c>
      <c r="E4639" s="12" t="s">
        <v>42</v>
      </c>
      <c r="F4639" s="12" t="s">
        <v>624</v>
      </c>
      <c r="G4639" s="12">
        <v>4215230</v>
      </c>
      <c r="H4639" s="12" t="s">
        <v>625</v>
      </c>
      <c r="I4639" s="12" t="s">
        <v>623</v>
      </c>
      <c r="J4639" s="12">
        <v>1</v>
      </c>
      <c r="K4639" s="12" t="s">
        <v>413</v>
      </c>
    </row>
    <row r="4640" spans="1:11" x14ac:dyDescent="0.3">
      <c r="A4640" s="12" t="s">
        <v>96</v>
      </c>
      <c r="B4640" s="12" t="s">
        <v>294</v>
      </c>
      <c r="C4640" s="12" t="s">
        <v>123</v>
      </c>
      <c r="D4640" s="12" t="s">
        <v>110</v>
      </c>
      <c r="E4640" s="12" t="s">
        <v>43</v>
      </c>
      <c r="F4640" s="12" t="s">
        <v>626</v>
      </c>
      <c r="G4640" s="12">
        <v>4215235</v>
      </c>
      <c r="H4640" s="12" t="s">
        <v>627</v>
      </c>
      <c r="I4640" s="12" t="s">
        <v>623</v>
      </c>
      <c r="J4640" s="12">
        <v>1</v>
      </c>
      <c r="K4640" s="12" t="s">
        <v>413</v>
      </c>
    </row>
    <row r="4641" spans="1:12" x14ac:dyDescent="0.3">
      <c r="A4641" s="12" t="s">
        <v>96</v>
      </c>
      <c r="B4641" s="12" t="s">
        <v>294</v>
      </c>
      <c r="C4641" s="12" t="s">
        <v>123</v>
      </c>
      <c r="D4641" s="12" t="s">
        <v>110</v>
      </c>
      <c r="E4641" s="12" t="s">
        <v>44</v>
      </c>
      <c r="F4641" s="12" t="s">
        <v>628</v>
      </c>
      <c r="G4641" s="12">
        <v>4215205</v>
      </c>
      <c r="H4641" s="12" t="s">
        <v>629</v>
      </c>
      <c r="I4641" s="12" t="s">
        <v>623</v>
      </c>
      <c r="J4641" s="12">
        <v>1</v>
      </c>
      <c r="K4641" s="12" t="s">
        <v>413</v>
      </c>
    </row>
    <row r="4642" spans="1:12" x14ac:dyDescent="0.3">
      <c r="A4642" s="12" t="s">
        <v>96</v>
      </c>
      <c r="B4642" s="12" t="s">
        <v>294</v>
      </c>
      <c r="C4642" s="12" t="s">
        <v>123</v>
      </c>
      <c r="D4642" s="12" t="s">
        <v>110</v>
      </c>
      <c r="E4642" s="12" t="s">
        <v>84</v>
      </c>
      <c r="F4642" s="12" t="s">
        <v>1062</v>
      </c>
      <c r="G4642" s="12">
        <v>4215215</v>
      </c>
      <c r="H4642" s="12" t="s">
        <v>1063</v>
      </c>
      <c r="I4642" s="12" t="s">
        <v>623</v>
      </c>
      <c r="J4642" s="12">
        <v>1</v>
      </c>
      <c r="K4642" s="12" t="s">
        <v>413</v>
      </c>
    </row>
    <row r="4643" spans="1:12" x14ac:dyDescent="0.3">
      <c r="A4643" s="12" t="s">
        <v>96</v>
      </c>
      <c r="B4643" s="12" t="s">
        <v>294</v>
      </c>
      <c r="C4643" s="12" t="s">
        <v>123</v>
      </c>
      <c r="D4643" s="12" t="s">
        <v>110</v>
      </c>
      <c r="E4643" s="12" t="s">
        <v>35</v>
      </c>
      <c r="F4643" s="12" t="s">
        <v>370</v>
      </c>
      <c r="G4643" s="12">
        <v>13977</v>
      </c>
      <c r="H4643" s="12" t="s">
        <v>371</v>
      </c>
      <c r="I4643" s="12" t="s">
        <v>306</v>
      </c>
      <c r="J4643" s="12">
        <v>1</v>
      </c>
      <c r="K4643" s="12" t="s">
        <v>303</v>
      </c>
    </row>
    <row r="4644" spans="1:12" x14ac:dyDescent="0.3">
      <c r="A4644" s="12" t="s">
        <v>96</v>
      </c>
      <c r="B4644" s="12" t="s">
        <v>294</v>
      </c>
      <c r="C4644" s="12" t="s">
        <v>120</v>
      </c>
      <c r="D4644" s="12" t="s">
        <v>100</v>
      </c>
      <c r="E4644" s="12" t="s">
        <v>0</v>
      </c>
      <c r="F4644" s="12" t="s">
        <v>269</v>
      </c>
      <c r="G4644" s="12" t="s">
        <v>295</v>
      </c>
      <c r="H4644" s="12" t="s">
        <v>297</v>
      </c>
      <c r="I4644" s="12" t="s">
        <v>298</v>
      </c>
      <c r="J4644" s="12" t="s">
        <v>372</v>
      </c>
      <c r="K4644" s="12" t="s">
        <v>373</v>
      </c>
      <c r="L4644" s="12" t="s">
        <v>165</v>
      </c>
    </row>
    <row r="4645" spans="1:12" x14ac:dyDescent="0.3">
      <c r="A4645" s="12" t="s">
        <v>96</v>
      </c>
      <c r="B4645" s="12" t="s">
        <v>294</v>
      </c>
      <c r="C4645" s="12" t="s">
        <v>123</v>
      </c>
      <c r="D4645" s="12" t="s">
        <v>112</v>
      </c>
      <c r="E4645" s="12" t="s">
        <v>36</v>
      </c>
      <c r="F4645" s="12" t="s">
        <v>374</v>
      </c>
      <c r="G4645" s="12">
        <v>603558929</v>
      </c>
      <c r="H4645" s="12" t="s">
        <v>375</v>
      </c>
      <c r="I4645" s="12">
        <v>5</v>
      </c>
      <c r="J4645" s="20">
        <v>45366</v>
      </c>
      <c r="K4645" s="12" t="s">
        <v>91</v>
      </c>
    </row>
    <row r="4646" spans="1:12" x14ac:dyDescent="0.3">
      <c r="A4646" s="12" t="s">
        <v>96</v>
      </c>
      <c r="B4646" s="12" t="s">
        <v>294</v>
      </c>
      <c r="C4646" s="12" t="s">
        <v>123</v>
      </c>
      <c r="D4646" s="12" t="s">
        <v>112</v>
      </c>
      <c r="E4646" s="12" t="s">
        <v>52</v>
      </c>
      <c r="F4646" s="12" t="s">
        <v>706</v>
      </c>
      <c r="G4646" s="12">
        <v>620731036</v>
      </c>
      <c r="H4646" s="12" t="s">
        <v>375</v>
      </c>
      <c r="I4646" s="12">
        <v>5</v>
      </c>
      <c r="J4646" s="20">
        <v>45464</v>
      </c>
      <c r="K4646" s="12" t="s">
        <v>94</v>
      </c>
    </row>
    <row r="4647" spans="1:12" x14ac:dyDescent="0.3">
      <c r="A4647" s="12" t="s">
        <v>96</v>
      </c>
      <c r="B4647" s="12" t="s">
        <v>294</v>
      </c>
      <c r="C4647" s="12" t="s">
        <v>123</v>
      </c>
      <c r="D4647" s="12" t="s">
        <v>112</v>
      </c>
      <c r="E4647" s="12" t="s">
        <v>80</v>
      </c>
      <c r="F4647" s="12" t="s">
        <v>974</v>
      </c>
      <c r="G4647" s="12">
        <v>637533398</v>
      </c>
      <c r="H4647" s="12" t="s">
        <v>375</v>
      </c>
      <c r="I4647" s="12">
        <v>5</v>
      </c>
      <c r="J4647" s="20">
        <v>45555</v>
      </c>
      <c r="K4647" s="12" t="s">
        <v>770</v>
      </c>
    </row>
    <row r="4648" spans="1:12" x14ac:dyDescent="0.3">
      <c r="A4648" s="12" t="s">
        <v>96</v>
      </c>
      <c r="B4648" s="12" t="s">
        <v>294</v>
      </c>
      <c r="C4648" s="12" t="s">
        <v>123</v>
      </c>
      <c r="D4648" s="12" t="s">
        <v>112</v>
      </c>
      <c r="E4648" s="12" t="s">
        <v>53</v>
      </c>
      <c r="F4648" s="12" t="s">
        <v>707</v>
      </c>
      <c r="G4648" s="12">
        <v>620730945</v>
      </c>
      <c r="H4648" s="12" t="s">
        <v>375</v>
      </c>
      <c r="I4648" s="12">
        <v>2</v>
      </c>
      <c r="J4648" s="20">
        <v>45464</v>
      </c>
      <c r="K4648" s="12" t="s">
        <v>94</v>
      </c>
    </row>
    <row r="4649" spans="1:12" x14ac:dyDescent="0.3">
      <c r="A4649" s="12" t="s">
        <v>96</v>
      </c>
      <c r="B4649" s="12" t="s">
        <v>294</v>
      </c>
      <c r="C4649" s="12" t="s">
        <v>123</v>
      </c>
      <c r="D4649" s="12" t="s">
        <v>112</v>
      </c>
      <c r="E4649" s="12" t="s">
        <v>81</v>
      </c>
      <c r="F4649" s="12" t="s">
        <v>975</v>
      </c>
      <c r="G4649" s="12">
        <v>637533593</v>
      </c>
      <c r="H4649" s="12" t="s">
        <v>375</v>
      </c>
      <c r="I4649" s="12">
        <v>2</v>
      </c>
      <c r="J4649" s="20">
        <v>45555</v>
      </c>
      <c r="K4649" s="12" t="s">
        <v>770</v>
      </c>
    </row>
    <row r="4650" spans="1:12" x14ac:dyDescent="0.3">
      <c r="A4650" s="12" t="s">
        <v>96</v>
      </c>
      <c r="B4650" s="12" t="s">
        <v>376</v>
      </c>
      <c r="C4650" s="12" t="s">
        <v>120</v>
      </c>
      <c r="D4650" s="12" t="s">
        <v>165</v>
      </c>
      <c r="E4650" s="12" t="s">
        <v>377</v>
      </c>
      <c r="F4650" s="12" t="s">
        <v>378</v>
      </c>
      <c r="G4650" s="12" t="s">
        <v>379</v>
      </c>
    </row>
    <row r="4651" spans="1:12" x14ac:dyDescent="0.3">
      <c r="A4651" s="12" t="s">
        <v>96</v>
      </c>
      <c r="B4651" s="12" t="s">
        <v>376</v>
      </c>
      <c r="C4651" s="12" t="s">
        <v>123</v>
      </c>
      <c r="D4651" s="12" t="s">
        <v>380</v>
      </c>
      <c r="E4651" s="12" t="s">
        <v>381</v>
      </c>
    </row>
    <row r="4652" spans="1:12" x14ac:dyDescent="0.3">
      <c r="A4652" s="12" t="s">
        <v>96</v>
      </c>
      <c r="B4652" s="12" t="s">
        <v>376</v>
      </c>
      <c r="C4652" s="12" t="s">
        <v>123</v>
      </c>
      <c r="D4652" s="12" t="s">
        <v>382</v>
      </c>
      <c r="E4652" s="12" t="s">
        <v>383</v>
      </c>
    </row>
    <row r="4653" spans="1:12" x14ac:dyDescent="0.3">
      <c r="A4653" s="12" t="s">
        <v>96</v>
      </c>
      <c r="B4653" s="12" t="s">
        <v>376</v>
      </c>
      <c r="C4653" s="12" t="s">
        <v>123</v>
      </c>
      <c r="D4653" s="12" t="s">
        <v>384</v>
      </c>
      <c r="E4653" s="12" t="s">
        <v>385</v>
      </c>
    </row>
    <row r="4654" spans="1:12" x14ac:dyDescent="0.3">
      <c r="A4654" s="12" t="s">
        <v>96</v>
      </c>
      <c r="B4654" s="12" t="s">
        <v>376</v>
      </c>
      <c r="C4654" s="12" t="s">
        <v>123</v>
      </c>
      <c r="D4654" s="12" t="s">
        <v>386</v>
      </c>
      <c r="E4654" s="12" t="s">
        <v>387</v>
      </c>
    </row>
    <row r="4655" spans="1:12" x14ac:dyDescent="0.3">
      <c r="A4655" s="12" t="s">
        <v>96</v>
      </c>
      <c r="B4655" s="12" t="s">
        <v>376</v>
      </c>
      <c r="C4655" s="12" t="s">
        <v>123</v>
      </c>
      <c r="D4655" s="12" t="s">
        <v>388</v>
      </c>
      <c r="E4655" s="12" t="s">
        <v>389</v>
      </c>
    </row>
    <row r="4656" spans="1:12" x14ac:dyDescent="0.3">
      <c r="A4656" s="12" t="s">
        <v>96</v>
      </c>
      <c r="B4656" s="12" t="s">
        <v>376</v>
      </c>
      <c r="C4656" s="12" t="s">
        <v>123</v>
      </c>
      <c r="D4656" s="12" t="s">
        <v>390</v>
      </c>
      <c r="E4656" s="12" t="s">
        <v>391</v>
      </c>
    </row>
    <row r="4657" spans="1:5" x14ac:dyDescent="0.3">
      <c r="A4657" s="12" t="s">
        <v>96</v>
      </c>
      <c r="B4657" s="12" t="s">
        <v>376</v>
      </c>
      <c r="C4657" s="12" t="s">
        <v>123</v>
      </c>
      <c r="D4657" s="12" t="s">
        <v>392</v>
      </c>
      <c r="E4657" s="12" t="s">
        <v>393</v>
      </c>
    </row>
    <row r="4658" spans="1:5" x14ac:dyDescent="0.3">
      <c r="A4658" s="12" t="s">
        <v>96</v>
      </c>
      <c r="B4658" s="12" t="s">
        <v>376</v>
      </c>
      <c r="C4658" s="12" t="s">
        <v>123</v>
      </c>
      <c r="D4658" s="12" t="s">
        <v>394</v>
      </c>
      <c r="E4658" s="12" t="s">
        <v>395</v>
      </c>
    </row>
    <row r="4659" spans="1:5" x14ac:dyDescent="0.3">
      <c r="A4659" s="12" t="s">
        <v>96</v>
      </c>
      <c r="B4659" s="12" t="s">
        <v>376</v>
      </c>
      <c r="C4659" s="12" t="s">
        <v>123</v>
      </c>
      <c r="D4659" s="12" t="s">
        <v>396</v>
      </c>
      <c r="E4659" s="12" t="s">
        <v>397</v>
      </c>
    </row>
    <row r="4660" spans="1:5" x14ac:dyDescent="0.3">
      <c r="A4660" s="12" t="s">
        <v>96</v>
      </c>
      <c r="B4660" s="12" t="s">
        <v>376</v>
      </c>
      <c r="C4660" s="12" t="s">
        <v>123</v>
      </c>
      <c r="D4660" s="12" t="s">
        <v>3</v>
      </c>
      <c r="E4660" s="12" t="s">
        <v>398</v>
      </c>
    </row>
    <row r="4661" spans="1:5" x14ac:dyDescent="0.3">
      <c r="A4661" s="12" t="s">
        <v>96</v>
      </c>
      <c r="B4661" s="12" t="s">
        <v>376</v>
      </c>
      <c r="C4661" s="12" t="s">
        <v>123</v>
      </c>
      <c r="D4661" s="12" t="s">
        <v>399</v>
      </c>
      <c r="E4661" s="12" t="s">
        <v>400</v>
      </c>
    </row>
    <row r="4662" spans="1:5" x14ac:dyDescent="0.3">
      <c r="A4662" s="12" t="s">
        <v>96</v>
      </c>
      <c r="B4662" s="12" t="s">
        <v>376</v>
      </c>
      <c r="C4662" s="12" t="s">
        <v>123</v>
      </c>
      <c r="D4662" s="12" t="s">
        <v>401</v>
      </c>
      <c r="E4662" s="12" t="s">
        <v>402</v>
      </c>
    </row>
    <row r="4663" spans="1:5" x14ac:dyDescent="0.3">
      <c r="A4663" s="12" t="s">
        <v>96</v>
      </c>
      <c r="B4663" s="12" t="s">
        <v>376</v>
      </c>
      <c r="C4663" s="12" t="s">
        <v>123</v>
      </c>
      <c r="D4663" s="12" t="s">
        <v>403</v>
      </c>
      <c r="E4663" s="12" t="s">
        <v>404</v>
      </c>
    </row>
    <row r="4664" spans="1:5" x14ac:dyDescent="0.3">
      <c r="A4664" s="12" t="s">
        <v>96</v>
      </c>
      <c r="B4664" s="12" t="s">
        <v>376</v>
      </c>
      <c r="C4664" s="12" t="s">
        <v>123</v>
      </c>
      <c r="D4664" s="12" t="s">
        <v>405</v>
      </c>
      <c r="E4664" s="12" t="s">
        <v>406</v>
      </c>
    </row>
    <row r="4665" spans="1:5" x14ac:dyDescent="0.3">
      <c r="A4665" s="12" t="s">
        <v>96</v>
      </c>
      <c r="B4665" s="12" t="s">
        <v>376</v>
      </c>
      <c r="C4665" s="12" t="s">
        <v>123</v>
      </c>
      <c r="D4665" s="12" t="s">
        <v>407</v>
      </c>
      <c r="E4665" s="12" t="s">
        <v>408</v>
      </c>
    </row>
    <row r="4666" spans="1:5" x14ac:dyDescent="0.3">
      <c r="A4666" s="12" t="s">
        <v>96</v>
      </c>
      <c r="B4666" s="12" t="s">
        <v>376</v>
      </c>
      <c r="C4666" s="12" t="s">
        <v>123</v>
      </c>
      <c r="D4666" s="12" t="s">
        <v>409</v>
      </c>
      <c r="E4666" s="12" t="s">
        <v>410</v>
      </c>
    </row>
    <row r="4667" spans="1:5" x14ac:dyDescent="0.3">
      <c r="A4667" s="12" t="s">
        <v>96</v>
      </c>
      <c r="B4667" s="12" t="s">
        <v>376</v>
      </c>
      <c r="C4667" s="12" t="s">
        <v>123</v>
      </c>
      <c r="D4667" s="12" t="s">
        <v>411</v>
      </c>
      <c r="E4667" s="12" t="s">
        <v>412</v>
      </c>
    </row>
    <row r="4668" spans="1:5" x14ac:dyDescent="0.3">
      <c r="A4668" s="12" t="s">
        <v>96</v>
      </c>
      <c r="B4668" s="12" t="s">
        <v>376</v>
      </c>
      <c r="C4668" s="12" t="s">
        <v>123</v>
      </c>
      <c r="D4668" s="12" t="s">
        <v>413</v>
      </c>
      <c r="E4668" s="12" t="s">
        <v>414</v>
      </c>
    </row>
    <row r="4669" spans="1:5" x14ac:dyDescent="0.3">
      <c r="A4669" s="12" t="s">
        <v>96</v>
      </c>
      <c r="B4669" s="12" t="s">
        <v>376</v>
      </c>
      <c r="C4669" s="12" t="s">
        <v>123</v>
      </c>
      <c r="D4669" s="12" t="s">
        <v>415</v>
      </c>
      <c r="E4669" s="12" t="s">
        <v>416</v>
      </c>
    </row>
    <row r="4670" spans="1:5" x14ac:dyDescent="0.3">
      <c r="A4670" s="12" t="s">
        <v>96</v>
      </c>
      <c r="B4670" s="12" t="s">
        <v>376</v>
      </c>
      <c r="C4670" s="12" t="s">
        <v>123</v>
      </c>
      <c r="D4670" s="12" t="s">
        <v>417</v>
      </c>
      <c r="E4670" s="12" t="s">
        <v>418</v>
      </c>
    </row>
    <row r="4671" spans="1:5" x14ac:dyDescent="0.3">
      <c r="A4671" s="12" t="s">
        <v>96</v>
      </c>
      <c r="B4671" s="12" t="s">
        <v>376</v>
      </c>
      <c r="C4671" s="12" t="s">
        <v>123</v>
      </c>
      <c r="D4671" s="12" t="s">
        <v>419</v>
      </c>
      <c r="E4671" s="12" t="s">
        <v>420</v>
      </c>
    </row>
    <row r="4672" spans="1:5" x14ac:dyDescent="0.3">
      <c r="A4672" s="12" t="s">
        <v>96</v>
      </c>
      <c r="B4672" s="12" t="s">
        <v>376</v>
      </c>
      <c r="C4672" s="12" t="s">
        <v>123</v>
      </c>
      <c r="D4672" s="12" t="s">
        <v>421</v>
      </c>
      <c r="E4672" s="12" t="s">
        <v>422</v>
      </c>
    </row>
    <row r="4673" spans="1:5" x14ac:dyDescent="0.3">
      <c r="A4673" s="12" t="s">
        <v>96</v>
      </c>
      <c r="B4673" s="12" t="s">
        <v>376</v>
      </c>
      <c r="C4673" s="12" t="s">
        <v>123</v>
      </c>
      <c r="D4673" s="12" t="s">
        <v>423</v>
      </c>
      <c r="E4673" s="12" t="s">
        <v>424</v>
      </c>
    </row>
    <row r="4674" spans="1:5" x14ac:dyDescent="0.3">
      <c r="A4674" s="12" t="s">
        <v>96</v>
      </c>
      <c r="B4674" s="12" t="s">
        <v>376</v>
      </c>
      <c r="C4674" s="12" t="s">
        <v>123</v>
      </c>
      <c r="D4674" s="12" t="s">
        <v>425</v>
      </c>
      <c r="E4674" s="12" t="s">
        <v>426</v>
      </c>
    </row>
    <row r="4675" spans="1:5" x14ac:dyDescent="0.3">
      <c r="A4675" s="12" t="s">
        <v>96</v>
      </c>
      <c r="B4675" s="12" t="s">
        <v>376</v>
      </c>
      <c r="C4675" s="12" t="s">
        <v>123</v>
      </c>
      <c r="D4675" s="12" t="s">
        <v>427</v>
      </c>
      <c r="E4675" s="12" t="s">
        <v>428</v>
      </c>
    </row>
    <row r="4676" spans="1:5" x14ac:dyDescent="0.3">
      <c r="A4676" s="12" t="s">
        <v>96</v>
      </c>
      <c r="B4676" s="12" t="s">
        <v>376</v>
      </c>
      <c r="C4676" s="12" t="s">
        <v>123</v>
      </c>
      <c r="D4676" s="12" t="s">
        <v>429</v>
      </c>
      <c r="E4676" s="12" t="s">
        <v>430</v>
      </c>
    </row>
    <row r="4677" spans="1:5" x14ac:dyDescent="0.3">
      <c r="A4677" s="12" t="s">
        <v>96</v>
      </c>
      <c r="B4677" s="12" t="s">
        <v>376</v>
      </c>
      <c r="C4677" s="12" t="s">
        <v>123</v>
      </c>
      <c r="D4677" s="12" t="s">
        <v>431</v>
      </c>
      <c r="E4677" s="12" t="s">
        <v>432</v>
      </c>
    </row>
    <row r="4678" spans="1:5" x14ac:dyDescent="0.3">
      <c r="A4678" s="12" t="s">
        <v>96</v>
      </c>
      <c r="B4678" s="12" t="s">
        <v>376</v>
      </c>
      <c r="C4678" s="12" t="s">
        <v>123</v>
      </c>
      <c r="D4678" s="12" t="s">
        <v>433</v>
      </c>
      <c r="E4678" s="12" t="s">
        <v>434</v>
      </c>
    </row>
    <row r="4679" spans="1:5" x14ac:dyDescent="0.3">
      <c r="A4679" s="12" t="s">
        <v>96</v>
      </c>
      <c r="B4679" s="12" t="s">
        <v>376</v>
      </c>
      <c r="C4679" s="12" t="s">
        <v>123</v>
      </c>
      <c r="D4679" s="12" t="s">
        <v>435</v>
      </c>
      <c r="E4679" s="12" t="s">
        <v>436</v>
      </c>
    </row>
    <row r="4680" spans="1:5" x14ac:dyDescent="0.3">
      <c r="A4680" s="12" t="s">
        <v>96</v>
      </c>
      <c r="B4680" s="12" t="s">
        <v>376</v>
      </c>
      <c r="C4680" s="12" t="s">
        <v>123</v>
      </c>
      <c r="D4680" s="12" t="s">
        <v>437</v>
      </c>
      <c r="E4680" s="12" t="s">
        <v>438</v>
      </c>
    </row>
    <row r="4681" spans="1:5" x14ac:dyDescent="0.3">
      <c r="A4681" s="12" t="s">
        <v>96</v>
      </c>
      <c r="B4681" s="12" t="s">
        <v>376</v>
      </c>
      <c r="C4681" s="12" t="s">
        <v>123</v>
      </c>
      <c r="D4681" s="12" t="s">
        <v>439</v>
      </c>
      <c r="E4681" s="12" t="s">
        <v>440</v>
      </c>
    </row>
    <row r="4682" spans="1:5" x14ac:dyDescent="0.3">
      <c r="A4682" s="12" t="s">
        <v>96</v>
      </c>
      <c r="B4682" s="12" t="s">
        <v>376</v>
      </c>
      <c r="C4682" s="12" t="s">
        <v>123</v>
      </c>
      <c r="D4682" s="12" t="s">
        <v>441</v>
      </c>
      <c r="E4682" s="12" t="s">
        <v>442</v>
      </c>
    </row>
    <row r="4683" spans="1:5" x14ac:dyDescent="0.3">
      <c r="A4683" s="12" t="s">
        <v>96</v>
      </c>
      <c r="B4683" s="12" t="s">
        <v>376</v>
      </c>
      <c r="C4683" s="12" t="s">
        <v>123</v>
      </c>
      <c r="D4683" s="12" t="s">
        <v>443</v>
      </c>
      <c r="E4683" s="12" t="s">
        <v>444</v>
      </c>
    </row>
    <row r="4684" spans="1:5" x14ac:dyDescent="0.3">
      <c r="A4684" s="12" t="s">
        <v>96</v>
      </c>
      <c r="B4684" s="12" t="s">
        <v>376</v>
      </c>
      <c r="C4684" s="12" t="s">
        <v>123</v>
      </c>
      <c r="D4684" s="12" t="s">
        <v>445</v>
      </c>
      <c r="E4684" s="12" t="s">
        <v>446</v>
      </c>
    </row>
    <row r="4685" spans="1:5" x14ac:dyDescent="0.3">
      <c r="A4685" s="12" t="s">
        <v>96</v>
      </c>
      <c r="B4685" s="12" t="s">
        <v>376</v>
      </c>
      <c r="C4685" s="12" t="s">
        <v>123</v>
      </c>
      <c r="D4685" s="12" t="s">
        <v>447</v>
      </c>
      <c r="E4685" s="12" t="s">
        <v>448</v>
      </c>
    </row>
    <row r="4686" spans="1:5" x14ac:dyDescent="0.3">
      <c r="A4686" s="12" t="s">
        <v>96</v>
      </c>
      <c r="B4686" s="12" t="s">
        <v>376</v>
      </c>
      <c r="C4686" s="12" t="s">
        <v>123</v>
      </c>
      <c r="D4686" s="12" t="s">
        <v>449</v>
      </c>
      <c r="E4686" s="12" t="s">
        <v>450</v>
      </c>
    </row>
    <row r="4687" spans="1:5" x14ac:dyDescent="0.3">
      <c r="A4687" s="12" t="s">
        <v>96</v>
      </c>
      <c r="B4687" s="12" t="s">
        <v>376</v>
      </c>
      <c r="C4687" s="12" t="s">
        <v>123</v>
      </c>
      <c r="D4687" s="12" t="s">
        <v>451</v>
      </c>
      <c r="E4687" s="12" t="s">
        <v>452</v>
      </c>
    </row>
    <row r="4688" spans="1:5" x14ac:dyDescent="0.3">
      <c r="A4688" s="12" t="s">
        <v>96</v>
      </c>
      <c r="B4688" s="12" t="s">
        <v>376</v>
      </c>
      <c r="C4688" s="12" t="s">
        <v>123</v>
      </c>
      <c r="D4688" s="12" t="s">
        <v>453</v>
      </c>
      <c r="E4688" s="12" t="s">
        <v>454</v>
      </c>
    </row>
    <row r="4689" spans="1:5" x14ac:dyDescent="0.3">
      <c r="A4689" s="12" t="s">
        <v>96</v>
      </c>
      <c r="B4689" s="12" t="s">
        <v>376</v>
      </c>
      <c r="C4689" s="12" t="s">
        <v>123</v>
      </c>
      <c r="D4689" s="12" t="s">
        <v>455</v>
      </c>
      <c r="E4689" s="12" t="s">
        <v>456</v>
      </c>
    </row>
    <row r="4690" spans="1:5" x14ac:dyDescent="0.3">
      <c r="A4690" s="12" t="s">
        <v>96</v>
      </c>
      <c r="B4690" s="12" t="s">
        <v>376</v>
      </c>
      <c r="C4690" s="12" t="s">
        <v>123</v>
      </c>
      <c r="D4690" s="12" t="s">
        <v>457</v>
      </c>
      <c r="E4690" s="12" t="s">
        <v>458</v>
      </c>
    </row>
    <row r="4691" spans="1:5" x14ac:dyDescent="0.3">
      <c r="A4691" s="12" t="s">
        <v>96</v>
      </c>
      <c r="B4691" s="12" t="s">
        <v>376</v>
      </c>
      <c r="C4691" s="12" t="s">
        <v>123</v>
      </c>
      <c r="D4691" s="12" t="s">
        <v>459</v>
      </c>
      <c r="E4691" s="12" t="s">
        <v>460</v>
      </c>
    </row>
    <row r="4692" spans="1:5" x14ac:dyDescent="0.3">
      <c r="A4692" s="12" t="s">
        <v>96</v>
      </c>
      <c r="B4692" s="12" t="s">
        <v>376</v>
      </c>
      <c r="C4692" s="12" t="s">
        <v>123</v>
      </c>
      <c r="D4692" s="12" t="s">
        <v>461</v>
      </c>
      <c r="E4692" s="12" t="s">
        <v>462</v>
      </c>
    </row>
    <row r="4693" spans="1:5" x14ac:dyDescent="0.3">
      <c r="A4693" s="12" t="s">
        <v>96</v>
      </c>
      <c r="B4693" s="12" t="s">
        <v>376</v>
      </c>
      <c r="C4693" s="12" t="s">
        <v>123</v>
      </c>
      <c r="D4693" s="12" t="s">
        <v>463</v>
      </c>
      <c r="E4693" s="12" t="s">
        <v>464</v>
      </c>
    </row>
    <row r="4694" spans="1:5" x14ac:dyDescent="0.3">
      <c r="A4694" s="12" t="s">
        <v>96</v>
      </c>
      <c r="B4694" s="12" t="s">
        <v>376</v>
      </c>
      <c r="C4694" s="12" t="s">
        <v>123</v>
      </c>
      <c r="D4694" s="12" t="s">
        <v>465</v>
      </c>
      <c r="E4694" s="12" t="s">
        <v>466</v>
      </c>
    </row>
    <row r="4695" spans="1:5" x14ac:dyDescent="0.3">
      <c r="A4695" s="12" t="s">
        <v>96</v>
      </c>
      <c r="B4695" s="12" t="s">
        <v>376</v>
      </c>
      <c r="C4695" s="12" t="s">
        <v>123</v>
      </c>
      <c r="D4695" s="12" t="s">
        <v>215</v>
      </c>
      <c r="E4695" s="12" t="s">
        <v>467</v>
      </c>
    </row>
    <row r="4696" spans="1:5" x14ac:dyDescent="0.3">
      <c r="A4696" s="12" t="s">
        <v>96</v>
      </c>
      <c r="B4696" s="12" t="s">
        <v>376</v>
      </c>
      <c r="C4696" s="12" t="s">
        <v>123</v>
      </c>
      <c r="D4696" s="12" t="s">
        <v>468</v>
      </c>
      <c r="E4696" s="12" t="s">
        <v>469</v>
      </c>
    </row>
    <row r="4697" spans="1:5" x14ac:dyDescent="0.3">
      <c r="A4697" s="12" t="s">
        <v>96</v>
      </c>
      <c r="B4697" s="12" t="s">
        <v>376</v>
      </c>
      <c r="C4697" s="12" t="s">
        <v>123</v>
      </c>
      <c r="D4697" s="12" t="s">
        <v>470</v>
      </c>
      <c r="E4697" s="12" t="s">
        <v>471</v>
      </c>
    </row>
    <row r="4698" spans="1:5" x14ac:dyDescent="0.3">
      <c r="A4698" s="12" t="s">
        <v>96</v>
      </c>
      <c r="B4698" s="12" t="s">
        <v>376</v>
      </c>
      <c r="C4698" s="12" t="s">
        <v>123</v>
      </c>
      <c r="D4698" s="12" t="s">
        <v>472</v>
      </c>
      <c r="E4698" s="12" t="s">
        <v>473</v>
      </c>
    </row>
    <row r="4699" spans="1:5" x14ac:dyDescent="0.3">
      <c r="A4699" s="12" t="s">
        <v>96</v>
      </c>
      <c r="B4699" s="12" t="s">
        <v>376</v>
      </c>
      <c r="C4699" s="12" t="s">
        <v>123</v>
      </c>
      <c r="D4699" s="12" t="s">
        <v>474</v>
      </c>
      <c r="E4699" s="12" t="s">
        <v>475</v>
      </c>
    </row>
    <row r="4700" spans="1:5" x14ac:dyDescent="0.3">
      <c r="A4700" s="12" t="s">
        <v>96</v>
      </c>
      <c r="B4700" s="12" t="s">
        <v>376</v>
      </c>
      <c r="C4700" s="12" t="s">
        <v>123</v>
      </c>
      <c r="D4700" s="12" t="s">
        <v>476</v>
      </c>
      <c r="E4700" s="12" t="s">
        <v>477</v>
      </c>
    </row>
    <row r="4701" spans="1:5" x14ac:dyDescent="0.3">
      <c r="A4701" s="12" t="s">
        <v>96</v>
      </c>
      <c r="B4701" s="12" t="s">
        <v>376</v>
      </c>
      <c r="C4701" s="12" t="s">
        <v>123</v>
      </c>
      <c r="D4701" s="12" t="s">
        <v>291</v>
      </c>
      <c r="E4701" s="12" t="s">
        <v>478</v>
      </c>
    </row>
    <row r="4702" spans="1:5" x14ac:dyDescent="0.3">
      <c r="A4702" s="12" t="s">
        <v>96</v>
      </c>
      <c r="B4702" s="12" t="s">
        <v>376</v>
      </c>
      <c r="C4702" s="12" t="s">
        <v>123</v>
      </c>
      <c r="D4702" s="12" t="s">
        <v>479</v>
      </c>
      <c r="E4702" s="12" t="s">
        <v>480</v>
      </c>
    </row>
    <row r="4703" spans="1:5" x14ac:dyDescent="0.3">
      <c r="A4703" s="12" t="s">
        <v>96</v>
      </c>
      <c r="B4703" s="12" t="s">
        <v>376</v>
      </c>
      <c r="C4703" s="12" t="s">
        <v>123</v>
      </c>
      <c r="D4703" s="12" t="s">
        <v>481</v>
      </c>
      <c r="E4703" s="12" t="s">
        <v>482</v>
      </c>
    </row>
    <row r="4704" spans="1:5" x14ac:dyDescent="0.3">
      <c r="A4704" s="12" t="s">
        <v>96</v>
      </c>
      <c r="B4704" s="12" t="s">
        <v>376</v>
      </c>
      <c r="C4704" s="12" t="s">
        <v>123</v>
      </c>
      <c r="D4704" s="12" t="s">
        <v>483</v>
      </c>
      <c r="E4704" s="12" t="s">
        <v>484</v>
      </c>
    </row>
    <row r="4705" spans="1:5" x14ac:dyDescent="0.3">
      <c r="A4705" s="12" t="s">
        <v>96</v>
      </c>
      <c r="B4705" s="12" t="s">
        <v>376</v>
      </c>
      <c r="C4705" s="12" t="s">
        <v>123</v>
      </c>
      <c r="D4705" s="12" t="s">
        <v>485</v>
      </c>
      <c r="E4705" s="12" t="s">
        <v>486</v>
      </c>
    </row>
    <row r="4706" spans="1:5" x14ac:dyDescent="0.3">
      <c r="A4706" s="12" t="s">
        <v>96</v>
      </c>
      <c r="B4706" s="12" t="s">
        <v>376</v>
      </c>
      <c r="C4706" s="12" t="s">
        <v>123</v>
      </c>
      <c r="D4706" s="12" t="s">
        <v>487</v>
      </c>
      <c r="E4706" s="12" t="s">
        <v>488</v>
      </c>
    </row>
    <row r="4707" spans="1:5" x14ac:dyDescent="0.3">
      <c r="A4707" s="12" t="s">
        <v>96</v>
      </c>
      <c r="B4707" s="12" t="s">
        <v>376</v>
      </c>
      <c r="C4707" s="12" t="s">
        <v>123</v>
      </c>
      <c r="D4707" s="12" t="s">
        <v>489</v>
      </c>
      <c r="E4707" s="12" t="s">
        <v>490</v>
      </c>
    </row>
    <row r="4708" spans="1:5" x14ac:dyDescent="0.3">
      <c r="A4708" s="12" t="s">
        <v>96</v>
      </c>
      <c r="B4708" s="12" t="s">
        <v>376</v>
      </c>
      <c r="C4708" s="12" t="s">
        <v>123</v>
      </c>
      <c r="D4708" s="12" t="s">
        <v>491</v>
      </c>
      <c r="E4708" s="12" t="s">
        <v>492</v>
      </c>
    </row>
    <row r="4709" spans="1:5" x14ac:dyDescent="0.3">
      <c r="A4709" s="12" t="s">
        <v>96</v>
      </c>
      <c r="B4709" s="12" t="s">
        <v>376</v>
      </c>
      <c r="C4709" s="12" t="s">
        <v>123</v>
      </c>
      <c r="D4709" s="12" t="s">
        <v>292</v>
      </c>
      <c r="E4709" s="12" t="s">
        <v>493</v>
      </c>
    </row>
    <row r="4710" spans="1:5" x14ac:dyDescent="0.3">
      <c r="A4710" s="12" t="s">
        <v>96</v>
      </c>
      <c r="B4710" s="12" t="s">
        <v>376</v>
      </c>
      <c r="C4710" s="12" t="s">
        <v>123</v>
      </c>
      <c r="D4710" s="12" t="s">
        <v>494</v>
      </c>
      <c r="E4710" s="12" t="s">
        <v>495</v>
      </c>
    </row>
    <row r="4711" spans="1:5" x14ac:dyDescent="0.3">
      <c r="A4711" s="12" t="s">
        <v>96</v>
      </c>
      <c r="B4711" s="12" t="s">
        <v>376</v>
      </c>
      <c r="C4711" s="12" t="s">
        <v>123</v>
      </c>
      <c r="D4711" s="12" t="s">
        <v>496</v>
      </c>
      <c r="E4711" s="12" t="s">
        <v>497</v>
      </c>
    </row>
    <row r="4712" spans="1:5" x14ac:dyDescent="0.3">
      <c r="A4712" s="12" t="s">
        <v>96</v>
      </c>
      <c r="B4712" s="12" t="s">
        <v>376</v>
      </c>
      <c r="C4712" s="12" t="s">
        <v>123</v>
      </c>
      <c r="D4712" s="12" t="s">
        <v>498</v>
      </c>
      <c r="E4712" s="12" t="s">
        <v>499</v>
      </c>
    </row>
    <row r="4713" spans="1:5" x14ac:dyDescent="0.3">
      <c r="A4713" s="12" t="s">
        <v>96</v>
      </c>
      <c r="B4713" s="12" t="s">
        <v>376</v>
      </c>
      <c r="C4713" s="12" t="s">
        <v>123</v>
      </c>
      <c r="D4713" s="12" t="s">
        <v>500</v>
      </c>
      <c r="E4713" s="12" t="s">
        <v>501</v>
      </c>
    </row>
    <row r="4714" spans="1:5" x14ac:dyDescent="0.3">
      <c r="A4714" s="12" t="s">
        <v>96</v>
      </c>
      <c r="B4714" s="12" t="s">
        <v>376</v>
      </c>
      <c r="C4714" s="12" t="s">
        <v>123</v>
      </c>
      <c r="D4714" s="12" t="s">
        <v>502</v>
      </c>
      <c r="E4714" s="12" t="s">
        <v>503</v>
      </c>
    </row>
    <row r="4715" spans="1:5" x14ac:dyDescent="0.3">
      <c r="A4715" s="12" t="s">
        <v>96</v>
      </c>
      <c r="B4715" s="12" t="s">
        <v>376</v>
      </c>
      <c r="C4715" s="12" t="s">
        <v>123</v>
      </c>
      <c r="D4715" s="12" t="s">
        <v>504</v>
      </c>
      <c r="E4715" s="12" t="s">
        <v>505</v>
      </c>
    </row>
    <row r="4716" spans="1:5" x14ac:dyDescent="0.3">
      <c r="A4716" s="12" t="s">
        <v>96</v>
      </c>
      <c r="B4716" s="12" t="s">
        <v>376</v>
      </c>
      <c r="C4716" s="12" t="s">
        <v>123</v>
      </c>
      <c r="D4716" s="12" t="s">
        <v>506</v>
      </c>
      <c r="E4716" s="12" t="s">
        <v>507</v>
      </c>
    </row>
    <row r="4717" spans="1:5" x14ac:dyDescent="0.3">
      <c r="A4717" s="12" t="s">
        <v>96</v>
      </c>
      <c r="B4717" s="12" t="s">
        <v>376</v>
      </c>
      <c r="C4717" s="12" t="s">
        <v>123</v>
      </c>
      <c r="D4717" s="12" t="s">
        <v>508</v>
      </c>
      <c r="E4717" s="12" t="s">
        <v>509</v>
      </c>
    </row>
    <row r="4718" spans="1:5" x14ac:dyDescent="0.3">
      <c r="A4718" s="12" t="s">
        <v>96</v>
      </c>
      <c r="B4718" s="12" t="s">
        <v>376</v>
      </c>
      <c r="C4718" s="12" t="s">
        <v>123</v>
      </c>
      <c r="D4718" s="12" t="s">
        <v>510</v>
      </c>
      <c r="E4718" s="12" t="s">
        <v>511</v>
      </c>
    </row>
    <row r="4719" spans="1:5" x14ac:dyDescent="0.3">
      <c r="A4719" s="12" t="s">
        <v>96</v>
      </c>
      <c r="B4719" s="12" t="s">
        <v>376</v>
      </c>
      <c r="C4719" s="12" t="s">
        <v>123</v>
      </c>
      <c r="D4719" s="12" t="s">
        <v>555</v>
      </c>
      <c r="E4719" s="12" t="s">
        <v>1124</v>
      </c>
    </row>
    <row r="4720" spans="1:5" x14ac:dyDescent="0.3">
      <c r="A4720" s="12" t="s">
        <v>96</v>
      </c>
      <c r="B4720" s="12" t="s">
        <v>376</v>
      </c>
      <c r="C4720" s="12" t="s">
        <v>123</v>
      </c>
      <c r="D4720" s="12" t="s">
        <v>512</v>
      </c>
      <c r="E4720" s="12" t="s">
        <v>513</v>
      </c>
    </row>
    <row r="4721" spans="1:5" x14ac:dyDescent="0.3">
      <c r="A4721" s="12" t="s">
        <v>96</v>
      </c>
      <c r="B4721" s="12" t="s">
        <v>376</v>
      </c>
      <c r="C4721" s="12" t="s">
        <v>123</v>
      </c>
      <c r="D4721" s="12" t="s">
        <v>514</v>
      </c>
      <c r="E4721" s="12" t="s">
        <v>515</v>
      </c>
    </row>
    <row r="4722" spans="1:5" x14ac:dyDescent="0.3">
      <c r="A4722" s="12" t="s">
        <v>96</v>
      </c>
      <c r="B4722" s="12" t="s">
        <v>376</v>
      </c>
      <c r="C4722" s="12" t="s">
        <v>123</v>
      </c>
      <c r="D4722" s="12" t="s">
        <v>516</v>
      </c>
      <c r="E4722" s="12" t="s">
        <v>517</v>
      </c>
    </row>
    <row r="4723" spans="1:5" x14ac:dyDescent="0.3">
      <c r="A4723" s="12" t="s">
        <v>96</v>
      </c>
      <c r="B4723" s="12" t="s">
        <v>518</v>
      </c>
      <c r="C4723" s="12" t="s">
        <v>120</v>
      </c>
      <c r="D4723" s="12" t="s">
        <v>299</v>
      </c>
      <c r="E4723" s="12" t="s">
        <v>519</v>
      </c>
    </row>
    <row r="4724" spans="1:5" x14ac:dyDescent="0.3">
      <c r="A4724" s="12" t="s">
        <v>96</v>
      </c>
      <c r="B4724" s="12" t="s">
        <v>518</v>
      </c>
      <c r="C4724" s="12" t="s">
        <v>123</v>
      </c>
      <c r="D4724" s="12" t="s">
        <v>520</v>
      </c>
      <c r="E4724" s="12" t="s">
        <v>521</v>
      </c>
    </row>
    <row r="4725" spans="1:5" x14ac:dyDescent="0.3">
      <c r="A4725" s="12" t="s">
        <v>96</v>
      </c>
      <c r="B4725" s="12" t="s">
        <v>518</v>
      </c>
      <c r="C4725" s="12" t="s">
        <v>123</v>
      </c>
      <c r="D4725" s="12" t="s">
        <v>520</v>
      </c>
      <c r="E4725" s="12" t="s">
        <v>522</v>
      </c>
    </row>
    <row r="4726" spans="1:5" x14ac:dyDescent="0.3">
      <c r="A4726" s="12" t="s">
        <v>96</v>
      </c>
      <c r="B4726" s="12" t="s">
        <v>518</v>
      </c>
      <c r="C4726" s="12" t="s">
        <v>123</v>
      </c>
      <c r="D4726" s="12" t="s">
        <v>520</v>
      </c>
      <c r="E4726" s="12" t="s">
        <v>523</v>
      </c>
    </row>
    <row r="4727" spans="1:5" x14ac:dyDescent="0.3">
      <c r="A4727" s="12" t="s">
        <v>96</v>
      </c>
      <c r="B4727" s="12" t="s">
        <v>518</v>
      </c>
      <c r="C4727" s="12" t="s">
        <v>123</v>
      </c>
      <c r="D4727" s="12" t="s">
        <v>520</v>
      </c>
      <c r="E4727" s="12" t="s">
        <v>524</v>
      </c>
    </row>
    <row r="4728" spans="1:5" x14ac:dyDescent="0.3">
      <c r="A4728" s="12" t="s">
        <v>96</v>
      </c>
      <c r="B4728" s="12" t="s">
        <v>518</v>
      </c>
      <c r="C4728" s="12" t="s">
        <v>123</v>
      </c>
      <c r="D4728" s="12" t="s">
        <v>520</v>
      </c>
      <c r="E4728" s="12" t="s">
        <v>525</v>
      </c>
    </row>
    <row r="4729" spans="1:5" x14ac:dyDescent="0.3">
      <c r="A4729" s="12" t="s">
        <v>96</v>
      </c>
      <c r="B4729" s="12" t="s">
        <v>518</v>
      </c>
      <c r="C4729" s="12" t="s">
        <v>123</v>
      </c>
      <c r="D4729" s="12" t="s">
        <v>520</v>
      </c>
      <c r="E4729" s="12" t="s">
        <v>526</v>
      </c>
    </row>
    <row r="4730" spans="1:5" x14ac:dyDescent="0.3">
      <c r="A4730" s="12" t="s">
        <v>96</v>
      </c>
      <c r="B4730" s="12" t="s">
        <v>518</v>
      </c>
      <c r="C4730" s="12" t="s">
        <v>123</v>
      </c>
      <c r="D4730" s="12" t="s">
        <v>520</v>
      </c>
      <c r="E4730" s="12" t="s">
        <v>527</v>
      </c>
    </row>
    <row r="4731" spans="1:5" x14ac:dyDescent="0.3">
      <c r="A4731" s="12" t="s">
        <v>96</v>
      </c>
      <c r="B4731" s="12" t="s">
        <v>518</v>
      </c>
      <c r="C4731" s="12" t="s">
        <v>123</v>
      </c>
      <c r="D4731" s="12" t="s">
        <v>520</v>
      </c>
      <c r="E4731" s="12" t="s">
        <v>528</v>
      </c>
    </row>
    <row r="4732" spans="1:5" x14ac:dyDescent="0.3">
      <c r="A4732" s="12" t="s">
        <v>96</v>
      </c>
      <c r="B4732" s="12" t="s">
        <v>518</v>
      </c>
      <c r="C4732" s="12" t="s">
        <v>123</v>
      </c>
      <c r="D4732" s="12" t="s">
        <v>520</v>
      </c>
      <c r="E4732" s="12" t="s">
        <v>529</v>
      </c>
    </row>
    <row r="4733" spans="1:5" x14ac:dyDescent="0.3">
      <c r="A4733" s="12" t="s">
        <v>96</v>
      </c>
      <c r="B4733" s="12" t="s">
        <v>518</v>
      </c>
      <c r="C4733" s="12" t="s">
        <v>123</v>
      </c>
      <c r="D4733" s="12" t="s">
        <v>520</v>
      </c>
      <c r="E4733" s="12" t="s">
        <v>530</v>
      </c>
    </row>
    <row r="4734" spans="1:5" x14ac:dyDescent="0.3">
      <c r="A4734" s="12" t="s">
        <v>96</v>
      </c>
      <c r="B4734" s="12" t="s">
        <v>518</v>
      </c>
      <c r="C4734" s="12" t="s">
        <v>123</v>
      </c>
      <c r="D4734" s="12" t="s">
        <v>520</v>
      </c>
      <c r="E4734" s="12" t="s">
        <v>531</v>
      </c>
    </row>
    <row r="4735" spans="1:5" x14ac:dyDescent="0.3">
      <c r="A4735" s="12" t="s">
        <v>96</v>
      </c>
      <c r="B4735" s="12" t="s">
        <v>518</v>
      </c>
      <c r="C4735" s="12" t="s">
        <v>123</v>
      </c>
      <c r="D4735" s="12" t="s">
        <v>520</v>
      </c>
      <c r="E4735" s="12" t="s">
        <v>532</v>
      </c>
    </row>
    <row r="4736" spans="1:5" x14ac:dyDescent="0.3">
      <c r="A4736" s="12" t="s">
        <v>96</v>
      </c>
      <c r="B4736" s="12" t="s">
        <v>518</v>
      </c>
      <c r="C4736" s="12" t="s">
        <v>123</v>
      </c>
      <c r="D4736" s="12" t="s">
        <v>520</v>
      </c>
      <c r="E4736" s="12" t="s">
        <v>533</v>
      </c>
    </row>
    <row r="4737" spans="1:5" x14ac:dyDescent="0.3">
      <c r="A4737" s="12" t="s">
        <v>96</v>
      </c>
      <c r="B4737" s="12" t="s">
        <v>518</v>
      </c>
      <c r="C4737" s="12" t="s">
        <v>123</v>
      </c>
      <c r="D4737" s="12" t="s">
        <v>520</v>
      </c>
      <c r="E4737" s="12" t="s">
        <v>534</v>
      </c>
    </row>
    <row r="4738" spans="1:5" x14ac:dyDescent="0.3">
      <c r="A4738" s="12" t="s">
        <v>96</v>
      </c>
      <c r="B4738" s="12" t="s">
        <v>518</v>
      </c>
      <c r="C4738" s="12" t="s">
        <v>123</v>
      </c>
      <c r="D4738" s="12" t="s">
        <v>520</v>
      </c>
      <c r="E4738" s="12" t="s">
        <v>535</v>
      </c>
    </row>
    <row r="4739" spans="1:5" x14ac:dyDescent="0.3">
      <c r="A4739" s="12" t="s">
        <v>96</v>
      </c>
      <c r="B4739" s="12" t="s">
        <v>518</v>
      </c>
      <c r="C4739" s="12" t="s">
        <v>123</v>
      </c>
      <c r="D4739" s="12" t="s">
        <v>520</v>
      </c>
      <c r="E4739" s="12" t="s">
        <v>536</v>
      </c>
    </row>
    <row r="4740" spans="1:5" x14ac:dyDescent="0.3">
      <c r="A4740" s="12" t="s">
        <v>96</v>
      </c>
      <c r="B4740" s="12" t="s">
        <v>518</v>
      </c>
      <c r="C4740" s="12" t="s">
        <v>123</v>
      </c>
      <c r="D4740" s="12" t="s">
        <v>520</v>
      </c>
      <c r="E4740" s="12" t="s">
        <v>537</v>
      </c>
    </row>
    <row r="4741" spans="1:5" x14ac:dyDescent="0.3">
      <c r="A4741" s="12" t="s">
        <v>96</v>
      </c>
      <c r="B4741" s="12" t="s">
        <v>518</v>
      </c>
      <c r="C4741" s="12" t="s">
        <v>123</v>
      </c>
      <c r="D4741" s="12" t="s">
        <v>538</v>
      </c>
      <c r="E4741" s="12" t="s">
        <v>539</v>
      </c>
    </row>
    <row r="4742" spans="1:5" x14ac:dyDescent="0.3">
      <c r="A4742" s="12" t="s">
        <v>96</v>
      </c>
      <c r="B4742" s="12" t="s">
        <v>518</v>
      </c>
      <c r="C4742" s="12" t="s">
        <v>123</v>
      </c>
      <c r="D4742" s="12" t="s">
        <v>540</v>
      </c>
      <c r="E4742" s="12" t="s">
        <v>541</v>
      </c>
    </row>
    <row r="4743" spans="1:5" x14ac:dyDescent="0.3">
      <c r="A4743" s="12" t="s">
        <v>96</v>
      </c>
      <c r="B4743" s="12" t="s">
        <v>518</v>
      </c>
      <c r="C4743" s="12" t="s">
        <v>123</v>
      </c>
      <c r="D4743" s="12" t="s">
        <v>542</v>
      </c>
      <c r="E4743" s="12" t="s">
        <v>1506</v>
      </c>
    </row>
    <row r="4744" spans="1:5" x14ac:dyDescent="0.3">
      <c r="A4744" s="12" t="s">
        <v>96</v>
      </c>
      <c r="B4744" s="12" t="s">
        <v>518</v>
      </c>
      <c r="C4744" s="12" t="s">
        <v>123</v>
      </c>
      <c r="D4744" s="12" t="s">
        <v>542</v>
      </c>
      <c r="E4744" s="12" t="s">
        <v>543</v>
      </c>
    </row>
    <row r="4745" spans="1:5" x14ac:dyDescent="0.3">
      <c r="A4745" s="12" t="s">
        <v>96</v>
      </c>
      <c r="B4745" s="12" t="s">
        <v>518</v>
      </c>
      <c r="C4745" s="12" t="s">
        <v>123</v>
      </c>
      <c r="D4745" s="12" t="s">
        <v>542</v>
      </c>
      <c r="E4745" s="12" t="s">
        <v>544</v>
      </c>
    </row>
    <row r="4746" spans="1:5" x14ac:dyDescent="0.3">
      <c r="A4746" s="12" t="s">
        <v>96</v>
      </c>
      <c r="B4746" s="12" t="s">
        <v>518</v>
      </c>
      <c r="C4746" s="12" t="s">
        <v>123</v>
      </c>
      <c r="D4746" s="12" t="s">
        <v>542</v>
      </c>
      <c r="E4746" s="12" t="s">
        <v>545</v>
      </c>
    </row>
    <row r="4747" spans="1:5" x14ac:dyDescent="0.3">
      <c r="A4747" s="12" t="s">
        <v>96</v>
      </c>
      <c r="B4747" s="12" t="s">
        <v>518</v>
      </c>
      <c r="C4747" s="12" t="s">
        <v>123</v>
      </c>
      <c r="D4747" s="12" t="s">
        <v>542</v>
      </c>
      <c r="E4747" s="12" t="s">
        <v>546</v>
      </c>
    </row>
    <row r="4748" spans="1:5" x14ac:dyDescent="0.3">
      <c r="A4748" s="12" t="s">
        <v>96</v>
      </c>
      <c r="B4748" s="12" t="s">
        <v>518</v>
      </c>
      <c r="C4748" s="12" t="s">
        <v>123</v>
      </c>
      <c r="D4748" s="12" t="s">
        <v>542</v>
      </c>
      <c r="E4748" s="12" t="s">
        <v>547</v>
      </c>
    </row>
    <row r="4749" spans="1:5" x14ac:dyDescent="0.3">
      <c r="A4749" s="12" t="s">
        <v>96</v>
      </c>
      <c r="B4749" s="12" t="s">
        <v>518</v>
      </c>
      <c r="C4749" s="12" t="s">
        <v>123</v>
      </c>
      <c r="D4749" s="12" t="s">
        <v>542</v>
      </c>
      <c r="E4749" s="12" t="s">
        <v>1507</v>
      </c>
    </row>
    <row r="4750" spans="1:5" x14ac:dyDescent="0.3">
      <c r="A4750" s="12" t="s">
        <v>96</v>
      </c>
      <c r="B4750" s="12" t="s">
        <v>518</v>
      </c>
      <c r="C4750" s="12" t="s">
        <v>123</v>
      </c>
      <c r="D4750" s="12" t="s">
        <v>542</v>
      </c>
      <c r="E4750" s="12" t="s">
        <v>1508</v>
      </c>
    </row>
    <row r="4751" spans="1:5" x14ac:dyDescent="0.3">
      <c r="A4751" s="12" t="s">
        <v>96</v>
      </c>
      <c r="B4751" s="12" t="s">
        <v>518</v>
      </c>
      <c r="C4751" s="12" t="s">
        <v>123</v>
      </c>
      <c r="D4751" s="12" t="s">
        <v>542</v>
      </c>
      <c r="E4751" s="12" t="s">
        <v>548</v>
      </c>
    </row>
    <row r="4752" spans="1:5" x14ac:dyDescent="0.3">
      <c r="A4752" s="12" t="s">
        <v>96</v>
      </c>
      <c r="B4752" s="12" t="s">
        <v>518</v>
      </c>
      <c r="C4752" s="12" t="s">
        <v>123</v>
      </c>
      <c r="D4752" s="12" t="s">
        <v>542</v>
      </c>
      <c r="E4752" s="12" t="s">
        <v>549</v>
      </c>
    </row>
    <row r="4753" spans="1:7" x14ac:dyDescent="0.3">
      <c r="A4753" s="12" t="s">
        <v>96</v>
      </c>
      <c r="B4753" s="12" t="s">
        <v>518</v>
      </c>
      <c r="C4753" s="12" t="s">
        <v>123</v>
      </c>
      <c r="D4753" s="12" t="s">
        <v>542</v>
      </c>
      <c r="E4753" s="12" t="s">
        <v>550</v>
      </c>
    </row>
    <row r="4754" spans="1:7" x14ac:dyDescent="0.3">
      <c r="A4754" s="12" t="s">
        <v>96</v>
      </c>
      <c r="B4754" s="12" t="s">
        <v>518</v>
      </c>
      <c r="C4754" s="12" t="s">
        <v>123</v>
      </c>
      <c r="D4754" s="12" t="s">
        <v>542</v>
      </c>
      <c r="E4754" s="12" t="s">
        <v>551</v>
      </c>
    </row>
    <row r="4755" spans="1:7" x14ac:dyDescent="0.3">
      <c r="A4755" s="12" t="s">
        <v>96</v>
      </c>
      <c r="B4755" s="12" t="s">
        <v>518</v>
      </c>
      <c r="C4755" s="12" t="s">
        <v>123</v>
      </c>
      <c r="E4755" s="12" t="s">
        <v>552</v>
      </c>
    </row>
    <row r="4756" spans="1:7" customFormat="1" x14ac:dyDescent="0.3">
      <c r="A4756" s="34" t="s">
        <v>770</v>
      </c>
      <c r="B4756" s="35" t="s">
        <v>119</v>
      </c>
      <c r="C4756" s="35" t="s">
        <v>123</v>
      </c>
      <c r="D4756" s="35" t="s">
        <v>124</v>
      </c>
      <c r="E4756" s="35" t="s">
        <v>125</v>
      </c>
      <c r="F4756" s="35"/>
      <c r="G4756" s="35"/>
    </row>
    <row r="4757" spans="1:7" customFormat="1" x14ac:dyDescent="0.3">
      <c r="A4757" s="31" t="s">
        <v>770</v>
      </c>
      <c r="B4757" t="s">
        <v>119</v>
      </c>
      <c r="C4757" t="s">
        <v>123</v>
      </c>
      <c r="D4757" t="s">
        <v>126</v>
      </c>
    </row>
    <row r="4758" spans="1:7" customFormat="1" x14ac:dyDescent="0.3">
      <c r="A4758" s="31" t="s">
        <v>770</v>
      </c>
      <c r="B4758" t="s">
        <v>119</v>
      </c>
      <c r="C4758" t="s">
        <v>123</v>
      </c>
      <c r="D4758" t="s">
        <v>127</v>
      </c>
      <c r="E4758" t="s">
        <v>128</v>
      </c>
    </row>
    <row r="4759" spans="1:7" customFormat="1" x14ac:dyDescent="0.3">
      <c r="A4759" s="31" t="s">
        <v>770</v>
      </c>
      <c r="B4759" t="s">
        <v>119</v>
      </c>
      <c r="C4759" t="s">
        <v>123</v>
      </c>
      <c r="D4759" t="s">
        <v>129</v>
      </c>
      <c r="E4759" t="s">
        <v>1152</v>
      </c>
    </row>
    <row r="4760" spans="1:7" customFormat="1" x14ac:dyDescent="0.3">
      <c r="A4760" s="31" t="s">
        <v>770</v>
      </c>
      <c r="B4760" t="s">
        <v>119</v>
      </c>
      <c r="C4760" t="s">
        <v>123</v>
      </c>
      <c r="D4760" t="s">
        <v>131</v>
      </c>
      <c r="E4760" t="s">
        <v>1153</v>
      </c>
    </row>
    <row r="4761" spans="1:7" customFormat="1" x14ac:dyDescent="0.3">
      <c r="A4761" s="31" t="s">
        <v>770</v>
      </c>
      <c r="B4761" t="s">
        <v>133</v>
      </c>
      <c r="C4761" t="s">
        <v>120</v>
      </c>
      <c r="D4761" t="s">
        <v>121</v>
      </c>
      <c r="E4761" t="s">
        <v>122</v>
      </c>
    </row>
    <row r="4762" spans="1:7" customFormat="1" x14ac:dyDescent="0.3">
      <c r="A4762" s="31" t="s">
        <v>770</v>
      </c>
      <c r="B4762" t="s">
        <v>133</v>
      </c>
      <c r="C4762" t="s">
        <v>123</v>
      </c>
      <c r="D4762" t="s">
        <v>134</v>
      </c>
    </row>
    <row r="4763" spans="1:7" customFormat="1" x14ac:dyDescent="0.3">
      <c r="A4763" s="31" t="s">
        <v>770</v>
      </c>
      <c r="B4763" t="s">
        <v>133</v>
      </c>
      <c r="C4763" t="s">
        <v>123</v>
      </c>
      <c r="D4763" t="s">
        <v>135</v>
      </c>
    </row>
    <row r="4764" spans="1:7" customFormat="1" x14ac:dyDescent="0.3">
      <c r="A4764" s="31" t="s">
        <v>770</v>
      </c>
      <c r="B4764" t="s">
        <v>133</v>
      </c>
      <c r="C4764" t="s">
        <v>123</v>
      </c>
      <c r="D4764" t="s">
        <v>136</v>
      </c>
    </row>
    <row r="4765" spans="1:7" customFormat="1" x14ac:dyDescent="0.3">
      <c r="A4765" s="31" t="s">
        <v>770</v>
      </c>
      <c r="B4765" t="s">
        <v>133</v>
      </c>
      <c r="C4765" t="s">
        <v>123</v>
      </c>
      <c r="D4765" t="s">
        <v>137</v>
      </c>
    </row>
    <row r="4766" spans="1:7" customFormat="1" x14ac:dyDescent="0.3">
      <c r="A4766" s="31" t="s">
        <v>770</v>
      </c>
      <c r="B4766" t="s">
        <v>133</v>
      </c>
      <c r="C4766" t="s">
        <v>123</v>
      </c>
      <c r="D4766" t="s">
        <v>138</v>
      </c>
      <c r="E4766" t="s">
        <v>139</v>
      </c>
    </row>
    <row r="4767" spans="1:7" customFormat="1" x14ac:dyDescent="0.3">
      <c r="A4767" s="31" t="s">
        <v>770</v>
      </c>
      <c r="B4767" t="s">
        <v>133</v>
      </c>
      <c r="C4767" t="s">
        <v>123</v>
      </c>
      <c r="D4767" t="s">
        <v>140</v>
      </c>
      <c r="E4767" t="s">
        <v>141</v>
      </c>
    </row>
    <row r="4768" spans="1:7" customFormat="1" x14ac:dyDescent="0.3">
      <c r="A4768" s="31" t="s">
        <v>770</v>
      </c>
      <c r="B4768" t="s">
        <v>133</v>
      </c>
      <c r="C4768" t="s">
        <v>123</v>
      </c>
      <c r="D4768" t="s">
        <v>142</v>
      </c>
      <c r="E4768" t="s">
        <v>114</v>
      </c>
    </row>
    <row r="4769" spans="1:9" customFormat="1" x14ac:dyDescent="0.3">
      <c r="A4769" s="31" t="s">
        <v>770</v>
      </c>
      <c r="B4769" t="s">
        <v>143</v>
      </c>
      <c r="C4769" t="s">
        <v>120</v>
      </c>
      <c r="D4769" t="s">
        <v>144</v>
      </c>
      <c r="E4769" t="s">
        <v>145</v>
      </c>
      <c r="F4769" t="s">
        <v>146</v>
      </c>
      <c r="G4769" t="s">
        <v>147</v>
      </c>
      <c r="H4769" t="s">
        <v>148</v>
      </c>
      <c r="I4769" t="s">
        <v>99</v>
      </c>
    </row>
    <row r="4770" spans="1:9" customFormat="1" x14ac:dyDescent="0.3">
      <c r="A4770" s="31" t="s">
        <v>770</v>
      </c>
      <c r="B4770" t="s">
        <v>143</v>
      </c>
      <c r="C4770" t="s">
        <v>123</v>
      </c>
      <c r="D4770" t="s">
        <v>149</v>
      </c>
      <c r="E4770">
        <v>-30466.238874999999</v>
      </c>
      <c r="F4770">
        <v>26291.51</v>
      </c>
      <c r="G4770">
        <v>-15103.088874999999</v>
      </c>
      <c r="H4770">
        <v>11188.421125000001</v>
      </c>
      <c r="I4770">
        <v>41654.660000000003</v>
      </c>
    </row>
    <row r="4771" spans="1:9" customFormat="1" x14ac:dyDescent="0.3">
      <c r="A4771" s="31" t="s">
        <v>770</v>
      </c>
      <c r="B4771" t="s">
        <v>143</v>
      </c>
      <c r="C4771" t="s">
        <v>123</v>
      </c>
      <c r="D4771" t="s">
        <v>150</v>
      </c>
      <c r="E4771">
        <v>539556.92000000004</v>
      </c>
      <c r="F4771">
        <v>501385.9</v>
      </c>
      <c r="G4771">
        <v>0</v>
      </c>
      <c r="H4771">
        <v>501385.9</v>
      </c>
      <c r="I4771">
        <v>-38171.019999999997</v>
      </c>
    </row>
    <row r="4772" spans="1:9" customFormat="1" x14ac:dyDescent="0.3">
      <c r="A4772" s="31" t="s">
        <v>770</v>
      </c>
      <c r="B4772" t="s">
        <v>143</v>
      </c>
      <c r="C4772" t="s">
        <v>123</v>
      </c>
      <c r="D4772" t="s">
        <v>151</v>
      </c>
      <c r="E4772">
        <v>-51.92</v>
      </c>
      <c r="F4772">
        <v>0</v>
      </c>
      <c r="G4772">
        <v>-51.91</v>
      </c>
      <c r="H4772">
        <v>-51.91</v>
      </c>
      <c r="I4772">
        <v>0.01</v>
      </c>
    </row>
    <row r="4773" spans="1:9" customFormat="1" x14ac:dyDescent="0.3">
      <c r="A4773" s="31" t="s">
        <v>770</v>
      </c>
      <c r="B4773" t="s">
        <v>143</v>
      </c>
      <c r="C4773" t="s">
        <v>123</v>
      </c>
      <c r="D4773" t="s">
        <v>152</v>
      </c>
      <c r="E4773">
        <v>50.6</v>
      </c>
      <c r="F4773">
        <v>140.66</v>
      </c>
      <c r="G4773">
        <v>0</v>
      </c>
      <c r="H4773">
        <v>140.66</v>
      </c>
      <c r="I4773">
        <v>90.06</v>
      </c>
    </row>
    <row r="4774" spans="1:9" customFormat="1" x14ac:dyDescent="0.3">
      <c r="A4774" s="31" t="s">
        <v>770</v>
      </c>
      <c r="B4774" t="s">
        <v>143</v>
      </c>
      <c r="C4774" t="s">
        <v>123</v>
      </c>
      <c r="D4774" t="s">
        <v>97</v>
      </c>
      <c r="E4774">
        <v>509089.361125</v>
      </c>
      <c r="F4774">
        <v>527818.06999999995</v>
      </c>
      <c r="G4774">
        <v>-15154.998874999999</v>
      </c>
      <c r="H4774">
        <v>512663.07112500002</v>
      </c>
      <c r="I4774">
        <v>3573.71</v>
      </c>
    </row>
    <row r="4775" spans="1:9" customFormat="1" x14ac:dyDescent="0.3">
      <c r="A4775" s="31" t="s">
        <v>770</v>
      </c>
      <c r="B4775" t="s">
        <v>143</v>
      </c>
      <c r="C4775" t="s">
        <v>120</v>
      </c>
      <c r="D4775" t="s">
        <v>153</v>
      </c>
    </row>
    <row r="4776" spans="1:9" customFormat="1" x14ac:dyDescent="0.3">
      <c r="A4776" s="31" t="s">
        <v>770</v>
      </c>
      <c r="B4776" t="s">
        <v>143</v>
      </c>
      <c r="C4776" t="s">
        <v>123</v>
      </c>
      <c r="D4776" s="32">
        <v>7.0198088399999999E-3</v>
      </c>
    </row>
    <row r="4777" spans="1:9" customFormat="1" x14ac:dyDescent="0.3">
      <c r="A4777" s="31" t="s">
        <v>770</v>
      </c>
      <c r="B4777" t="s">
        <v>154</v>
      </c>
      <c r="C4777" t="s">
        <v>120</v>
      </c>
      <c r="D4777" t="s">
        <v>121</v>
      </c>
      <c r="E4777" t="s">
        <v>122</v>
      </c>
    </row>
    <row r="4778" spans="1:9" customFormat="1" x14ac:dyDescent="0.3">
      <c r="A4778" s="31" t="s">
        <v>770</v>
      </c>
      <c r="B4778" t="s">
        <v>154</v>
      </c>
      <c r="C4778" t="s">
        <v>123</v>
      </c>
      <c r="D4778" t="s">
        <v>155</v>
      </c>
      <c r="E4778">
        <v>509089.361125</v>
      </c>
    </row>
    <row r="4779" spans="1:9" customFormat="1" x14ac:dyDescent="0.3">
      <c r="A4779" s="31" t="s">
        <v>770</v>
      </c>
      <c r="B4779" t="s">
        <v>154</v>
      </c>
      <c r="C4779" t="s">
        <v>123</v>
      </c>
      <c r="D4779" t="s">
        <v>156</v>
      </c>
      <c r="E4779">
        <v>2949.04</v>
      </c>
    </row>
    <row r="4780" spans="1:9" customFormat="1" x14ac:dyDescent="0.3">
      <c r="A4780" s="31" t="s">
        <v>770</v>
      </c>
      <c r="B4780" t="s">
        <v>154</v>
      </c>
      <c r="C4780" t="s">
        <v>123</v>
      </c>
      <c r="D4780" t="s">
        <v>157</v>
      </c>
      <c r="E4780">
        <v>784.83</v>
      </c>
    </row>
    <row r="4781" spans="1:9" customFormat="1" x14ac:dyDescent="0.3">
      <c r="A4781" s="31" t="s">
        <v>770</v>
      </c>
      <c r="B4781" t="s">
        <v>154</v>
      </c>
      <c r="C4781" t="s">
        <v>123</v>
      </c>
      <c r="D4781" t="s">
        <v>158</v>
      </c>
      <c r="E4781">
        <v>-196.25</v>
      </c>
    </row>
    <row r="4782" spans="1:9" customFormat="1" x14ac:dyDescent="0.3">
      <c r="A4782" s="31" t="s">
        <v>770</v>
      </c>
      <c r="B4782" t="s">
        <v>154</v>
      </c>
      <c r="C4782" t="s">
        <v>123</v>
      </c>
      <c r="D4782" t="s">
        <v>159</v>
      </c>
      <c r="E4782">
        <v>90.06</v>
      </c>
    </row>
    <row r="4783" spans="1:9" customFormat="1" x14ac:dyDescent="0.3">
      <c r="A4783" s="31" t="s">
        <v>770</v>
      </c>
      <c r="B4783" t="s">
        <v>154</v>
      </c>
      <c r="C4783" t="s">
        <v>123</v>
      </c>
      <c r="D4783" t="s">
        <v>160</v>
      </c>
      <c r="E4783">
        <v>-53.38</v>
      </c>
    </row>
    <row r="4784" spans="1:9" customFormat="1" x14ac:dyDescent="0.3">
      <c r="A4784" s="31" t="s">
        <v>770</v>
      </c>
      <c r="B4784" t="s">
        <v>154</v>
      </c>
      <c r="C4784" t="s">
        <v>123</v>
      </c>
      <c r="D4784" t="s">
        <v>161</v>
      </c>
      <c r="E4784">
        <v>0.01</v>
      </c>
    </row>
    <row r="4785" spans="1:15" customFormat="1" x14ac:dyDescent="0.3">
      <c r="A4785" s="31" t="s">
        <v>770</v>
      </c>
      <c r="B4785" t="s">
        <v>154</v>
      </c>
      <c r="C4785" t="s">
        <v>123</v>
      </c>
      <c r="D4785" t="s">
        <v>1154</v>
      </c>
      <c r="E4785">
        <v>-0.6</v>
      </c>
    </row>
    <row r="4786" spans="1:15" customFormat="1" x14ac:dyDescent="0.3">
      <c r="A4786" s="31" t="s">
        <v>770</v>
      </c>
      <c r="B4786" t="s">
        <v>154</v>
      </c>
      <c r="C4786" t="s">
        <v>123</v>
      </c>
      <c r="D4786" t="s">
        <v>163</v>
      </c>
      <c r="E4786">
        <v>512663.07112500002</v>
      </c>
    </row>
    <row r="4787" spans="1:15" customFormat="1" x14ac:dyDescent="0.3">
      <c r="A4787" s="31" t="s">
        <v>770</v>
      </c>
      <c r="B4787" t="s">
        <v>164</v>
      </c>
      <c r="C4787" t="s">
        <v>120</v>
      </c>
      <c r="D4787" t="s">
        <v>100</v>
      </c>
      <c r="E4787" t="s">
        <v>0</v>
      </c>
      <c r="F4787" t="s">
        <v>101</v>
      </c>
      <c r="G4787" t="s">
        <v>102</v>
      </c>
      <c r="H4787" t="s">
        <v>103</v>
      </c>
      <c r="I4787" t="s">
        <v>104</v>
      </c>
      <c r="J4787" t="s">
        <v>105</v>
      </c>
      <c r="K4787" t="s">
        <v>106</v>
      </c>
      <c r="L4787" t="s">
        <v>107</v>
      </c>
      <c r="M4787" t="s">
        <v>108</v>
      </c>
      <c r="N4787" t="s">
        <v>109</v>
      </c>
      <c r="O4787" t="s">
        <v>165</v>
      </c>
    </row>
    <row r="4788" spans="1:15" customFormat="1" x14ac:dyDescent="0.3">
      <c r="A4788" s="31" t="s">
        <v>770</v>
      </c>
      <c r="B4788" t="s">
        <v>164</v>
      </c>
      <c r="C4788" t="s">
        <v>123</v>
      </c>
      <c r="D4788" t="s">
        <v>110</v>
      </c>
      <c r="E4788" t="s">
        <v>2</v>
      </c>
      <c r="F4788">
        <v>72</v>
      </c>
      <c r="G4788">
        <v>72</v>
      </c>
      <c r="H4788">
        <v>229</v>
      </c>
      <c r="I4788">
        <v>233</v>
      </c>
      <c r="J4788">
        <v>288</v>
      </c>
      <c r="K4788">
        <v>0</v>
      </c>
      <c r="L4788">
        <v>0</v>
      </c>
      <c r="M4788">
        <v>0</v>
      </c>
      <c r="N4788">
        <v>288</v>
      </c>
    </row>
    <row r="4789" spans="1:15" customFormat="1" x14ac:dyDescent="0.3">
      <c r="A4789" s="31" t="s">
        <v>770</v>
      </c>
      <c r="B4789" t="s">
        <v>164</v>
      </c>
      <c r="C4789" t="s">
        <v>123</v>
      </c>
      <c r="D4789" t="s">
        <v>110</v>
      </c>
      <c r="E4789" t="s">
        <v>45</v>
      </c>
      <c r="F4789">
        <v>75</v>
      </c>
      <c r="G4789">
        <v>75</v>
      </c>
      <c r="H4789">
        <v>148.56</v>
      </c>
      <c r="I4789">
        <v>164.08</v>
      </c>
      <c r="J4789">
        <v>1164</v>
      </c>
      <c r="K4789">
        <v>0</v>
      </c>
      <c r="L4789">
        <v>0</v>
      </c>
      <c r="M4789">
        <v>0</v>
      </c>
      <c r="N4789">
        <v>1164</v>
      </c>
    </row>
    <row r="4790" spans="1:15" customFormat="1" x14ac:dyDescent="0.3">
      <c r="A4790" s="31" t="s">
        <v>770</v>
      </c>
      <c r="B4790" t="s">
        <v>164</v>
      </c>
      <c r="C4790" t="s">
        <v>123</v>
      </c>
      <c r="D4790" t="s">
        <v>110</v>
      </c>
      <c r="E4790" t="s">
        <v>5</v>
      </c>
      <c r="F4790">
        <v>78</v>
      </c>
      <c r="G4790">
        <v>78</v>
      </c>
      <c r="H4790">
        <v>178.5</v>
      </c>
      <c r="I4790">
        <v>186.33</v>
      </c>
      <c r="J4790">
        <v>610.74</v>
      </c>
      <c r="K4790">
        <v>0</v>
      </c>
      <c r="L4790">
        <v>0</v>
      </c>
      <c r="M4790">
        <v>0</v>
      </c>
      <c r="N4790">
        <v>610.74</v>
      </c>
    </row>
    <row r="4791" spans="1:15" customFormat="1" x14ac:dyDescent="0.3">
      <c r="A4791" s="31" t="s">
        <v>770</v>
      </c>
      <c r="B4791" t="s">
        <v>164</v>
      </c>
      <c r="C4791" t="s">
        <v>123</v>
      </c>
      <c r="D4791" t="s">
        <v>110</v>
      </c>
      <c r="E4791" t="s">
        <v>65</v>
      </c>
      <c r="F4791">
        <v>70</v>
      </c>
      <c r="G4791">
        <v>70</v>
      </c>
      <c r="H4791">
        <v>67.45</v>
      </c>
      <c r="I4791">
        <v>65.16</v>
      </c>
      <c r="J4791">
        <v>-160.30000000000001</v>
      </c>
      <c r="K4791">
        <v>0</v>
      </c>
      <c r="L4791">
        <v>0</v>
      </c>
      <c r="M4791">
        <v>0</v>
      </c>
      <c r="N4791">
        <v>-160.30000000000001</v>
      </c>
    </row>
    <row r="4792" spans="1:15" customFormat="1" x14ac:dyDescent="0.3">
      <c r="A4792" s="31" t="s">
        <v>770</v>
      </c>
      <c r="B4792" t="s">
        <v>164</v>
      </c>
      <c r="C4792" t="s">
        <v>123</v>
      </c>
      <c r="D4792" t="s">
        <v>110</v>
      </c>
      <c r="E4792" t="s">
        <v>58</v>
      </c>
      <c r="F4792">
        <v>70</v>
      </c>
      <c r="G4792">
        <v>70</v>
      </c>
      <c r="H4792">
        <v>132.88</v>
      </c>
      <c r="I4792">
        <v>143.01</v>
      </c>
      <c r="J4792">
        <v>709.1</v>
      </c>
      <c r="K4792">
        <v>0</v>
      </c>
      <c r="L4792">
        <v>0</v>
      </c>
      <c r="M4792">
        <v>0</v>
      </c>
      <c r="N4792">
        <v>709.1</v>
      </c>
    </row>
    <row r="4793" spans="1:15" customFormat="1" x14ac:dyDescent="0.3">
      <c r="A4793" s="31" t="s">
        <v>770</v>
      </c>
      <c r="B4793" t="s">
        <v>164</v>
      </c>
      <c r="C4793" t="s">
        <v>123</v>
      </c>
      <c r="D4793" t="s">
        <v>110</v>
      </c>
      <c r="E4793" t="s">
        <v>7</v>
      </c>
      <c r="F4793">
        <v>70</v>
      </c>
      <c r="G4793">
        <v>35</v>
      </c>
      <c r="H4793">
        <v>162.82</v>
      </c>
      <c r="I4793">
        <v>172.5</v>
      </c>
      <c r="J4793">
        <v>-11.2</v>
      </c>
      <c r="K4793">
        <v>-2.4500000000000002</v>
      </c>
      <c r="L4793">
        <v>0</v>
      </c>
      <c r="M4793">
        <v>13.91</v>
      </c>
      <c r="N4793">
        <v>0.26</v>
      </c>
    </row>
    <row r="4794" spans="1:15" customFormat="1" x14ac:dyDescent="0.3">
      <c r="A4794" s="31" t="s">
        <v>770</v>
      </c>
      <c r="B4794" t="s">
        <v>164</v>
      </c>
      <c r="C4794" t="s">
        <v>123</v>
      </c>
      <c r="D4794" t="s">
        <v>110</v>
      </c>
      <c r="E4794" t="s">
        <v>8</v>
      </c>
      <c r="F4794">
        <v>100</v>
      </c>
      <c r="G4794">
        <v>100</v>
      </c>
      <c r="H4794">
        <v>40.75</v>
      </c>
      <c r="I4794">
        <v>39.68</v>
      </c>
      <c r="J4794">
        <v>-107</v>
      </c>
      <c r="K4794">
        <v>0</v>
      </c>
      <c r="L4794">
        <v>0</v>
      </c>
      <c r="M4794">
        <v>19.5</v>
      </c>
      <c r="N4794">
        <v>-87.5</v>
      </c>
    </row>
    <row r="4795" spans="1:15" customFormat="1" x14ac:dyDescent="0.3">
      <c r="A4795" s="31" t="s">
        <v>770</v>
      </c>
      <c r="B4795" t="s">
        <v>164</v>
      </c>
      <c r="C4795" t="s">
        <v>123</v>
      </c>
      <c r="D4795" t="s">
        <v>110</v>
      </c>
      <c r="E4795" t="s">
        <v>9</v>
      </c>
      <c r="F4795">
        <v>2</v>
      </c>
      <c r="G4795">
        <v>2</v>
      </c>
      <c r="H4795" s="33">
        <v>3909.23</v>
      </c>
      <c r="I4795" s="33">
        <v>4212.12</v>
      </c>
      <c r="J4795">
        <v>605.78</v>
      </c>
      <c r="K4795">
        <v>0</v>
      </c>
      <c r="L4795">
        <v>0</v>
      </c>
      <c r="M4795">
        <v>13.12</v>
      </c>
      <c r="N4795">
        <v>618.9</v>
      </c>
    </row>
    <row r="4796" spans="1:15" customFormat="1" x14ac:dyDescent="0.3">
      <c r="A4796" s="31" t="s">
        <v>770</v>
      </c>
      <c r="B4796" t="s">
        <v>164</v>
      </c>
      <c r="C4796" t="s">
        <v>123</v>
      </c>
      <c r="D4796" t="s">
        <v>110</v>
      </c>
      <c r="E4796" t="s">
        <v>3</v>
      </c>
      <c r="F4796">
        <v>140</v>
      </c>
      <c r="G4796">
        <v>140</v>
      </c>
      <c r="H4796">
        <v>62.64</v>
      </c>
      <c r="I4796">
        <v>62.6</v>
      </c>
      <c r="J4796">
        <v>-5.6</v>
      </c>
      <c r="K4796">
        <v>0</v>
      </c>
      <c r="L4796">
        <v>0</v>
      </c>
      <c r="M4796">
        <v>0</v>
      </c>
      <c r="N4796">
        <v>-5.6</v>
      </c>
    </row>
    <row r="4797" spans="1:15" customFormat="1" x14ac:dyDescent="0.3">
      <c r="A4797" s="31" t="s">
        <v>770</v>
      </c>
      <c r="B4797" t="s">
        <v>164</v>
      </c>
      <c r="C4797" t="s">
        <v>123</v>
      </c>
      <c r="D4797" t="s">
        <v>110</v>
      </c>
      <c r="E4797" t="s">
        <v>11</v>
      </c>
      <c r="F4797">
        <v>10</v>
      </c>
      <c r="G4797">
        <v>5</v>
      </c>
      <c r="H4797">
        <v>892.38</v>
      </c>
      <c r="I4797">
        <v>886.52</v>
      </c>
      <c r="J4797">
        <v>50.9</v>
      </c>
      <c r="K4797">
        <v>-7.1</v>
      </c>
      <c r="L4797">
        <v>0</v>
      </c>
      <c r="M4797">
        <v>0</v>
      </c>
      <c r="N4797">
        <v>43.8</v>
      </c>
    </row>
    <row r="4798" spans="1:15" customFormat="1" x14ac:dyDescent="0.3">
      <c r="A4798" s="31" t="s">
        <v>770</v>
      </c>
      <c r="B4798" t="s">
        <v>164</v>
      </c>
      <c r="C4798" t="s">
        <v>123</v>
      </c>
      <c r="D4798" t="s">
        <v>110</v>
      </c>
      <c r="E4798" t="s">
        <v>85</v>
      </c>
      <c r="F4798">
        <v>20</v>
      </c>
      <c r="G4798">
        <v>0</v>
      </c>
      <c r="H4798">
        <v>252.9</v>
      </c>
      <c r="I4798" t="s">
        <v>111</v>
      </c>
      <c r="J4798">
        <v>-96.8</v>
      </c>
      <c r="K4798">
        <v>72.2</v>
      </c>
      <c r="L4798">
        <v>0</v>
      </c>
      <c r="M4798">
        <v>0</v>
      </c>
      <c r="N4798">
        <v>-24.6</v>
      </c>
    </row>
    <row r="4799" spans="1:15" customFormat="1" x14ac:dyDescent="0.3">
      <c r="A4799" s="31" t="s">
        <v>770</v>
      </c>
      <c r="B4799" t="s">
        <v>164</v>
      </c>
      <c r="C4799" t="s">
        <v>123</v>
      </c>
      <c r="D4799" t="s">
        <v>110</v>
      </c>
      <c r="E4799" t="s">
        <v>1155</v>
      </c>
      <c r="F4799">
        <v>0</v>
      </c>
      <c r="G4799">
        <v>40</v>
      </c>
      <c r="H4799" t="s">
        <v>111</v>
      </c>
      <c r="I4799">
        <v>118.54</v>
      </c>
      <c r="J4799">
        <v>0</v>
      </c>
      <c r="K4799">
        <v>-46</v>
      </c>
      <c r="L4799">
        <v>0</v>
      </c>
      <c r="M4799">
        <v>0</v>
      </c>
      <c r="N4799">
        <v>-46</v>
      </c>
    </row>
    <row r="4800" spans="1:15" customFormat="1" x14ac:dyDescent="0.3">
      <c r="A4800" s="31" t="s">
        <v>770</v>
      </c>
      <c r="B4800" t="s">
        <v>164</v>
      </c>
      <c r="C4800" t="s">
        <v>123</v>
      </c>
      <c r="D4800" t="s">
        <v>110</v>
      </c>
      <c r="E4800" t="s">
        <v>18</v>
      </c>
      <c r="F4800">
        <v>30</v>
      </c>
      <c r="G4800">
        <v>30</v>
      </c>
      <c r="H4800">
        <v>299.36</v>
      </c>
      <c r="I4800">
        <v>302.2</v>
      </c>
      <c r="J4800">
        <v>85.2</v>
      </c>
      <c r="K4800">
        <v>0</v>
      </c>
      <c r="L4800">
        <v>0</v>
      </c>
      <c r="M4800">
        <v>0</v>
      </c>
      <c r="N4800">
        <v>85.2</v>
      </c>
    </row>
    <row r="4801" spans="1:14" customFormat="1" x14ac:dyDescent="0.3">
      <c r="A4801" s="31" t="s">
        <v>770</v>
      </c>
      <c r="B4801" t="s">
        <v>164</v>
      </c>
      <c r="C4801" t="s">
        <v>123</v>
      </c>
      <c r="D4801" t="s">
        <v>110</v>
      </c>
      <c r="E4801" t="s">
        <v>48</v>
      </c>
      <c r="F4801">
        <v>65</v>
      </c>
      <c r="G4801">
        <v>65</v>
      </c>
      <c r="H4801">
        <v>174.62</v>
      </c>
      <c r="I4801">
        <v>188.58</v>
      </c>
      <c r="J4801">
        <v>907.4</v>
      </c>
      <c r="K4801">
        <v>0</v>
      </c>
      <c r="L4801">
        <v>0</v>
      </c>
      <c r="M4801">
        <v>0</v>
      </c>
      <c r="N4801">
        <v>907.4</v>
      </c>
    </row>
    <row r="4802" spans="1:14" customFormat="1" x14ac:dyDescent="0.3">
      <c r="A4802" s="31" t="s">
        <v>770</v>
      </c>
      <c r="B4802" t="s">
        <v>164</v>
      </c>
      <c r="C4802" t="s">
        <v>123</v>
      </c>
      <c r="D4802" t="s">
        <v>110</v>
      </c>
      <c r="E4802" t="s">
        <v>54</v>
      </c>
      <c r="F4802">
        <v>30</v>
      </c>
      <c r="G4802">
        <v>30</v>
      </c>
      <c r="H4802">
        <v>201</v>
      </c>
      <c r="I4802">
        <v>254.98</v>
      </c>
      <c r="J4802">
        <v>1619.4</v>
      </c>
      <c r="K4802">
        <v>0</v>
      </c>
      <c r="L4802">
        <v>0</v>
      </c>
      <c r="M4802">
        <v>0</v>
      </c>
      <c r="N4802">
        <v>1619.4</v>
      </c>
    </row>
    <row r="4803" spans="1:14" customFormat="1" x14ac:dyDescent="0.3">
      <c r="A4803" s="31" t="s">
        <v>770</v>
      </c>
      <c r="B4803" t="s">
        <v>164</v>
      </c>
      <c r="C4803" t="s">
        <v>123</v>
      </c>
      <c r="D4803" t="s">
        <v>110</v>
      </c>
      <c r="E4803" t="s">
        <v>19</v>
      </c>
      <c r="F4803">
        <v>100</v>
      </c>
      <c r="G4803">
        <v>100</v>
      </c>
      <c r="H4803">
        <v>163.38</v>
      </c>
      <c r="I4803">
        <v>165.85</v>
      </c>
      <c r="J4803">
        <v>247</v>
      </c>
      <c r="K4803">
        <v>0</v>
      </c>
      <c r="L4803">
        <v>0</v>
      </c>
      <c r="M4803">
        <v>15</v>
      </c>
      <c r="N4803">
        <v>262</v>
      </c>
    </row>
    <row r="4804" spans="1:14" customFormat="1" x14ac:dyDescent="0.3">
      <c r="A4804" s="31" t="s">
        <v>770</v>
      </c>
      <c r="B4804" t="s">
        <v>164</v>
      </c>
      <c r="C4804" t="s">
        <v>123</v>
      </c>
      <c r="D4804" t="s">
        <v>110</v>
      </c>
      <c r="E4804" t="s">
        <v>22</v>
      </c>
      <c r="F4804">
        <v>43</v>
      </c>
      <c r="G4804">
        <v>43</v>
      </c>
      <c r="H4804">
        <v>96.66</v>
      </c>
      <c r="I4804">
        <v>100.25</v>
      </c>
      <c r="J4804">
        <v>154.37</v>
      </c>
      <c r="K4804">
        <v>0</v>
      </c>
      <c r="L4804">
        <v>0</v>
      </c>
      <c r="M4804">
        <v>0</v>
      </c>
      <c r="N4804">
        <v>154.37</v>
      </c>
    </row>
    <row r="4805" spans="1:14" customFormat="1" x14ac:dyDescent="0.3">
      <c r="A4805" s="31" t="s">
        <v>770</v>
      </c>
      <c r="B4805" t="s">
        <v>164</v>
      </c>
      <c r="C4805" t="s">
        <v>123</v>
      </c>
      <c r="D4805" t="s">
        <v>110</v>
      </c>
      <c r="E4805" t="s">
        <v>24</v>
      </c>
      <c r="F4805">
        <v>50</v>
      </c>
      <c r="G4805">
        <v>50</v>
      </c>
      <c r="H4805">
        <v>91.45</v>
      </c>
      <c r="I4805">
        <v>98.16</v>
      </c>
      <c r="J4805">
        <v>335.5</v>
      </c>
      <c r="K4805">
        <v>0</v>
      </c>
      <c r="L4805">
        <v>0</v>
      </c>
      <c r="M4805">
        <v>0.75</v>
      </c>
      <c r="N4805">
        <v>336.25</v>
      </c>
    </row>
    <row r="4806" spans="1:14" customFormat="1" x14ac:dyDescent="0.3">
      <c r="A4806" s="31" t="s">
        <v>770</v>
      </c>
      <c r="B4806" t="s">
        <v>164</v>
      </c>
      <c r="C4806" t="s">
        <v>123</v>
      </c>
      <c r="D4806" t="s">
        <v>110</v>
      </c>
      <c r="E4806" t="s">
        <v>70</v>
      </c>
      <c r="F4806">
        <v>55</v>
      </c>
      <c r="G4806">
        <v>30</v>
      </c>
      <c r="H4806">
        <v>224.8</v>
      </c>
      <c r="I4806">
        <v>210.86</v>
      </c>
      <c r="J4806">
        <v>-857.45</v>
      </c>
      <c r="K4806">
        <v>-97</v>
      </c>
      <c r="L4806">
        <v>0</v>
      </c>
      <c r="M4806">
        <v>0</v>
      </c>
      <c r="N4806">
        <v>-954.45</v>
      </c>
    </row>
    <row r="4807" spans="1:14" customFormat="1" x14ac:dyDescent="0.3">
      <c r="A4807" s="31" t="s">
        <v>770</v>
      </c>
      <c r="B4807" t="s">
        <v>164</v>
      </c>
      <c r="C4807" t="s">
        <v>123</v>
      </c>
      <c r="D4807" t="s">
        <v>110</v>
      </c>
      <c r="E4807" t="s">
        <v>49</v>
      </c>
      <c r="F4807">
        <v>10</v>
      </c>
      <c r="G4807">
        <v>10</v>
      </c>
      <c r="H4807">
        <v>960.02</v>
      </c>
      <c r="I4807">
        <v>885.94</v>
      </c>
      <c r="J4807">
        <v>-740.8</v>
      </c>
      <c r="K4807">
        <v>0</v>
      </c>
      <c r="L4807">
        <v>0</v>
      </c>
      <c r="M4807">
        <v>9.75</v>
      </c>
      <c r="N4807">
        <v>-731.05</v>
      </c>
    </row>
    <row r="4808" spans="1:14" customFormat="1" x14ac:dyDescent="0.3">
      <c r="A4808" s="31" t="s">
        <v>770</v>
      </c>
      <c r="B4808" t="s">
        <v>164</v>
      </c>
      <c r="C4808" t="s">
        <v>123</v>
      </c>
      <c r="D4808" t="s">
        <v>110</v>
      </c>
      <c r="E4808" t="s">
        <v>26</v>
      </c>
      <c r="F4808">
        <v>5</v>
      </c>
      <c r="G4808">
        <v>5</v>
      </c>
      <c r="H4808">
        <v>487.74</v>
      </c>
      <c r="I4808">
        <v>474.59</v>
      </c>
      <c r="J4808">
        <v>-65.75</v>
      </c>
      <c r="K4808">
        <v>0</v>
      </c>
      <c r="L4808">
        <v>0</v>
      </c>
      <c r="M4808">
        <v>6.37</v>
      </c>
      <c r="N4808">
        <v>-59.38</v>
      </c>
    </row>
    <row r="4809" spans="1:14" customFormat="1" x14ac:dyDescent="0.3">
      <c r="A4809" s="31" t="s">
        <v>770</v>
      </c>
      <c r="B4809" t="s">
        <v>164</v>
      </c>
      <c r="C4809" t="s">
        <v>123</v>
      </c>
      <c r="D4809" t="s">
        <v>110</v>
      </c>
      <c r="E4809" t="s">
        <v>27</v>
      </c>
      <c r="F4809">
        <v>15</v>
      </c>
      <c r="G4809">
        <v>15</v>
      </c>
      <c r="H4809">
        <v>521.30999999999995</v>
      </c>
      <c r="I4809">
        <v>572.44000000000005</v>
      </c>
      <c r="J4809">
        <v>766.95</v>
      </c>
      <c r="K4809">
        <v>0</v>
      </c>
      <c r="L4809">
        <v>0</v>
      </c>
      <c r="M4809">
        <v>5.62</v>
      </c>
      <c r="N4809">
        <v>772.57</v>
      </c>
    </row>
    <row r="4810" spans="1:14" customFormat="1" x14ac:dyDescent="0.3">
      <c r="A4810" s="31" t="s">
        <v>770</v>
      </c>
      <c r="B4810" t="s">
        <v>164</v>
      </c>
      <c r="C4810" t="s">
        <v>123</v>
      </c>
      <c r="D4810" t="s">
        <v>110</v>
      </c>
      <c r="E4810" t="s">
        <v>28</v>
      </c>
      <c r="F4810">
        <v>61</v>
      </c>
      <c r="G4810">
        <v>61</v>
      </c>
      <c r="H4810">
        <v>417.14</v>
      </c>
      <c r="I4810">
        <v>430.3</v>
      </c>
      <c r="J4810">
        <v>802.76</v>
      </c>
      <c r="K4810">
        <v>0</v>
      </c>
      <c r="L4810">
        <v>0</v>
      </c>
      <c r="M4810">
        <v>34.31</v>
      </c>
      <c r="N4810">
        <v>837.07</v>
      </c>
    </row>
    <row r="4811" spans="1:14" customFormat="1" x14ac:dyDescent="0.3">
      <c r="A4811" s="31" t="s">
        <v>770</v>
      </c>
      <c r="B4811" t="s">
        <v>164</v>
      </c>
      <c r="C4811" t="s">
        <v>123</v>
      </c>
      <c r="D4811" t="s">
        <v>110</v>
      </c>
      <c r="E4811" t="s">
        <v>55</v>
      </c>
      <c r="F4811">
        <v>40</v>
      </c>
      <c r="G4811">
        <v>0</v>
      </c>
      <c r="H4811">
        <v>96.24</v>
      </c>
      <c r="I4811" t="s">
        <v>111</v>
      </c>
      <c r="J4811">
        <v>-200.8</v>
      </c>
      <c r="K4811">
        <v>-116.8</v>
      </c>
      <c r="L4811">
        <v>0</v>
      </c>
      <c r="M4811">
        <v>0</v>
      </c>
      <c r="N4811">
        <v>-317.60000000000002</v>
      </c>
    </row>
    <row r="4812" spans="1:14" customFormat="1" x14ac:dyDescent="0.3">
      <c r="A4812" s="31" t="s">
        <v>770</v>
      </c>
      <c r="B4812" t="s">
        <v>164</v>
      </c>
      <c r="C4812" t="s">
        <v>123</v>
      </c>
      <c r="D4812" t="s">
        <v>110</v>
      </c>
      <c r="E4812" t="s">
        <v>29</v>
      </c>
      <c r="F4812">
        <v>15</v>
      </c>
      <c r="G4812">
        <v>15</v>
      </c>
      <c r="H4812">
        <v>362.72</v>
      </c>
      <c r="I4812">
        <v>341.8</v>
      </c>
      <c r="J4812">
        <v>-313.8</v>
      </c>
      <c r="K4812">
        <v>0</v>
      </c>
      <c r="L4812">
        <v>0</v>
      </c>
      <c r="M4812">
        <v>0</v>
      </c>
      <c r="N4812">
        <v>-313.8</v>
      </c>
    </row>
    <row r="4813" spans="1:14" customFormat="1" x14ac:dyDescent="0.3">
      <c r="A4813" s="31" t="s">
        <v>770</v>
      </c>
      <c r="B4813" t="s">
        <v>164</v>
      </c>
      <c r="C4813" t="s">
        <v>123</v>
      </c>
      <c r="D4813" t="s">
        <v>110</v>
      </c>
      <c r="E4813" t="s">
        <v>39</v>
      </c>
      <c r="F4813">
        <v>35</v>
      </c>
      <c r="G4813">
        <v>50</v>
      </c>
      <c r="H4813">
        <v>175.3</v>
      </c>
      <c r="I4813">
        <v>170.05</v>
      </c>
      <c r="J4813">
        <v>-241.8</v>
      </c>
      <c r="K4813">
        <v>-42.3</v>
      </c>
      <c r="L4813">
        <v>0</v>
      </c>
      <c r="M4813">
        <v>22.31</v>
      </c>
      <c r="N4813">
        <v>-261.79000000000002</v>
      </c>
    </row>
    <row r="4814" spans="1:14" customFormat="1" x14ac:dyDescent="0.3">
      <c r="A4814" s="31" t="s">
        <v>770</v>
      </c>
      <c r="B4814" t="s">
        <v>164</v>
      </c>
      <c r="C4814" t="s">
        <v>123</v>
      </c>
      <c r="D4814" t="s">
        <v>110</v>
      </c>
      <c r="E4814" t="s">
        <v>82</v>
      </c>
      <c r="F4814">
        <v>130</v>
      </c>
      <c r="G4814">
        <v>130</v>
      </c>
      <c r="H4814">
        <v>476.27</v>
      </c>
      <c r="I4814">
        <v>488.07</v>
      </c>
      <c r="J4814">
        <v>1534</v>
      </c>
      <c r="K4814">
        <v>0</v>
      </c>
      <c r="L4814">
        <v>0</v>
      </c>
      <c r="M4814">
        <v>0</v>
      </c>
      <c r="N4814">
        <v>1534</v>
      </c>
    </row>
    <row r="4815" spans="1:14" customFormat="1" x14ac:dyDescent="0.3">
      <c r="A4815" s="31" t="s">
        <v>770</v>
      </c>
      <c r="B4815" t="s">
        <v>164</v>
      </c>
      <c r="C4815" t="s">
        <v>123</v>
      </c>
      <c r="D4815" t="s">
        <v>110</v>
      </c>
      <c r="E4815" t="s">
        <v>83</v>
      </c>
      <c r="F4815">
        <v>120</v>
      </c>
      <c r="G4815">
        <v>80</v>
      </c>
      <c r="H4815">
        <v>231.14</v>
      </c>
      <c r="I4815">
        <v>230.59</v>
      </c>
      <c r="J4815">
        <v>-1356.5</v>
      </c>
      <c r="K4815">
        <v>-98</v>
      </c>
      <c r="L4815">
        <v>0</v>
      </c>
      <c r="M4815">
        <v>20.71</v>
      </c>
      <c r="N4815">
        <v>-1433.79</v>
      </c>
    </row>
    <row r="4816" spans="1:14" customFormat="1" x14ac:dyDescent="0.3">
      <c r="A4816" s="31" t="s">
        <v>770</v>
      </c>
      <c r="B4816" t="s">
        <v>164</v>
      </c>
      <c r="C4816" t="s">
        <v>123</v>
      </c>
      <c r="D4816" t="s">
        <v>110</v>
      </c>
      <c r="E4816" t="s">
        <v>86</v>
      </c>
      <c r="F4816">
        <v>60</v>
      </c>
      <c r="G4816">
        <v>40</v>
      </c>
      <c r="H4816">
        <v>563.67999999999995</v>
      </c>
      <c r="I4816">
        <v>573.76</v>
      </c>
      <c r="J4816">
        <v>77.599999999999994</v>
      </c>
      <c r="K4816">
        <v>820.16</v>
      </c>
      <c r="L4816">
        <v>0</v>
      </c>
      <c r="M4816">
        <v>0</v>
      </c>
      <c r="N4816">
        <v>897.76</v>
      </c>
    </row>
    <row r="4817" spans="1:14" customFormat="1" x14ac:dyDescent="0.3">
      <c r="A4817" s="31" t="s">
        <v>770</v>
      </c>
      <c r="B4817" t="s">
        <v>164</v>
      </c>
      <c r="C4817" t="s">
        <v>123</v>
      </c>
      <c r="D4817" t="s">
        <v>110</v>
      </c>
      <c r="E4817" t="s">
        <v>77</v>
      </c>
      <c r="F4817">
        <v>40</v>
      </c>
      <c r="G4817">
        <v>20</v>
      </c>
      <c r="H4817">
        <v>214.11</v>
      </c>
      <c r="I4817">
        <v>261.63</v>
      </c>
      <c r="J4817">
        <v>1753.6</v>
      </c>
      <c r="K4817">
        <v>-5.4</v>
      </c>
      <c r="L4817">
        <v>0</v>
      </c>
      <c r="M4817">
        <v>0</v>
      </c>
      <c r="N4817">
        <v>1748.2</v>
      </c>
    </row>
    <row r="4818" spans="1:14" customFormat="1" x14ac:dyDescent="0.3">
      <c r="A4818" s="31" t="s">
        <v>770</v>
      </c>
      <c r="B4818" t="s">
        <v>164</v>
      </c>
      <c r="C4818" t="s">
        <v>123</v>
      </c>
      <c r="D4818" t="s">
        <v>110</v>
      </c>
      <c r="E4818" t="s">
        <v>87</v>
      </c>
      <c r="F4818">
        <v>15</v>
      </c>
      <c r="G4818">
        <v>15</v>
      </c>
      <c r="H4818">
        <v>361.66</v>
      </c>
      <c r="I4818">
        <v>388.73</v>
      </c>
      <c r="J4818">
        <v>406.05</v>
      </c>
      <c r="K4818">
        <v>0</v>
      </c>
      <c r="L4818">
        <v>0</v>
      </c>
      <c r="M4818">
        <v>9.4499999999999993</v>
      </c>
      <c r="N4818">
        <v>415.5</v>
      </c>
    </row>
    <row r="4819" spans="1:14" customFormat="1" x14ac:dyDescent="0.3">
      <c r="A4819" s="31" t="s">
        <v>770</v>
      </c>
      <c r="B4819" t="s">
        <v>164</v>
      </c>
      <c r="C4819" t="s">
        <v>123</v>
      </c>
      <c r="D4819" t="s">
        <v>110</v>
      </c>
      <c r="E4819" t="s">
        <v>78</v>
      </c>
      <c r="F4819">
        <v>30</v>
      </c>
      <c r="G4819">
        <v>30</v>
      </c>
      <c r="H4819">
        <v>214.34</v>
      </c>
      <c r="I4819">
        <v>206.57</v>
      </c>
      <c r="J4819">
        <v>-233.1</v>
      </c>
      <c r="K4819">
        <v>0</v>
      </c>
      <c r="L4819">
        <v>0</v>
      </c>
      <c r="M4819">
        <v>0</v>
      </c>
      <c r="N4819">
        <v>-233.1</v>
      </c>
    </row>
    <row r="4820" spans="1:14" customFormat="1" x14ac:dyDescent="0.3">
      <c r="A4820" s="31" t="s">
        <v>770</v>
      </c>
      <c r="B4820" t="s">
        <v>164</v>
      </c>
      <c r="C4820" t="s">
        <v>123</v>
      </c>
      <c r="D4820" t="s">
        <v>110</v>
      </c>
      <c r="E4820" t="s">
        <v>32</v>
      </c>
      <c r="F4820">
        <v>70</v>
      </c>
      <c r="G4820">
        <v>70</v>
      </c>
      <c r="H4820">
        <v>73.13</v>
      </c>
      <c r="I4820">
        <v>75.16</v>
      </c>
      <c r="J4820">
        <v>142.1</v>
      </c>
      <c r="K4820">
        <v>0</v>
      </c>
      <c r="L4820">
        <v>0</v>
      </c>
      <c r="M4820">
        <v>0</v>
      </c>
      <c r="N4820">
        <v>142.1</v>
      </c>
    </row>
    <row r="4821" spans="1:14" customFormat="1" x14ac:dyDescent="0.3">
      <c r="A4821" s="31" t="s">
        <v>770</v>
      </c>
      <c r="B4821" t="s">
        <v>164</v>
      </c>
      <c r="C4821" t="s">
        <v>123</v>
      </c>
      <c r="D4821" t="s">
        <v>110</v>
      </c>
      <c r="E4821" t="s">
        <v>1156</v>
      </c>
      <c r="F4821">
        <v>0</v>
      </c>
      <c r="G4821">
        <v>70</v>
      </c>
      <c r="H4821" t="s">
        <v>111</v>
      </c>
      <c r="I4821">
        <v>96.38</v>
      </c>
      <c r="J4821">
        <v>375.2</v>
      </c>
      <c r="K4821">
        <v>53.55</v>
      </c>
      <c r="L4821">
        <v>0</v>
      </c>
      <c r="M4821">
        <v>21.97</v>
      </c>
      <c r="N4821">
        <v>450.72</v>
      </c>
    </row>
    <row r="4822" spans="1:14" customFormat="1" x14ac:dyDescent="0.3">
      <c r="A4822" s="31" t="s">
        <v>770</v>
      </c>
      <c r="B4822" t="s">
        <v>164</v>
      </c>
      <c r="C4822" t="s">
        <v>123</v>
      </c>
      <c r="D4822" t="s">
        <v>110</v>
      </c>
      <c r="E4822" t="s">
        <v>61</v>
      </c>
      <c r="F4822">
        <v>100</v>
      </c>
      <c r="G4822">
        <v>0</v>
      </c>
      <c r="H4822">
        <v>91.28</v>
      </c>
      <c r="I4822" t="s">
        <v>111</v>
      </c>
      <c r="J4822">
        <v>-409</v>
      </c>
      <c r="K4822">
        <v>-17</v>
      </c>
      <c r="L4822">
        <v>0</v>
      </c>
      <c r="M4822">
        <v>54.56</v>
      </c>
      <c r="N4822">
        <v>-371.44</v>
      </c>
    </row>
    <row r="4823" spans="1:14" customFormat="1" x14ac:dyDescent="0.3">
      <c r="A4823" s="31" t="s">
        <v>770</v>
      </c>
      <c r="B4823" t="s">
        <v>164</v>
      </c>
      <c r="C4823" t="s">
        <v>123</v>
      </c>
      <c r="D4823" t="s">
        <v>110</v>
      </c>
      <c r="E4823" t="s">
        <v>62</v>
      </c>
      <c r="F4823">
        <v>200</v>
      </c>
      <c r="G4823">
        <v>200</v>
      </c>
      <c r="H4823">
        <v>45.74</v>
      </c>
      <c r="I4823">
        <v>45.32</v>
      </c>
      <c r="J4823">
        <v>-84</v>
      </c>
      <c r="K4823">
        <v>0</v>
      </c>
      <c r="L4823">
        <v>0</v>
      </c>
      <c r="M4823">
        <v>24.79</v>
      </c>
      <c r="N4823">
        <v>-59.21</v>
      </c>
    </row>
    <row r="4824" spans="1:14" customFormat="1" x14ac:dyDescent="0.3">
      <c r="A4824" s="31" t="s">
        <v>770</v>
      </c>
      <c r="B4824" t="s">
        <v>164</v>
      </c>
      <c r="C4824" t="s">
        <v>123</v>
      </c>
      <c r="D4824" t="s">
        <v>110</v>
      </c>
      <c r="E4824" t="s">
        <v>41</v>
      </c>
      <c r="F4824">
        <v>1099</v>
      </c>
      <c r="G4824">
        <v>1099</v>
      </c>
      <c r="H4824">
        <v>46.51</v>
      </c>
      <c r="I4824">
        <v>47.53</v>
      </c>
      <c r="J4824">
        <v>1120.98</v>
      </c>
      <c r="K4824">
        <v>0</v>
      </c>
      <c r="L4824">
        <v>0</v>
      </c>
      <c r="M4824">
        <v>71.11</v>
      </c>
      <c r="N4824">
        <v>1192.0899999999999</v>
      </c>
    </row>
    <row r="4825" spans="1:14" customFormat="1" x14ac:dyDescent="0.3">
      <c r="A4825" s="31" t="s">
        <v>770</v>
      </c>
      <c r="B4825" t="s">
        <v>164</v>
      </c>
      <c r="C4825" t="s">
        <v>123</v>
      </c>
      <c r="D4825" t="s">
        <v>110</v>
      </c>
      <c r="E4825" t="s">
        <v>79</v>
      </c>
      <c r="F4825">
        <v>80</v>
      </c>
      <c r="G4825">
        <v>80</v>
      </c>
      <c r="H4825">
        <v>131.46</v>
      </c>
      <c r="I4825">
        <v>135.44</v>
      </c>
      <c r="J4825">
        <v>318.39999999999998</v>
      </c>
      <c r="K4825">
        <v>0</v>
      </c>
      <c r="L4825">
        <v>0</v>
      </c>
      <c r="M4825">
        <v>25.86</v>
      </c>
      <c r="N4825">
        <v>344.26</v>
      </c>
    </row>
    <row r="4826" spans="1:14" customFormat="1" x14ac:dyDescent="0.3">
      <c r="A4826" s="31" t="s">
        <v>770</v>
      </c>
      <c r="B4826" t="s">
        <v>164</v>
      </c>
      <c r="C4826" t="s">
        <v>123</v>
      </c>
      <c r="D4826" t="s">
        <v>110</v>
      </c>
      <c r="E4826" t="s">
        <v>42</v>
      </c>
      <c r="F4826">
        <v>150</v>
      </c>
      <c r="G4826">
        <v>150</v>
      </c>
      <c r="H4826">
        <v>220.33</v>
      </c>
      <c r="I4826">
        <v>225.76</v>
      </c>
      <c r="J4826">
        <v>814.5</v>
      </c>
      <c r="K4826">
        <v>0</v>
      </c>
      <c r="L4826">
        <v>0</v>
      </c>
      <c r="M4826">
        <v>44.83</v>
      </c>
      <c r="N4826">
        <v>859.33</v>
      </c>
    </row>
    <row r="4827" spans="1:14" customFormat="1" x14ac:dyDescent="0.3">
      <c r="A4827" s="31" t="s">
        <v>770</v>
      </c>
      <c r="B4827" t="s">
        <v>164</v>
      </c>
      <c r="C4827" t="s">
        <v>123</v>
      </c>
      <c r="D4827" t="s">
        <v>110</v>
      </c>
      <c r="E4827" t="s">
        <v>43</v>
      </c>
      <c r="F4827">
        <v>330</v>
      </c>
      <c r="G4827">
        <v>330</v>
      </c>
      <c r="H4827">
        <v>76.290000000000006</v>
      </c>
      <c r="I4827">
        <v>80.78</v>
      </c>
      <c r="J4827">
        <v>1481.7</v>
      </c>
      <c r="K4827">
        <v>0</v>
      </c>
      <c r="L4827">
        <v>0</v>
      </c>
      <c r="M4827">
        <v>133.52000000000001</v>
      </c>
      <c r="N4827">
        <v>1615.22</v>
      </c>
    </row>
    <row r="4828" spans="1:14" customFormat="1" x14ac:dyDescent="0.3">
      <c r="A4828" s="31" t="s">
        <v>770</v>
      </c>
      <c r="B4828" t="s">
        <v>164</v>
      </c>
      <c r="C4828" t="s">
        <v>123</v>
      </c>
      <c r="D4828" t="s">
        <v>110</v>
      </c>
      <c r="E4828" t="s">
        <v>44</v>
      </c>
      <c r="F4828">
        <v>60</v>
      </c>
      <c r="G4828">
        <v>60</v>
      </c>
      <c r="H4828">
        <v>157.19999999999999</v>
      </c>
      <c r="I4828">
        <v>154.02000000000001</v>
      </c>
      <c r="J4828">
        <v>-190.8</v>
      </c>
      <c r="K4828">
        <v>0</v>
      </c>
      <c r="L4828">
        <v>0</v>
      </c>
      <c r="M4828">
        <v>25.97</v>
      </c>
      <c r="N4828">
        <v>-164.83</v>
      </c>
    </row>
    <row r="4829" spans="1:14" customFormat="1" x14ac:dyDescent="0.3">
      <c r="A4829" s="31" t="s">
        <v>770</v>
      </c>
      <c r="B4829" t="s">
        <v>164</v>
      </c>
      <c r="C4829" t="s">
        <v>123</v>
      </c>
      <c r="D4829" t="s">
        <v>110</v>
      </c>
      <c r="E4829" t="s">
        <v>84</v>
      </c>
      <c r="F4829">
        <v>90</v>
      </c>
      <c r="G4829">
        <v>50</v>
      </c>
      <c r="H4829">
        <v>187.12</v>
      </c>
      <c r="I4829">
        <v>200.37</v>
      </c>
      <c r="J4829">
        <v>863.7</v>
      </c>
      <c r="K4829">
        <v>33.200000000000003</v>
      </c>
      <c r="L4829">
        <v>0</v>
      </c>
      <c r="M4829">
        <v>15.17</v>
      </c>
      <c r="N4829">
        <v>912.07</v>
      </c>
    </row>
    <row r="4830" spans="1:14" customFormat="1" x14ac:dyDescent="0.3">
      <c r="A4830" s="31" t="s">
        <v>770</v>
      </c>
      <c r="B4830" t="s">
        <v>164</v>
      </c>
      <c r="C4830" t="s">
        <v>123</v>
      </c>
      <c r="D4830" t="s">
        <v>97</v>
      </c>
      <c r="J4830">
        <v>12160.23</v>
      </c>
      <c r="K4830">
        <v>547.05999999999995</v>
      </c>
      <c r="L4830">
        <v>0</v>
      </c>
      <c r="M4830">
        <v>588.58000000000004</v>
      </c>
      <c r="N4830">
        <v>13295.87</v>
      </c>
    </row>
    <row r="4831" spans="1:14" customFormat="1" x14ac:dyDescent="0.3">
      <c r="A4831" s="31" t="s">
        <v>770</v>
      </c>
      <c r="B4831" t="s">
        <v>164</v>
      </c>
      <c r="C4831" t="s">
        <v>123</v>
      </c>
      <c r="D4831" t="s">
        <v>112</v>
      </c>
      <c r="E4831" t="s">
        <v>80</v>
      </c>
      <c r="F4831">
        <v>-6</v>
      </c>
      <c r="G4831">
        <v>0</v>
      </c>
      <c r="H4831" s="33">
        <v>5661</v>
      </c>
      <c r="I4831" t="s">
        <v>111</v>
      </c>
      <c r="J4831">
        <v>1210</v>
      </c>
      <c r="K4831">
        <v>713.75</v>
      </c>
      <c r="L4831">
        <v>0</v>
      </c>
      <c r="M4831">
        <v>0</v>
      </c>
      <c r="N4831">
        <v>1923.75</v>
      </c>
    </row>
    <row r="4832" spans="1:14" customFormat="1" x14ac:dyDescent="0.3">
      <c r="A4832" s="31" t="s">
        <v>770</v>
      </c>
      <c r="B4832" t="s">
        <v>164</v>
      </c>
      <c r="C4832" t="s">
        <v>123</v>
      </c>
      <c r="D4832" t="s">
        <v>112</v>
      </c>
      <c r="E4832" t="s">
        <v>1157</v>
      </c>
      <c r="F4832">
        <v>0</v>
      </c>
      <c r="G4832">
        <v>-2</v>
      </c>
      <c r="H4832" t="s">
        <v>111</v>
      </c>
      <c r="I4832" s="33">
        <v>5814.25</v>
      </c>
      <c r="J4832">
        <v>-362.5</v>
      </c>
      <c r="K4832">
        <v>-30</v>
      </c>
      <c r="L4832">
        <v>0</v>
      </c>
      <c r="M4832">
        <v>0</v>
      </c>
      <c r="N4832">
        <v>-392.5</v>
      </c>
    </row>
    <row r="4833" spans="1:18" customFormat="1" x14ac:dyDescent="0.3">
      <c r="A4833" s="31" t="s">
        <v>770</v>
      </c>
      <c r="B4833" t="s">
        <v>164</v>
      </c>
      <c r="C4833" t="s">
        <v>123</v>
      </c>
      <c r="D4833" t="s">
        <v>112</v>
      </c>
      <c r="E4833" t="s">
        <v>81</v>
      </c>
      <c r="F4833">
        <v>-5</v>
      </c>
      <c r="G4833">
        <v>0</v>
      </c>
      <c r="H4833" s="33">
        <v>19623</v>
      </c>
      <c r="I4833" t="s">
        <v>111</v>
      </c>
      <c r="J4833">
        <v>-9103</v>
      </c>
      <c r="K4833">
        <v>2881.5</v>
      </c>
      <c r="L4833">
        <v>0</v>
      </c>
      <c r="M4833">
        <v>0</v>
      </c>
      <c r="N4833">
        <v>-6221.5</v>
      </c>
    </row>
    <row r="4834" spans="1:18" customFormat="1" x14ac:dyDescent="0.3">
      <c r="A4834" s="31" t="s">
        <v>770</v>
      </c>
      <c r="B4834" t="s">
        <v>164</v>
      </c>
      <c r="C4834" t="s">
        <v>123</v>
      </c>
      <c r="D4834" t="s">
        <v>112</v>
      </c>
      <c r="E4834" t="s">
        <v>1158</v>
      </c>
      <c r="F4834">
        <v>0</v>
      </c>
      <c r="G4834">
        <v>-8</v>
      </c>
      <c r="H4834" t="s">
        <v>111</v>
      </c>
      <c r="I4834" s="33">
        <v>20261.25</v>
      </c>
      <c r="J4834">
        <v>-3855</v>
      </c>
      <c r="K4834">
        <v>-1213</v>
      </c>
      <c r="L4834">
        <v>0</v>
      </c>
      <c r="M4834">
        <v>0</v>
      </c>
      <c r="N4834">
        <v>-5068</v>
      </c>
    </row>
    <row r="4835" spans="1:18" customFormat="1" x14ac:dyDescent="0.3">
      <c r="A4835" s="31" t="s">
        <v>770</v>
      </c>
      <c r="B4835" t="s">
        <v>164</v>
      </c>
      <c r="C4835" t="s">
        <v>123</v>
      </c>
      <c r="D4835" t="s">
        <v>97</v>
      </c>
      <c r="J4835">
        <v>-12110.5</v>
      </c>
      <c r="K4835">
        <v>2352.25</v>
      </c>
      <c r="L4835">
        <v>0</v>
      </c>
      <c r="M4835">
        <v>0</v>
      </c>
      <c r="N4835">
        <v>-9758.25</v>
      </c>
    </row>
    <row r="4836" spans="1:18" customFormat="1" x14ac:dyDescent="0.3">
      <c r="A4836" s="31" t="s">
        <v>770</v>
      </c>
      <c r="B4836" t="s">
        <v>164</v>
      </c>
      <c r="C4836" t="s">
        <v>123</v>
      </c>
      <c r="D4836" t="s">
        <v>113</v>
      </c>
      <c r="E4836" t="s">
        <v>114</v>
      </c>
      <c r="F4836">
        <v>-30466.238874999999</v>
      </c>
      <c r="G4836">
        <v>11188.421125000001</v>
      </c>
      <c r="H4836">
        <v>1</v>
      </c>
      <c r="I4836">
        <v>1</v>
      </c>
      <c r="J4836">
        <v>0</v>
      </c>
      <c r="K4836">
        <v>0</v>
      </c>
      <c r="L4836">
        <v>0</v>
      </c>
      <c r="M4836">
        <v>0</v>
      </c>
      <c r="N4836">
        <v>0</v>
      </c>
    </row>
    <row r="4837" spans="1:18" customFormat="1" x14ac:dyDescent="0.3">
      <c r="A4837" s="31" t="s">
        <v>770</v>
      </c>
      <c r="B4837" t="s">
        <v>164</v>
      </c>
      <c r="C4837" t="s">
        <v>123</v>
      </c>
      <c r="D4837" t="s">
        <v>97</v>
      </c>
      <c r="J4837">
        <v>0</v>
      </c>
      <c r="K4837">
        <v>0</v>
      </c>
      <c r="L4837">
        <v>0</v>
      </c>
      <c r="M4837">
        <v>0</v>
      </c>
      <c r="N4837">
        <v>0</v>
      </c>
    </row>
    <row r="4838" spans="1:18" customFormat="1" x14ac:dyDescent="0.3">
      <c r="A4838" s="31" t="s">
        <v>770</v>
      </c>
      <c r="B4838" t="s">
        <v>164</v>
      </c>
      <c r="C4838" t="s">
        <v>123</v>
      </c>
      <c r="D4838" t="s">
        <v>115</v>
      </c>
      <c r="J4838">
        <v>49.73</v>
      </c>
      <c r="K4838">
        <v>2899.31</v>
      </c>
      <c r="L4838">
        <v>0</v>
      </c>
      <c r="M4838">
        <v>588.58000000000004</v>
      </c>
      <c r="N4838">
        <v>3537.62</v>
      </c>
    </row>
    <row r="4839" spans="1:18" customFormat="1" x14ac:dyDescent="0.3">
      <c r="A4839" s="31" t="s">
        <v>770</v>
      </c>
      <c r="B4839" t="s">
        <v>164</v>
      </c>
      <c r="C4839" t="s">
        <v>123</v>
      </c>
      <c r="D4839" t="s">
        <v>116</v>
      </c>
      <c r="N4839">
        <v>-53.38</v>
      </c>
    </row>
    <row r="4840" spans="1:18" customFormat="1" x14ac:dyDescent="0.3">
      <c r="A4840" s="31" t="s">
        <v>770</v>
      </c>
      <c r="B4840" t="s">
        <v>164</v>
      </c>
      <c r="C4840" t="s">
        <v>123</v>
      </c>
      <c r="D4840" t="s">
        <v>1154</v>
      </c>
      <c r="N4840">
        <v>-0.6</v>
      </c>
    </row>
    <row r="4841" spans="1:18" customFormat="1" x14ac:dyDescent="0.3">
      <c r="A4841" s="31" t="s">
        <v>770</v>
      </c>
      <c r="B4841" t="s">
        <v>166</v>
      </c>
      <c r="N4841">
        <v>3483.64</v>
      </c>
    </row>
    <row r="4842" spans="1:18" customFormat="1" x14ac:dyDescent="0.3">
      <c r="A4842" s="31" t="s">
        <v>770</v>
      </c>
      <c r="B4842" t="s">
        <v>167</v>
      </c>
      <c r="C4842" t="s">
        <v>120</v>
      </c>
      <c r="D4842" t="s">
        <v>100</v>
      </c>
      <c r="E4842" t="s">
        <v>0</v>
      </c>
      <c r="F4842" t="s">
        <v>168</v>
      </c>
      <c r="G4842" t="s">
        <v>169</v>
      </c>
      <c r="H4842" t="s">
        <v>170</v>
      </c>
      <c r="I4842" t="s">
        <v>171</v>
      </c>
      <c r="J4842" t="s">
        <v>172</v>
      </c>
      <c r="K4842" t="s">
        <v>173</v>
      </c>
      <c r="L4842" t="s">
        <v>174</v>
      </c>
      <c r="M4842" t="s">
        <v>175</v>
      </c>
      <c r="N4842" t="s">
        <v>176</v>
      </c>
      <c r="O4842" t="s">
        <v>177</v>
      </c>
      <c r="P4842" t="s">
        <v>178</v>
      </c>
      <c r="Q4842" t="s">
        <v>97</v>
      </c>
      <c r="R4842" t="s">
        <v>165</v>
      </c>
    </row>
    <row r="4843" spans="1:18" customFormat="1" x14ac:dyDescent="0.3">
      <c r="A4843" s="31" t="s">
        <v>770</v>
      </c>
      <c r="B4843" t="s">
        <v>167</v>
      </c>
      <c r="C4843" t="s">
        <v>123</v>
      </c>
      <c r="D4843" t="s">
        <v>110</v>
      </c>
      <c r="E4843" t="s">
        <v>2</v>
      </c>
      <c r="F4843">
        <v>0</v>
      </c>
      <c r="G4843">
        <v>0</v>
      </c>
      <c r="H4843">
        <v>0</v>
      </c>
      <c r="I4843">
        <v>0</v>
      </c>
      <c r="J4843">
        <v>0</v>
      </c>
      <c r="K4843">
        <v>0</v>
      </c>
      <c r="L4843">
        <v>3565.8</v>
      </c>
      <c r="M4843">
        <v>0</v>
      </c>
      <c r="N4843">
        <v>0</v>
      </c>
      <c r="O4843">
        <v>0</v>
      </c>
      <c r="P4843">
        <v>3565.8</v>
      </c>
      <c r="Q4843">
        <v>3565.8</v>
      </c>
    </row>
    <row r="4844" spans="1:18" customFormat="1" x14ac:dyDescent="0.3">
      <c r="A4844" s="31" t="s">
        <v>770</v>
      </c>
      <c r="B4844" t="s">
        <v>167</v>
      </c>
      <c r="C4844" t="s">
        <v>123</v>
      </c>
      <c r="D4844" t="s">
        <v>110</v>
      </c>
      <c r="E4844" t="s">
        <v>45</v>
      </c>
      <c r="F4844">
        <v>0</v>
      </c>
      <c r="G4844">
        <v>0</v>
      </c>
      <c r="H4844">
        <v>0</v>
      </c>
      <c r="I4844">
        <v>0</v>
      </c>
      <c r="J4844">
        <v>0</v>
      </c>
      <c r="K4844">
        <v>0</v>
      </c>
      <c r="L4844">
        <v>1660.5</v>
      </c>
      <c r="M4844">
        <v>0</v>
      </c>
      <c r="N4844">
        <v>0</v>
      </c>
      <c r="O4844">
        <v>0</v>
      </c>
      <c r="P4844">
        <v>1660.5</v>
      </c>
      <c r="Q4844">
        <v>1660.5</v>
      </c>
    </row>
    <row r="4845" spans="1:18" customFormat="1" x14ac:dyDescent="0.3">
      <c r="A4845" s="31" t="s">
        <v>770</v>
      </c>
      <c r="B4845" t="s">
        <v>167</v>
      </c>
      <c r="C4845" t="s">
        <v>123</v>
      </c>
      <c r="D4845" t="s">
        <v>110</v>
      </c>
      <c r="E4845" t="s">
        <v>5</v>
      </c>
      <c r="F4845">
        <v>0</v>
      </c>
      <c r="G4845">
        <v>0</v>
      </c>
      <c r="H4845">
        <v>0</v>
      </c>
      <c r="I4845">
        <v>0</v>
      </c>
      <c r="J4845">
        <v>0</v>
      </c>
      <c r="K4845">
        <v>0</v>
      </c>
      <c r="L4845">
        <v>70.98</v>
      </c>
      <c r="M4845">
        <v>0</v>
      </c>
      <c r="N4845">
        <v>0</v>
      </c>
      <c r="O4845">
        <v>0</v>
      </c>
      <c r="P4845">
        <v>70.98</v>
      </c>
      <c r="Q4845">
        <v>70.98</v>
      </c>
    </row>
    <row r="4846" spans="1:18" customFormat="1" x14ac:dyDescent="0.3">
      <c r="A4846" s="31" t="s">
        <v>770</v>
      </c>
      <c r="B4846" t="s">
        <v>167</v>
      </c>
      <c r="C4846" t="s">
        <v>123</v>
      </c>
      <c r="D4846" t="s">
        <v>110</v>
      </c>
      <c r="E4846" t="s">
        <v>65</v>
      </c>
      <c r="F4846">
        <v>0</v>
      </c>
      <c r="G4846">
        <v>0</v>
      </c>
      <c r="H4846">
        <v>0</v>
      </c>
      <c r="I4846">
        <v>0</v>
      </c>
      <c r="J4846">
        <v>0</v>
      </c>
      <c r="K4846">
        <v>0</v>
      </c>
      <c r="L4846">
        <v>0</v>
      </c>
      <c r="M4846">
        <v>-0.35</v>
      </c>
      <c r="N4846">
        <v>0</v>
      </c>
      <c r="O4846">
        <v>0</v>
      </c>
      <c r="P4846">
        <v>-0.35</v>
      </c>
      <c r="Q4846">
        <v>-0.35</v>
      </c>
    </row>
    <row r="4847" spans="1:18" customFormat="1" x14ac:dyDescent="0.3">
      <c r="A4847" s="31" t="s">
        <v>770</v>
      </c>
      <c r="B4847" t="s">
        <v>167</v>
      </c>
      <c r="C4847" t="s">
        <v>123</v>
      </c>
      <c r="D4847" t="s">
        <v>110</v>
      </c>
      <c r="E4847" t="s">
        <v>58</v>
      </c>
      <c r="F4847">
        <v>0</v>
      </c>
      <c r="G4847">
        <v>0</v>
      </c>
      <c r="H4847">
        <v>0</v>
      </c>
      <c r="I4847">
        <v>0</v>
      </c>
      <c r="J4847">
        <v>0</v>
      </c>
      <c r="K4847">
        <v>0</v>
      </c>
      <c r="L4847">
        <v>1684.75</v>
      </c>
      <c r="M4847">
        <v>0</v>
      </c>
      <c r="N4847">
        <v>0</v>
      </c>
      <c r="O4847">
        <v>0</v>
      </c>
      <c r="P4847">
        <v>1684.75</v>
      </c>
      <c r="Q4847">
        <v>1684.75</v>
      </c>
    </row>
    <row r="4848" spans="1:18" customFormat="1" x14ac:dyDescent="0.3">
      <c r="A4848" s="31" t="s">
        <v>770</v>
      </c>
      <c r="B4848" t="s">
        <v>167</v>
      </c>
      <c r="C4848" t="s">
        <v>123</v>
      </c>
      <c r="D4848" t="s">
        <v>110</v>
      </c>
      <c r="E4848" t="s">
        <v>7</v>
      </c>
      <c r="F4848">
        <v>0</v>
      </c>
      <c r="G4848">
        <v>630.94500000000005</v>
      </c>
      <c r="H4848">
        <v>-104.75</v>
      </c>
      <c r="I4848">
        <v>0</v>
      </c>
      <c r="J4848">
        <v>0</v>
      </c>
      <c r="K4848">
        <v>526.19500000000005</v>
      </c>
      <c r="L4848">
        <v>0</v>
      </c>
      <c r="M4848">
        <v>-33.78</v>
      </c>
      <c r="N4848">
        <v>0</v>
      </c>
      <c r="O4848">
        <v>0</v>
      </c>
      <c r="P4848">
        <v>-33.78</v>
      </c>
      <c r="Q4848">
        <v>492.41500000000002</v>
      </c>
    </row>
    <row r="4849" spans="1:17" customFormat="1" x14ac:dyDescent="0.3">
      <c r="A4849" s="31" t="s">
        <v>770</v>
      </c>
      <c r="B4849" t="s">
        <v>167</v>
      </c>
      <c r="C4849" t="s">
        <v>123</v>
      </c>
      <c r="D4849" t="s">
        <v>110</v>
      </c>
      <c r="E4849" t="s">
        <v>8</v>
      </c>
      <c r="F4849">
        <v>0</v>
      </c>
      <c r="G4849">
        <v>0</v>
      </c>
      <c r="H4849">
        <v>0</v>
      </c>
      <c r="I4849">
        <v>0</v>
      </c>
      <c r="J4849">
        <v>0</v>
      </c>
      <c r="K4849">
        <v>0</v>
      </c>
      <c r="L4849">
        <v>97.5</v>
      </c>
      <c r="M4849">
        <v>0</v>
      </c>
      <c r="N4849">
        <v>0</v>
      </c>
      <c r="O4849">
        <v>0</v>
      </c>
      <c r="P4849">
        <v>97.5</v>
      </c>
      <c r="Q4849">
        <v>97.5</v>
      </c>
    </row>
    <row r="4850" spans="1:17" customFormat="1" x14ac:dyDescent="0.3">
      <c r="A4850" s="31" t="s">
        <v>770</v>
      </c>
      <c r="B4850" t="s">
        <v>167</v>
      </c>
      <c r="C4850" t="s">
        <v>123</v>
      </c>
      <c r="D4850" t="s">
        <v>110</v>
      </c>
      <c r="E4850" t="s">
        <v>9</v>
      </c>
      <c r="F4850">
        <v>0</v>
      </c>
      <c r="G4850">
        <v>0</v>
      </c>
      <c r="H4850">
        <v>0</v>
      </c>
      <c r="I4850">
        <v>0</v>
      </c>
      <c r="J4850">
        <v>0</v>
      </c>
      <c r="K4850">
        <v>0</v>
      </c>
      <c r="L4850">
        <v>860.56</v>
      </c>
      <c r="M4850">
        <v>0</v>
      </c>
      <c r="N4850">
        <v>0</v>
      </c>
      <c r="O4850">
        <v>0</v>
      </c>
      <c r="P4850">
        <v>860.56</v>
      </c>
      <c r="Q4850">
        <v>860.56</v>
      </c>
    </row>
    <row r="4851" spans="1:17" customFormat="1" x14ac:dyDescent="0.3">
      <c r="A4851" s="31" t="s">
        <v>770</v>
      </c>
      <c r="B4851" t="s">
        <v>167</v>
      </c>
      <c r="C4851" t="s">
        <v>123</v>
      </c>
      <c r="D4851" t="s">
        <v>110</v>
      </c>
      <c r="E4851" t="s">
        <v>3</v>
      </c>
      <c r="F4851">
        <v>0</v>
      </c>
      <c r="G4851">
        <v>0</v>
      </c>
      <c r="H4851">
        <v>0</v>
      </c>
      <c r="I4851">
        <v>0</v>
      </c>
      <c r="J4851">
        <v>0</v>
      </c>
      <c r="K4851">
        <v>0</v>
      </c>
      <c r="L4851">
        <v>117.203614</v>
      </c>
      <c r="M4851">
        <v>-123.9</v>
      </c>
      <c r="N4851">
        <v>0</v>
      </c>
      <c r="O4851">
        <v>0</v>
      </c>
      <c r="P4851">
        <v>-6.6963860000000004</v>
      </c>
      <c r="Q4851">
        <v>-6.6963860000000004</v>
      </c>
    </row>
    <row r="4852" spans="1:17" customFormat="1" x14ac:dyDescent="0.3">
      <c r="A4852" s="31" t="s">
        <v>770</v>
      </c>
      <c r="B4852" t="s">
        <v>167</v>
      </c>
      <c r="C4852" t="s">
        <v>123</v>
      </c>
      <c r="D4852" t="s">
        <v>110</v>
      </c>
      <c r="E4852" t="s">
        <v>11</v>
      </c>
      <c r="F4852">
        <v>0</v>
      </c>
      <c r="G4852">
        <v>617.5</v>
      </c>
      <c r="H4852">
        <v>0</v>
      </c>
      <c r="I4852">
        <v>0</v>
      </c>
      <c r="J4852">
        <v>0</v>
      </c>
      <c r="K4852">
        <v>617.5</v>
      </c>
      <c r="L4852">
        <v>224.8</v>
      </c>
      <c r="M4852">
        <v>0</v>
      </c>
      <c r="N4852">
        <v>0</v>
      </c>
      <c r="O4852">
        <v>0</v>
      </c>
      <c r="P4852">
        <v>224.8</v>
      </c>
      <c r="Q4852">
        <v>842.3</v>
      </c>
    </row>
    <row r="4853" spans="1:17" customFormat="1" x14ac:dyDescent="0.3">
      <c r="A4853" s="31" t="s">
        <v>770</v>
      </c>
      <c r="B4853" t="s">
        <v>167</v>
      </c>
      <c r="C4853" t="s">
        <v>123</v>
      </c>
      <c r="D4853" t="s">
        <v>110</v>
      </c>
      <c r="E4853" t="s">
        <v>85</v>
      </c>
      <c r="F4853">
        <v>0</v>
      </c>
      <c r="G4853">
        <v>0</v>
      </c>
      <c r="H4853">
        <v>-144.6</v>
      </c>
      <c r="I4853">
        <v>0</v>
      </c>
      <c r="J4853">
        <v>0</v>
      </c>
      <c r="K4853">
        <v>-144.6</v>
      </c>
      <c r="L4853">
        <v>0</v>
      </c>
      <c r="M4853">
        <v>0</v>
      </c>
      <c r="N4853">
        <v>0</v>
      </c>
      <c r="O4853">
        <v>0</v>
      </c>
      <c r="P4853">
        <v>0</v>
      </c>
      <c r="Q4853">
        <v>-144.6</v>
      </c>
    </row>
    <row r="4854" spans="1:17" customFormat="1" x14ac:dyDescent="0.3">
      <c r="A4854" s="31" t="s">
        <v>770</v>
      </c>
      <c r="B4854" t="s">
        <v>167</v>
      </c>
      <c r="C4854" t="s">
        <v>123</v>
      </c>
      <c r="D4854" t="s">
        <v>110</v>
      </c>
      <c r="E4854" t="s">
        <v>1155</v>
      </c>
      <c r="F4854">
        <v>0</v>
      </c>
      <c r="G4854">
        <v>0</v>
      </c>
      <c r="H4854">
        <v>0</v>
      </c>
      <c r="I4854">
        <v>0</v>
      </c>
      <c r="J4854">
        <v>0</v>
      </c>
      <c r="K4854">
        <v>0</v>
      </c>
      <c r="L4854">
        <v>0</v>
      </c>
      <c r="M4854">
        <v>-46</v>
      </c>
      <c r="N4854">
        <v>0</v>
      </c>
      <c r="O4854">
        <v>0</v>
      </c>
      <c r="P4854">
        <v>-46</v>
      </c>
      <c r="Q4854">
        <v>-46</v>
      </c>
    </row>
    <row r="4855" spans="1:17" customFormat="1" x14ac:dyDescent="0.3">
      <c r="A4855" s="31" t="s">
        <v>770</v>
      </c>
      <c r="B4855" t="s">
        <v>167</v>
      </c>
      <c r="C4855" t="s">
        <v>123</v>
      </c>
      <c r="D4855" t="s">
        <v>110</v>
      </c>
      <c r="E4855" t="s">
        <v>18</v>
      </c>
      <c r="F4855">
        <v>0</v>
      </c>
      <c r="G4855">
        <v>0</v>
      </c>
      <c r="H4855">
        <v>0</v>
      </c>
      <c r="I4855">
        <v>0</v>
      </c>
      <c r="J4855">
        <v>0</v>
      </c>
      <c r="K4855">
        <v>0</v>
      </c>
      <c r="L4855">
        <v>796.95</v>
      </c>
      <c r="M4855">
        <v>0</v>
      </c>
      <c r="N4855">
        <v>0</v>
      </c>
      <c r="O4855">
        <v>0</v>
      </c>
      <c r="P4855">
        <v>796.95</v>
      </c>
      <c r="Q4855">
        <v>796.95</v>
      </c>
    </row>
    <row r="4856" spans="1:17" customFormat="1" x14ac:dyDescent="0.3">
      <c r="A4856" s="31" t="s">
        <v>770</v>
      </c>
      <c r="B4856" t="s">
        <v>167</v>
      </c>
      <c r="C4856" t="s">
        <v>123</v>
      </c>
      <c r="D4856" t="s">
        <v>110</v>
      </c>
      <c r="E4856" t="s">
        <v>48</v>
      </c>
      <c r="F4856">
        <v>0</v>
      </c>
      <c r="G4856">
        <v>0</v>
      </c>
      <c r="H4856">
        <v>0</v>
      </c>
      <c r="I4856">
        <v>0</v>
      </c>
      <c r="J4856">
        <v>0</v>
      </c>
      <c r="K4856">
        <v>0</v>
      </c>
      <c r="L4856">
        <v>1704.7</v>
      </c>
      <c r="M4856">
        <v>0</v>
      </c>
      <c r="N4856">
        <v>0</v>
      </c>
      <c r="O4856">
        <v>0</v>
      </c>
      <c r="P4856">
        <v>1704.7</v>
      </c>
      <c r="Q4856">
        <v>1704.7</v>
      </c>
    </row>
    <row r="4857" spans="1:17" customFormat="1" x14ac:dyDescent="0.3">
      <c r="A4857" s="31" t="s">
        <v>770</v>
      </c>
      <c r="B4857" t="s">
        <v>167</v>
      </c>
      <c r="C4857" t="s">
        <v>123</v>
      </c>
      <c r="D4857" t="s">
        <v>110</v>
      </c>
      <c r="E4857" t="s">
        <v>54</v>
      </c>
      <c r="F4857">
        <v>0</v>
      </c>
      <c r="G4857">
        <v>0</v>
      </c>
      <c r="H4857">
        <v>0</v>
      </c>
      <c r="I4857">
        <v>0</v>
      </c>
      <c r="J4857">
        <v>0</v>
      </c>
      <c r="K4857">
        <v>0</v>
      </c>
      <c r="L4857">
        <v>2696.4</v>
      </c>
      <c r="M4857">
        <v>0</v>
      </c>
      <c r="N4857">
        <v>0</v>
      </c>
      <c r="O4857">
        <v>0</v>
      </c>
      <c r="P4857">
        <v>2696.4</v>
      </c>
      <c r="Q4857">
        <v>2696.4</v>
      </c>
    </row>
    <row r="4858" spans="1:17" customFormat="1" x14ac:dyDescent="0.3">
      <c r="A4858" s="31" t="s">
        <v>770</v>
      </c>
      <c r="B4858" t="s">
        <v>167</v>
      </c>
      <c r="C4858" t="s">
        <v>123</v>
      </c>
      <c r="D4858" t="s">
        <v>110</v>
      </c>
      <c r="E4858" t="s">
        <v>19</v>
      </c>
      <c r="F4858">
        <v>0</v>
      </c>
      <c r="G4858">
        <v>0</v>
      </c>
      <c r="H4858">
        <v>0</v>
      </c>
      <c r="I4858">
        <v>0</v>
      </c>
      <c r="J4858">
        <v>0</v>
      </c>
      <c r="K4858">
        <v>0</v>
      </c>
      <c r="L4858">
        <v>0</v>
      </c>
      <c r="M4858">
        <v>-812.46285699999999</v>
      </c>
      <c r="N4858">
        <v>0</v>
      </c>
      <c r="O4858">
        <v>0</v>
      </c>
      <c r="P4858">
        <v>-812.46285699999999</v>
      </c>
      <c r="Q4858">
        <v>-812.46285699999999</v>
      </c>
    </row>
    <row r="4859" spans="1:17" customFormat="1" x14ac:dyDescent="0.3">
      <c r="A4859" s="31" t="s">
        <v>770</v>
      </c>
      <c r="B4859" t="s">
        <v>167</v>
      </c>
      <c r="C4859" t="s">
        <v>123</v>
      </c>
      <c r="D4859" t="s">
        <v>110</v>
      </c>
      <c r="E4859" t="s">
        <v>22</v>
      </c>
      <c r="F4859">
        <v>0</v>
      </c>
      <c r="G4859">
        <v>0</v>
      </c>
      <c r="H4859">
        <v>0</v>
      </c>
      <c r="I4859">
        <v>0</v>
      </c>
      <c r="J4859">
        <v>0</v>
      </c>
      <c r="K4859">
        <v>0</v>
      </c>
      <c r="L4859">
        <v>1702.241</v>
      </c>
      <c r="M4859">
        <v>0</v>
      </c>
      <c r="N4859">
        <v>0</v>
      </c>
      <c r="O4859">
        <v>0</v>
      </c>
      <c r="P4859">
        <v>1702.241</v>
      </c>
      <c r="Q4859">
        <v>1702.241</v>
      </c>
    </row>
    <row r="4860" spans="1:17" customFormat="1" x14ac:dyDescent="0.3">
      <c r="A4860" s="31" t="s">
        <v>770</v>
      </c>
      <c r="B4860" t="s">
        <v>167</v>
      </c>
      <c r="C4860" t="s">
        <v>123</v>
      </c>
      <c r="D4860" t="s">
        <v>110</v>
      </c>
      <c r="E4860" t="s">
        <v>24</v>
      </c>
      <c r="F4860">
        <v>0</v>
      </c>
      <c r="G4860">
        <v>0</v>
      </c>
      <c r="H4860">
        <v>0</v>
      </c>
      <c r="I4860">
        <v>0</v>
      </c>
      <c r="J4860">
        <v>0</v>
      </c>
      <c r="K4860">
        <v>0</v>
      </c>
      <c r="L4860">
        <v>874.71249999999998</v>
      </c>
      <c r="M4860">
        <v>0</v>
      </c>
      <c r="N4860">
        <v>0</v>
      </c>
      <c r="O4860">
        <v>0</v>
      </c>
      <c r="P4860">
        <v>874.71249999999998</v>
      </c>
      <c r="Q4860">
        <v>874.71249999999998</v>
      </c>
    </row>
    <row r="4861" spans="1:17" customFormat="1" x14ac:dyDescent="0.3">
      <c r="A4861" s="31" t="s">
        <v>770</v>
      </c>
      <c r="B4861" t="s">
        <v>167</v>
      </c>
      <c r="C4861" t="s">
        <v>123</v>
      </c>
      <c r="D4861" t="s">
        <v>110</v>
      </c>
      <c r="E4861" t="s">
        <v>70</v>
      </c>
      <c r="F4861">
        <v>0</v>
      </c>
      <c r="G4861">
        <v>0</v>
      </c>
      <c r="H4861">
        <v>-68.375</v>
      </c>
      <c r="I4861">
        <v>0</v>
      </c>
      <c r="J4861">
        <v>0</v>
      </c>
      <c r="K4861">
        <v>-68.375</v>
      </c>
      <c r="L4861">
        <v>143.25</v>
      </c>
      <c r="M4861">
        <v>0</v>
      </c>
      <c r="N4861">
        <v>0</v>
      </c>
      <c r="O4861">
        <v>0</v>
      </c>
      <c r="P4861">
        <v>143.25</v>
      </c>
      <c r="Q4861">
        <v>74.875</v>
      </c>
    </row>
    <row r="4862" spans="1:17" customFormat="1" x14ac:dyDescent="0.3">
      <c r="A4862" s="31" t="s">
        <v>770</v>
      </c>
      <c r="B4862" t="s">
        <v>167</v>
      </c>
      <c r="C4862" t="s">
        <v>123</v>
      </c>
      <c r="D4862" t="s">
        <v>110</v>
      </c>
      <c r="E4862" t="s">
        <v>49</v>
      </c>
      <c r="F4862">
        <v>0</v>
      </c>
      <c r="G4862">
        <v>0</v>
      </c>
      <c r="H4862">
        <v>0</v>
      </c>
      <c r="I4862">
        <v>0</v>
      </c>
      <c r="J4862">
        <v>0</v>
      </c>
      <c r="K4862">
        <v>0</v>
      </c>
      <c r="L4862">
        <v>1252.02</v>
      </c>
      <c r="M4862">
        <v>0</v>
      </c>
      <c r="N4862">
        <v>0</v>
      </c>
      <c r="O4862">
        <v>0</v>
      </c>
      <c r="P4862">
        <v>1252.02</v>
      </c>
      <c r="Q4862">
        <v>1252.02</v>
      </c>
    </row>
    <row r="4863" spans="1:17" customFormat="1" x14ac:dyDescent="0.3">
      <c r="A4863" s="31" t="s">
        <v>770</v>
      </c>
      <c r="B4863" t="s">
        <v>167</v>
      </c>
      <c r="C4863" t="s">
        <v>123</v>
      </c>
      <c r="D4863" t="s">
        <v>110</v>
      </c>
      <c r="E4863" t="s">
        <v>26</v>
      </c>
      <c r="F4863">
        <v>0</v>
      </c>
      <c r="G4863">
        <v>0</v>
      </c>
      <c r="H4863">
        <v>0</v>
      </c>
      <c r="I4863">
        <v>0</v>
      </c>
      <c r="J4863">
        <v>0</v>
      </c>
      <c r="K4863">
        <v>0</v>
      </c>
      <c r="L4863">
        <v>165.2</v>
      </c>
      <c r="M4863">
        <v>0</v>
      </c>
      <c r="N4863">
        <v>0</v>
      </c>
      <c r="O4863">
        <v>0</v>
      </c>
      <c r="P4863">
        <v>165.2</v>
      </c>
      <c r="Q4863">
        <v>165.2</v>
      </c>
    </row>
    <row r="4864" spans="1:17" customFormat="1" x14ac:dyDescent="0.3">
      <c r="A4864" s="31" t="s">
        <v>770</v>
      </c>
      <c r="B4864" t="s">
        <v>167</v>
      </c>
      <c r="C4864" t="s">
        <v>123</v>
      </c>
      <c r="D4864" t="s">
        <v>110</v>
      </c>
      <c r="E4864" t="s">
        <v>27</v>
      </c>
      <c r="F4864">
        <v>0</v>
      </c>
      <c r="G4864">
        <v>0</v>
      </c>
      <c r="H4864">
        <v>0</v>
      </c>
      <c r="I4864">
        <v>0</v>
      </c>
      <c r="J4864">
        <v>0</v>
      </c>
      <c r="K4864">
        <v>0</v>
      </c>
      <c r="L4864">
        <v>1243.45</v>
      </c>
      <c r="M4864">
        <v>0</v>
      </c>
      <c r="N4864">
        <v>0</v>
      </c>
      <c r="O4864">
        <v>0</v>
      </c>
      <c r="P4864">
        <v>1243.45</v>
      </c>
      <c r="Q4864">
        <v>1243.45</v>
      </c>
    </row>
    <row r="4865" spans="1:17" customFormat="1" x14ac:dyDescent="0.3">
      <c r="A4865" s="31" t="s">
        <v>770</v>
      </c>
      <c r="B4865" t="s">
        <v>167</v>
      </c>
      <c r="C4865" t="s">
        <v>123</v>
      </c>
      <c r="D4865" t="s">
        <v>110</v>
      </c>
      <c r="E4865" t="s">
        <v>28</v>
      </c>
      <c r="F4865">
        <v>0</v>
      </c>
      <c r="G4865">
        <v>0</v>
      </c>
      <c r="H4865">
        <v>0</v>
      </c>
      <c r="I4865">
        <v>0</v>
      </c>
      <c r="J4865">
        <v>0</v>
      </c>
      <c r="K4865">
        <v>0</v>
      </c>
      <c r="L4865">
        <v>2390.4379589999999</v>
      </c>
      <c r="M4865">
        <v>-126.24</v>
      </c>
      <c r="N4865">
        <v>0</v>
      </c>
      <c r="O4865">
        <v>0</v>
      </c>
      <c r="P4865">
        <v>2264.1979590000001</v>
      </c>
      <c r="Q4865">
        <v>2264.1979590000001</v>
      </c>
    </row>
    <row r="4866" spans="1:17" customFormat="1" x14ac:dyDescent="0.3">
      <c r="A4866" s="31" t="s">
        <v>770</v>
      </c>
      <c r="B4866" t="s">
        <v>167</v>
      </c>
      <c r="C4866" t="s">
        <v>123</v>
      </c>
      <c r="D4866" t="s">
        <v>110</v>
      </c>
      <c r="E4866" t="s">
        <v>55</v>
      </c>
      <c r="F4866">
        <v>0</v>
      </c>
      <c r="G4866">
        <v>0</v>
      </c>
      <c r="H4866">
        <v>-1286.1199999999999</v>
      </c>
      <c r="I4866">
        <v>0</v>
      </c>
      <c r="J4866">
        <v>0</v>
      </c>
      <c r="K4866">
        <v>-1286.1199999999999</v>
      </c>
      <c r="L4866">
        <v>0</v>
      </c>
      <c r="M4866">
        <v>0</v>
      </c>
      <c r="N4866">
        <v>0</v>
      </c>
      <c r="O4866">
        <v>0</v>
      </c>
      <c r="P4866">
        <v>0</v>
      </c>
      <c r="Q4866">
        <v>-1286.1199999999999</v>
      </c>
    </row>
    <row r="4867" spans="1:17" customFormat="1" x14ac:dyDescent="0.3">
      <c r="A4867" s="31" t="s">
        <v>770</v>
      </c>
      <c r="B4867" t="s">
        <v>167</v>
      </c>
      <c r="C4867" t="s">
        <v>123</v>
      </c>
      <c r="D4867" t="s">
        <v>110</v>
      </c>
      <c r="E4867" t="s">
        <v>29</v>
      </c>
      <c r="F4867">
        <v>0</v>
      </c>
      <c r="G4867">
        <v>0</v>
      </c>
      <c r="H4867">
        <v>0</v>
      </c>
      <c r="I4867">
        <v>0</v>
      </c>
      <c r="J4867">
        <v>0</v>
      </c>
      <c r="K4867">
        <v>0</v>
      </c>
      <c r="L4867">
        <v>663.3</v>
      </c>
      <c r="M4867">
        <v>0</v>
      </c>
      <c r="N4867">
        <v>0</v>
      </c>
      <c r="O4867">
        <v>0</v>
      </c>
      <c r="P4867">
        <v>663.3</v>
      </c>
      <c r="Q4867">
        <v>663.3</v>
      </c>
    </row>
    <row r="4868" spans="1:17" customFormat="1" x14ac:dyDescent="0.3">
      <c r="A4868" s="31" t="s">
        <v>770</v>
      </c>
      <c r="B4868" t="s">
        <v>167</v>
      </c>
      <c r="C4868" t="s">
        <v>123</v>
      </c>
      <c r="D4868" t="s">
        <v>110</v>
      </c>
      <c r="E4868" t="s">
        <v>39</v>
      </c>
      <c r="F4868">
        <v>0</v>
      </c>
      <c r="G4868">
        <v>0</v>
      </c>
      <c r="H4868">
        <v>0</v>
      </c>
      <c r="I4868">
        <v>0</v>
      </c>
      <c r="J4868">
        <v>0</v>
      </c>
      <c r="K4868">
        <v>0</v>
      </c>
      <c r="L4868">
        <v>0</v>
      </c>
      <c r="M4868">
        <v>-1230</v>
      </c>
      <c r="N4868">
        <v>0</v>
      </c>
      <c r="O4868">
        <v>0</v>
      </c>
      <c r="P4868">
        <v>-1230</v>
      </c>
      <c r="Q4868">
        <v>-1230</v>
      </c>
    </row>
    <row r="4869" spans="1:17" customFormat="1" x14ac:dyDescent="0.3">
      <c r="A4869" s="31" t="s">
        <v>770</v>
      </c>
      <c r="B4869" t="s">
        <v>167</v>
      </c>
      <c r="C4869" t="s">
        <v>123</v>
      </c>
      <c r="D4869" t="s">
        <v>110</v>
      </c>
      <c r="E4869" t="s">
        <v>82</v>
      </c>
      <c r="F4869">
        <v>0</v>
      </c>
      <c r="G4869">
        <v>0</v>
      </c>
      <c r="H4869">
        <v>0</v>
      </c>
      <c r="I4869">
        <v>0</v>
      </c>
      <c r="J4869">
        <v>0</v>
      </c>
      <c r="K4869">
        <v>0</v>
      </c>
      <c r="L4869">
        <v>1775.1</v>
      </c>
      <c r="M4869">
        <v>0</v>
      </c>
      <c r="N4869">
        <v>0</v>
      </c>
      <c r="O4869">
        <v>0</v>
      </c>
      <c r="P4869">
        <v>1775.1</v>
      </c>
      <c r="Q4869">
        <v>1775.1</v>
      </c>
    </row>
    <row r="4870" spans="1:17" customFormat="1" x14ac:dyDescent="0.3">
      <c r="A4870" s="31" t="s">
        <v>770</v>
      </c>
      <c r="B4870" t="s">
        <v>167</v>
      </c>
      <c r="C4870" t="s">
        <v>123</v>
      </c>
      <c r="D4870" t="s">
        <v>110</v>
      </c>
      <c r="E4870" t="s">
        <v>83</v>
      </c>
      <c r="F4870">
        <v>0</v>
      </c>
      <c r="G4870">
        <v>0</v>
      </c>
      <c r="H4870">
        <v>-3063.9</v>
      </c>
      <c r="I4870">
        <v>0</v>
      </c>
      <c r="J4870">
        <v>0</v>
      </c>
      <c r="K4870">
        <v>-3063.9</v>
      </c>
      <c r="L4870">
        <v>0</v>
      </c>
      <c r="M4870">
        <v>-1074.4000000000001</v>
      </c>
      <c r="N4870">
        <v>0</v>
      </c>
      <c r="O4870">
        <v>0</v>
      </c>
      <c r="P4870">
        <v>-1074.4000000000001</v>
      </c>
      <c r="Q4870">
        <v>-4138.3</v>
      </c>
    </row>
    <row r="4871" spans="1:17" customFormat="1" x14ac:dyDescent="0.3">
      <c r="A4871" s="31" t="s">
        <v>770</v>
      </c>
      <c r="B4871" t="s">
        <v>167</v>
      </c>
      <c r="C4871" t="s">
        <v>123</v>
      </c>
      <c r="D4871" t="s">
        <v>110</v>
      </c>
      <c r="E4871" t="s">
        <v>86</v>
      </c>
      <c r="F4871">
        <v>0</v>
      </c>
      <c r="G4871">
        <v>2609.16</v>
      </c>
      <c r="H4871">
        <v>0</v>
      </c>
      <c r="I4871">
        <v>0</v>
      </c>
      <c r="J4871">
        <v>0</v>
      </c>
      <c r="K4871">
        <v>2609.16</v>
      </c>
      <c r="L4871">
        <v>935.2</v>
      </c>
      <c r="M4871">
        <v>0</v>
      </c>
      <c r="N4871">
        <v>0</v>
      </c>
      <c r="O4871">
        <v>0</v>
      </c>
      <c r="P4871">
        <v>935.2</v>
      </c>
      <c r="Q4871">
        <v>3544.36</v>
      </c>
    </row>
    <row r="4872" spans="1:17" customFormat="1" x14ac:dyDescent="0.3">
      <c r="A4872" s="31" t="s">
        <v>770</v>
      </c>
      <c r="B4872" t="s">
        <v>167</v>
      </c>
      <c r="C4872" t="s">
        <v>123</v>
      </c>
      <c r="D4872" t="s">
        <v>110</v>
      </c>
      <c r="E4872" t="s">
        <v>77</v>
      </c>
      <c r="F4872">
        <v>0</v>
      </c>
      <c r="G4872">
        <v>1473.4</v>
      </c>
      <c r="H4872">
        <v>0</v>
      </c>
      <c r="I4872">
        <v>0</v>
      </c>
      <c r="J4872">
        <v>0</v>
      </c>
      <c r="K4872">
        <v>1473.4</v>
      </c>
      <c r="L4872">
        <v>566.6</v>
      </c>
      <c r="M4872">
        <v>0</v>
      </c>
      <c r="N4872">
        <v>0</v>
      </c>
      <c r="O4872">
        <v>0</v>
      </c>
      <c r="P4872">
        <v>566.6</v>
      </c>
      <c r="Q4872">
        <v>2040</v>
      </c>
    </row>
    <row r="4873" spans="1:17" customFormat="1" x14ac:dyDescent="0.3">
      <c r="A4873" s="31" t="s">
        <v>770</v>
      </c>
      <c r="B4873" t="s">
        <v>167</v>
      </c>
      <c r="C4873" t="s">
        <v>123</v>
      </c>
      <c r="D4873" t="s">
        <v>110</v>
      </c>
      <c r="E4873" t="s">
        <v>87</v>
      </c>
      <c r="F4873">
        <v>0</v>
      </c>
      <c r="G4873">
        <v>0</v>
      </c>
      <c r="H4873">
        <v>0</v>
      </c>
      <c r="I4873">
        <v>0</v>
      </c>
      <c r="J4873">
        <v>0</v>
      </c>
      <c r="K4873">
        <v>0</v>
      </c>
      <c r="L4873">
        <v>1114.5</v>
      </c>
      <c r="M4873">
        <v>0</v>
      </c>
      <c r="N4873">
        <v>0</v>
      </c>
      <c r="O4873">
        <v>0</v>
      </c>
      <c r="P4873">
        <v>1114.5</v>
      </c>
      <c r="Q4873">
        <v>1114.5</v>
      </c>
    </row>
    <row r="4874" spans="1:17" customFormat="1" x14ac:dyDescent="0.3">
      <c r="A4874" s="31" t="s">
        <v>770</v>
      </c>
      <c r="B4874" t="s">
        <v>167</v>
      </c>
      <c r="C4874" t="s">
        <v>123</v>
      </c>
      <c r="D4874" t="s">
        <v>110</v>
      </c>
      <c r="E4874" t="s">
        <v>78</v>
      </c>
      <c r="F4874">
        <v>0</v>
      </c>
      <c r="G4874">
        <v>0</v>
      </c>
      <c r="H4874">
        <v>0</v>
      </c>
      <c r="I4874">
        <v>0</v>
      </c>
      <c r="J4874">
        <v>0</v>
      </c>
      <c r="K4874">
        <v>0</v>
      </c>
      <c r="L4874">
        <v>271.2</v>
      </c>
      <c r="M4874">
        <v>0</v>
      </c>
      <c r="N4874">
        <v>0</v>
      </c>
      <c r="O4874">
        <v>0</v>
      </c>
      <c r="P4874">
        <v>271.2</v>
      </c>
      <c r="Q4874">
        <v>271.2</v>
      </c>
    </row>
    <row r="4875" spans="1:17" customFormat="1" x14ac:dyDescent="0.3">
      <c r="A4875" s="31" t="s">
        <v>770</v>
      </c>
      <c r="B4875" t="s">
        <v>167</v>
      </c>
      <c r="C4875" t="s">
        <v>123</v>
      </c>
      <c r="D4875" t="s">
        <v>110</v>
      </c>
      <c r="E4875" t="s">
        <v>32</v>
      </c>
      <c r="F4875">
        <v>0</v>
      </c>
      <c r="G4875">
        <v>0</v>
      </c>
      <c r="H4875">
        <v>0</v>
      </c>
      <c r="I4875">
        <v>0</v>
      </c>
      <c r="J4875">
        <v>0</v>
      </c>
      <c r="K4875">
        <v>0</v>
      </c>
      <c r="L4875">
        <v>627.20000000000005</v>
      </c>
      <c r="M4875">
        <v>0</v>
      </c>
      <c r="N4875">
        <v>0</v>
      </c>
      <c r="O4875">
        <v>0</v>
      </c>
      <c r="P4875">
        <v>627.20000000000005</v>
      </c>
      <c r="Q4875">
        <v>627.20000000000005</v>
      </c>
    </row>
    <row r="4876" spans="1:17" customFormat="1" x14ac:dyDescent="0.3">
      <c r="A4876" s="31" t="s">
        <v>770</v>
      </c>
      <c r="B4876" t="s">
        <v>167</v>
      </c>
      <c r="C4876" t="s">
        <v>123</v>
      </c>
      <c r="D4876" t="s">
        <v>110</v>
      </c>
      <c r="E4876" t="s">
        <v>1156</v>
      </c>
      <c r="F4876">
        <v>0</v>
      </c>
      <c r="G4876">
        <v>0</v>
      </c>
      <c r="H4876">
        <v>0</v>
      </c>
      <c r="I4876">
        <v>0</v>
      </c>
      <c r="J4876">
        <v>0</v>
      </c>
      <c r="K4876">
        <v>0</v>
      </c>
      <c r="L4876">
        <v>428.75</v>
      </c>
      <c r="M4876">
        <v>0</v>
      </c>
      <c r="N4876">
        <v>0</v>
      </c>
      <c r="O4876">
        <v>0</v>
      </c>
      <c r="P4876">
        <v>428.75</v>
      </c>
      <c r="Q4876">
        <v>428.75</v>
      </c>
    </row>
    <row r="4877" spans="1:17" customFormat="1" x14ac:dyDescent="0.3">
      <c r="A4877" s="31" t="s">
        <v>770</v>
      </c>
      <c r="B4877" t="s">
        <v>167</v>
      </c>
      <c r="C4877" t="s">
        <v>123</v>
      </c>
      <c r="D4877" t="s">
        <v>110</v>
      </c>
      <c r="E4877" t="s">
        <v>61</v>
      </c>
      <c r="F4877">
        <v>0</v>
      </c>
      <c r="G4877">
        <v>0</v>
      </c>
      <c r="H4877">
        <v>-736</v>
      </c>
      <c r="I4877">
        <v>0</v>
      </c>
      <c r="J4877">
        <v>0</v>
      </c>
      <c r="K4877">
        <v>-736</v>
      </c>
      <c r="L4877">
        <v>0</v>
      </c>
      <c r="M4877">
        <v>0</v>
      </c>
      <c r="N4877">
        <v>0</v>
      </c>
      <c r="O4877">
        <v>0</v>
      </c>
      <c r="P4877">
        <v>0</v>
      </c>
      <c r="Q4877">
        <v>-736</v>
      </c>
    </row>
    <row r="4878" spans="1:17" customFormat="1" x14ac:dyDescent="0.3">
      <c r="A4878" s="31" t="s">
        <v>770</v>
      </c>
      <c r="B4878" t="s">
        <v>167</v>
      </c>
      <c r="C4878" t="s">
        <v>123</v>
      </c>
      <c r="D4878" t="s">
        <v>110</v>
      </c>
      <c r="E4878" t="s">
        <v>62</v>
      </c>
      <c r="F4878">
        <v>0</v>
      </c>
      <c r="G4878">
        <v>0</v>
      </c>
      <c r="H4878">
        <v>0</v>
      </c>
      <c r="I4878">
        <v>0</v>
      </c>
      <c r="J4878">
        <v>0</v>
      </c>
      <c r="K4878">
        <v>0</v>
      </c>
      <c r="L4878">
        <v>769.13</v>
      </c>
      <c r="M4878">
        <v>0</v>
      </c>
      <c r="N4878">
        <v>0</v>
      </c>
      <c r="O4878">
        <v>0</v>
      </c>
      <c r="P4878">
        <v>769.13</v>
      </c>
      <c r="Q4878">
        <v>769.13</v>
      </c>
    </row>
    <row r="4879" spans="1:17" customFormat="1" x14ac:dyDescent="0.3">
      <c r="A4879" s="31" t="s">
        <v>770</v>
      </c>
      <c r="B4879" t="s">
        <v>167</v>
      </c>
      <c r="C4879" t="s">
        <v>123</v>
      </c>
      <c r="D4879" t="s">
        <v>110</v>
      </c>
      <c r="E4879" t="s">
        <v>41</v>
      </c>
      <c r="F4879">
        <v>0</v>
      </c>
      <c r="G4879">
        <v>0</v>
      </c>
      <c r="H4879">
        <v>0</v>
      </c>
      <c r="I4879">
        <v>0</v>
      </c>
      <c r="J4879">
        <v>0</v>
      </c>
      <c r="K4879">
        <v>0</v>
      </c>
      <c r="L4879">
        <v>5907.5749999999998</v>
      </c>
      <c r="M4879">
        <v>0</v>
      </c>
      <c r="N4879">
        <v>0</v>
      </c>
      <c r="O4879">
        <v>0</v>
      </c>
      <c r="P4879">
        <v>5907.5749999999998</v>
      </c>
      <c r="Q4879">
        <v>5907.5749999999998</v>
      </c>
    </row>
    <row r="4880" spans="1:17" customFormat="1" x14ac:dyDescent="0.3">
      <c r="A4880" s="31" t="s">
        <v>770</v>
      </c>
      <c r="B4880" t="s">
        <v>167</v>
      </c>
      <c r="C4880" t="s">
        <v>123</v>
      </c>
      <c r="D4880" t="s">
        <v>110</v>
      </c>
      <c r="E4880" t="s">
        <v>79</v>
      </c>
      <c r="F4880">
        <v>0</v>
      </c>
      <c r="G4880">
        <v>0</v>
      </c>
      <c r="H4880">
        <v>0</v>
      </c>
      <c r="I4880">
        <v>0</v>
      </c>
      <c r="J4880">
        <v>0</v>
      </c>
      <c r="K4880">
        <v>0</v>
      </c>
      <c r="L4880">
        <v>1150.4000000000001</v>
      </c>
      <c r="M4880">
        <v>0</v>
      </c>
      <c r="N4880">
        <v>0</v>
      </c>
      <c r="O4880">
        <v>0</v>
      </c>
      <c r="P4880">
        <v>1150.4000000000001</v>
      </c>
      <c r="Q4880">
        <v>1150.4000000000001</v>
      </c>
    </row>
    <row r="4881" spans="1:17" customFormat="1" x14ac:dyDescent="0.3">
      <c r="A4881" s="31" t="s">
        <v>770</v>
      </c>
      <c r="B4881" t="s">
        <v>167</v>
      </c>
      <c r="C4881" t="s">
        <v>123</v>
      </c>
      <c r="D4881" t="s">
        <v>110</v>
      </c>
      <c r="E4881" t="s">
        <v>42</v>
      </c>
      <c r="F4881">
        <v>0</v>
      </c>
      <c r="G4881">
        <v>0</v>
      </c>
      <c r="H4881">
        <v>0</v>
      </c>
      <c r="I4881">
        <v>0</v>
      </c>
      <c r="J4881">
        <v>0</v>
      </c>
      <c r="K4881">
        <v>0</v>
      </c>
      <c r="L4881">
        <v>3877.1</v>
      </c>
      <c r="M4881">
        <v>0</v>
      </c>
      <c r="N4881">
        <v>0</v>
      </c>
      <c r="O4881">
        <v>0</v>
      </c>
      <c r="P4881">
        <v>3877.1</v>
      </c>
      <c r="Q4881">
        <v>3877.1</v>
      </c>
    </row>
    <row r="4882" spans="1:17" customFormat="1" x14ac:dyDescent="0.3">
      <c r="A4882" s="31" t="s">
        <v>770</v>
      </c>
      <c r="B4882" t="s">
        <v>167</v>
      </c>
      <c r="C4882" t="s">
        <v>123</v>
      </c>
      <c r="D4882" t="s">
        <v>110</v>
      </c>
      <c r="E4882" t="s">
        <v>43</v>
      </c>
      <c r="F4882">
        <v>0</v>
      </c>
      <c r="G4882">
        <v>0</v>
      </c>
      <c r="H4882">
        <v>0</v>
      </c>
      <c r="I4882">
        <v>0</v>
      </c>
      <c r="J4882">
        <v>0</v>
      </c>
      <c r="K4882">
        <v>0</v>
      </c>
      <c r="L4882">
        <v>3939.6</v>
      </c>
      <c r="M4882">
        <v>0</v>
      </c>
      <c r="N4882">
        <v>0</v>
      </c>
      <c r="O4882">
        <v>0</v>
      </c>
      <c r="P4882">
        <v>3939.6</v>
      </c>
      <c r="Q4882">
        <v>3939.6</v>
      </c>
    </row>
    <row r="4883" spans="1:17" customFormat="1" x14ac:dyDescent="0.3">
      <c r="A4883" s="31" t="s">
        <v>770</v>
      </c>
      <c r="B4883" t="s">
        <v>167</v>
      </c>
      <c r="C4883" t="s">
        <v>123</v>
      </c>
      <c r="D4883" t="s">
        <v>110</v>
      </c>
      <c r="E4883" t="s">
        <v>44</v>
      </c>
      <c r="F4883">
        <v>0</v>
      </c>
      <c r="G4883">
        <v>0</v>
      </c>
      <c r="H4883">
        <v>0</v>
      </c>
      <c r="I4883">
        <v>0</v>
      </c>
      <c r="J4883">
        <v>0</v>
      </c>
      <c r="K4883">
        <v>0</v>
      </c>
      <c r="L4883">
        <v>651.54999999999995</v>
      </c>
      <c r="M4883">
        <v>0</v>
      </c>
      <c r="N4883">
        <v>0</v>
      </c>
      <c r="O4883">
        <v>0</v>
      </c>
      <c r="P4883">
        <v>651.54999999999995</v>
      </c>
      <c r="Q4883">
        <v>651.54999999999995</v>
      </c>
    </row>
    <row r="4884" spans="1:17" customFormat="1" x14ac:dyDescent="0.3">
      <c r="A4884" s="31" t="s">
        <v>770</v>
      </c>
      <c r="B4884" t="s">
        <v>167</v>
      </c>
      <c r="C4884" t="s">
        <v>123</v>
      </c>
      <c r="D4884" t="s">
        <v>110</v>
      </c>
      <c r="E4884" t="s">
        <v>84</v>
      </c>
      <c r="F4884">
        <v>0</v>
      </c>
      <c r="G4884">
        <v>298.8</v>
      </c>
      <c r="H4884">
        <v>0</v>
      </c>
      <c r="I4884">
        <v>0</v>
      </c>
      <c r="J4884">
        <v>0</v>
      </c>
      <c r="K4884">
        <v>298.8</v>
      </c>
      <c r="L4884">
        <v>743</v>
      </c>
      <c r="M4884">
        <v>0</v>
      </c>
      <c r="N4884">
        <v>0</v>
      </c>
      <c r="O4884">
        <v>0</v>
      </c>
      <c r="P4884">
        <v>743</v>
      </c>
      <c r="Q4884">
        <v>1041.8</v>
      </c>
    </row>
    <row r="4885" spans="1:17" customFormat="1" x14ac:dyDescent="0.3">
      <c r="A4885" s="31" t="s">
        <v>770</v>
      </c>
      <c r="B4885" t="s">
        <v>167</v>
      </c>
      <c r="C4885" t="s">
        <v>123</v>
      </c>
      <c r="D4885" t="s">
        <v>97</v>
      </c>
      <c r="F4885">
        <v>0</v>
      </c>
      <c r="G4885">
        <v>5629.8050000000003</v>
      </c>
      <c r="H4885">
        <v>-5403.7449999999999</v>
      </c>
      <c r="I4885">
        <v>0</v>
      </c>
      <c r="J4885">
        <v>0</v>
      </c>
      <c r="K4885">
        <v>226.06</v>
      </c>
      <c r="L4885">
        <v>44671.660072999999</v>
      </c>
      <c r="M4885">
        <v>-3447.1328570000001</v>
      </c>
      <c r="N4885">
        <v>0</v>
      </c>
      <c r="O4885">
        <v>0</v>
      </c>
      <c r="P4885">
        <v>41224.527216000002</v>
      </c>
      <c r="Q4885">
        <v>41450.587216</v>
      </c>
    </row>
    <row r="4886" spans="1:17" customFormat="1" x14ac:dyDescent="0.3">
      <c r="A4886" s="31" t="s">
        <v>770</v>
      </c>
      <c r="B4886" t="s">
        <v>167</v>
      </c>
      <c r="C4886" t="s">
        <v>123</v>
      </c>
      <c r="D4886" t="s">
        <v>112</v>
      </c>
      <c r="E4886" t="s">
        <v>80</v>
      </c>
      <c r="F4886">
        <v>0</v>
      </c>
      <c r="G4886">
        <v>1296.25</v>
      </c>
      <c r="H4886">
        <v>-3377.5</v>
      </c>
      <c r="I4886">
        <v>0</v>
      </c>
      <c r="J4886">
        <v>0</v>
      </c>
      <c r="K4886">
        <v>-2081.25</v>
      </c>
      <c r="L4886">
        <v>0</v>
      </c>
      <c r="M4886">
        <v>0</v>
      </c>
      <c r="N4886">
        <v>0</v>
      </c>
      <c r="O4886">
        <v>0</v>
      </c>
      <c r="P4886">
        <v>0</v>
      </c>
      <c r="Q4886">
        <v>-2081.25</v>
      </c>
    </row>
    <row r="4887" spans="1:17" customFormat="1" x14ac:dyDescent="0.3">
      <c r="A4887" s="31" t="s">
        <v>770</v>
      </c>
      <c r="B4887" t="s">
        <v>167</v>
      </c>
      <c r="C4887" t="s">
        <v>123</v>
      </c>
      <c r="D4887" t="s">
        <v>112</v>
      </c>
      <c r="E4887" t="s">
        <v>1157</v>
      </c>
      <c r="F4887">
        <v>0</v>
      </c>
      <c r="G4887">
        <v>0</v>
      </c>
      <c r="H4887">
        <v>0</v>
      </c>
      <c r="I4887">
        <v>0</v>
      </c>
      <c r="J4887">
        <v>0</v>
      </c>
      <c r="K4887">
        <v>0</v>
      </c>
      <c r="L4887">
        <v>0</v>
      </c>
      <c r="M4887">
        <v>-392.5</v>
      </c>
      <c r="N4887">
        <v>0</v>
      </c>
      <c r="O4887">
        <v>0</v>
      </c>
      <c r="P4887">
        <v>-392.5</v>
      </c>
      <c r="Q4887">
        <v>-392.5</v>
      </c>
    </row>
    <row r="4888" spans="1:17" customFormat="1" x14ac:dyDescent="0.3">
      <c r="A4888" s="31" t="s">
        <v>770</v>
      </c>
      <c r="B4888" t="s">
        <v>167</v>
      </c>
      <c r="C4888" t="s">
        <v>123</v>
      </c>
      <c r="D4888" t="s">
        <v>112</v>
      </c>
      <c r="E4888" t="s">
        <v>81</v>
      </c>
      <c r="F4888">
        <v>0</v>
      </c>
      <c r="G4888">
        <v>1595</v>
      </c>
      <c r="H4888">
        <v>-9980</v>
      </c>
      <c r="I4888">
        <v>0</v>
      </c>
      <c r="J4888">
        <v>0</v>
      </c>
      <c r="K4888">
        <v>-8385</v>
      </c>
      <c r="L4888">
        <v>0</v>
      </c>
      <c r="M4888">
        <v>0</v>
      </c>
      <c r="N4888">
        <v>0</v>
      </c>
      <c r="O4888">
        <v>0</v>
      </c>
      <c r="P4888">
        <v>0</v>
      </c>
      <c r="Q4888">
        <v>-8385</v>
      </c>
    </row>
    <row r="4889" spans="1:17" customFormat="1" x14ac:dyDescent="0.3">
      <c r="A4889" s="31" t="s">
        <v>770</v>
      </c>
      <c r="B4889" t="s">
        <v>167</v>
      </c>
      <c r="C4889" t="s">
        <v>123</v>
      </c>
      <c r="D4889" t="s">
        <v>112</v>
      </c>
      <c r="E4889" t="s">
        <v>1158</v>
      </c>
      <c r="F4889">
        <v>0</v>
      </c>
      <c r="G4889">
        <v>0</v>
      </c>
      <c r="H4889">
        <v>-1898.5</v>
      </c>
      <c r="I4889">
        <v>0</v>
      </c>
      <c r="J4889">
        <v>0</v>
      </c>
      <c r="K4889">
        <v>-1898.5</v>
      </c>
      <c r="L4889">
        <v>0</v>
      </c>
      <c r="M4889">
        <v>-3169.5</v>
      </c>
      <c r="N4889">
        <v>0</v>
      </c>
      <c r="O4889">
        <v>0</v>
      </c>
      <c r="P4889">
        <v>-3169.5</v>
      </c>
      <c r="Q4889">
        <v>-5068</v>
      </c>
    </row>
    <row r="4890" spans="1:17" customFormat="1" x14ac:dyDescent="0.3">
      <c r="A4890" s="31" t="s">
        <v>770</v>
      </c>
      <c r="B4890" t="s">
        <v>167</v>
      </c>
      <c r="C4890" t="s">
        <v>123</v>
      </c>
      <c r="D4890" t="s">
        <v>97</v>
      </c>
      <c r="F4890">
        <v>0</v>
      </c>
      <c r="G4890">
        <v>2891.25</v>
      </c>
      <c r="H4890">
        <v>-15256</v>
      </c>
      <c r="I4890">
        <v>0</v>
      </c>
      <c r="J4890">
        <v>0</v>
      </c>
      <c r="K4890">
        <v>-12364.75</v>
      </c>
      <c r="L4890">
        <v>0</v>
      </c>
      <c r="M4890">
        <v>-3562</v>
      </c>
      <c r="N4890">
        <v>0</v>
      </c>
      <c r="O4890">
        <v>0</v>
      </c>
      <c r="P4890">
        <v>-3562</v>
      </c>
      <c r="Q4890">
        <v>-15926.75</v>
      </c>
    </row>
    <row r="4891" spans="1:17" customFormat="1" x14ac:dyDescent="0.3">
      <c r="A4891" s="31" t="s">
        <v>770</v>
      </c>
      <c r="B4891" t="s">
        <v>167</v>
      </c>
      <c r="C4891" t="s">
        <v>123</v>
      </c>
      <c r="D4891" t="s">
        <v>115</v>
      </c>
      <c r="F4891">
        <v>0</v>
      </c>
      <c r="G4891">
        <v>8521.0550000000003</v>
      </c>
      <c r="H4891">
        <v>-20659.744999999999</v>
      </c>
      <c r="I4891">
        <v>0</v>
      </c>
      <c r="J4891">
        <v>0</v>
      </c>
      <c r="K4891">
        <v>-12138.69</v>
      </c>
      <c r="L4891">
        <v>44671.660072999999</v>
      </c>
      <c r="M4891">
        <v>-7009.1328569999996</v>
      </c>
      <c r="N4891">
        <v>0</v>
      </c>
      <c r="O4891">
        <v>0</v>
      </c>
      <c r="P4891">
        <v>37662.527216000002</v>
      </c>
      <c r="Q4891">
        <v>25523.837216</v>
      </c>
    </row>
    <row r="4892" spans="1:17" customFormat="1" x14ac:dyDescent="0.3">
      <c r="A4892" s="31" t="s">
        <v>770</v>
      </c>
      <c r="B4892" t="s">
        <v>179</v>
      </c>
      <c r="C4892" t="s">
        <v>120</v>
      </c>
      <c r="D4892" t="s">
        <v>180</v>
      </c>
      <c r="E4892" t="s">
        <v>181</v>
      </c>
      <c r="F4892" t="s">
        <v>97</v>
      </c>
      <c r="G4892" t="s">
        <v>182</v>
      </c>
      <c r="H4892" t="s">
        <v>112</v>
      </c>
    </row>
    <row r="4893" spans="1:17" customFormat="1" x14ac:dyDescent="0.3">
      <c r="A4893" s="31" t="s">
        <v>770</v>
      </c>
      <c r="B4893" t="s">
        <v>179</v>
      </c>
      <c r="C4893" t="s">
        <v>123</v>
      </c>
      <c r="D4893" t="s">
        <v>183</v>
      </c>
      <c r="E4893" t="s">
        <v>184</v>
      </c>
      <c r="F4893">
        <v>-30466.238874999999</v>
      </c>
      <c r="G4893">
        <v>-61026.298875</v>
      </c>
      <c r="H4893">
        <v>30560.06</v>
      </c>
    </row>
    <row r="4894" spans="1:17" customFormat="1" x14ac:dyDescent="0.3">
      <c r="A4894" s="31" t="s">
        <v>770</v>
      </c>
      <c r="B4894" t="s">
        <v>179</v>
      </c>
      <c r="C4894" t="s">
        <v>123</v>
      </c>
      <c r="D4894" t="s">
        <v>185</v>
      </c>
      <c r="E4894" t="s">
        <v>184</v>
      </c>
      <c r="F4894">
        <v>0</v>
      </c>
      <c r="G4894">
        <v>-5489.7</v>
      </c>
      <c r="H4894">
        <v>5489.7</v>
      </c>
    </row>
    <row r="4895" spans="1:17" customFormat="1" x14ac:dyDescent="0.3">
      <c r="A4895" s="31" t="s">
        <v>770</v>
      </c>
      <c r="B4895" t="s">
        <v>179</v>
      </c>
      <c r="C4895" t="s">
        <v>123</v>
      </c>
      <c r="D4895" t="s">
        <v>157</v>
      </c>
      <c r="E4895" t="s">
        <v>184</v>
      </c>
      <c r="F4895">
        <v>732.55</v>
      </c>
      <c r="G4895">
        <v>732.55</v>
      </c>
      <c r="H4895">
        <v>0</v>
      </c>
    </row>
    <row r="4896" spans="1:17" customFormat="1" x14ac:dyDescent="0.3">
      <c r="A4896" s="31" t="s">
        <v>770</v>
      </c>
      <c r="B4896" t="s">
        <v>179</v>
      </c>
      <c r="C4896" t="s">
        <v>123</v>
      </c>
      <c r="D4896" t="s">
        <v>116</v>
      </c>
      <c r="E4896" t="s">
        <v>184</v>
      </c>
      <c r="F4896">
        <v>-53.38</v>
      </c>
      <c r="G4896">
        <v>-53.38</v>
      </c>
      <c r="H4896">
        <v>0</v>
      </c>
    </row>
    <row r="4897" spans="1:15" customFormat="1" x14ac:dyDescent="0.3">
      <c r="A4897" s="31" t="s">
        <v>770</v>
      </c>
      <c r="B4897" t="s">
        <v>179</v>
      </c>
      <c r="C4897" t="s">
        <v>123</v>
      </c>
      <c r="D4897" t="s">
        <v>186</v>
      </c>
      <c r="E4897" t="s">
        <v>184</v>
      </c>
      <c r="F4897">
        <v>-9758.25</v>
      </c>
      <c r="G4897">
        <v>0</v>
      </c>
      <c r="H4897">
        <v>-9758.25</v>
      </c>
    </row>
    <row r="4898" spans="1:15" customFormat="1" x14ac:dyDescent="0.3">
      <c r="A4898" s="31" t="s">
        <v>770</v>
      </c>
      <c r="B4898" t="s">
        <v>179</v>
      </c>
      <c r="C4898" t="s">
        <v>123</v>
      </c>
      <c r="D4898" t="s">
        <v>187</v>
      </c>
      <c r="E4898" t="s">
        <v>184</v>
      </c>
      <c r="F4898">
        <v>93619.96</v>
      </c>
      <c r="G4898">
        <v>93619.96</v>
      </c>
      <c r="H4898">
        <v>0</v>
      </c>
    </row>
    <row r="4899" spans="1:15" customFormat="1" x14ac:dyDescent="0.3">
      <c r="A4899" s="31" t="s">
        <v>770</v>
      </c>
      <c r="B4899" t="s">
        <v>179</v>
      </c>
      <c r="C4899" t="s">
        <v>123</v>
      </c>
      <c r="D4899" t="s">
        <v>188</v>
      </c>
      <c r="E4899" t="s">
        <v>184</v>
      </c>
      <c r="F4899">
        <v>-42741.65</v>
      </c>
      <c r="G4899">
        <v>-42741.65</v>
      </c>
      <c r="H4899">
        <v>0</v>
      </c>
    </row>
    <row r="4900" spans="1:15" customFormat="1" x14ac:dyDescent="0.3">
      <c r="A4900" s="31" t="s">
        <v>770</v>
      </c>
      <c r="B4900" t="s">
        <v>179</v>
      </c>
      <c r="C4900" t="s">
        <v>123</v>
      </c>
      <c r="D4900" t="s">
        <v>1154</v>
      </c>
      <c r="E4900" t="s">
        <v>184</v>
      </c>
      <c r="F4900">
        <v>-0.6</v>
      </c>
      <c r="G4900">
        <v>-0.6</v>
      </c>
      <c r="H4900">
        <v>0</v>
      </c>
    </row>
    <row r="4901" spans="1:15" customFormat="1" x14ac:dyDescent="0.3">
      <c r="A4901" s="31" t="s">
        <v>770</v>
      </c>
      <c r="B4901" t="s">
        <v>179</v>
      </c>
      <c r="C4901" t="s">
        <v>123</v>
      </c>
      <c r="D4901" t="s">
        <v>1159</v>
      </c>
      <c r="E4901" t="s">
        <v>184</v>
      </c>
      <c r="F4901">
        <v>52.28</v>
      </c>
      <c r="G4901">
        <v>52.28</v>
      </c>
      <c r="H4901">
        <v>0</v>
      </c>
    </row>
    <row r="4902" spans="1:15" customFormat="1" x14ac:dyDescent="0.3">
      <c r="A4902" s="31" t="s">
        <v>770</v>
      </c>
      <c r="B4902" t="s">
        <v>179</v>
      </c>
      <c r="C4902" t="s">
        <v>123</v>
      </c>
      <c r="D4902" t="s">
        <v>158</v>
      </c>
      <c r="E4902" t="s">
        <v>184</v>
      </c>
      <c r="F4902">
        <v>-196.25</v>
      </c>
      <c r="G4902">
        <v>-196.25</v>
      </c>
      <c r="H4902">
        <v>0</v>
      </c>
    </row>
    <row r="4903" spans="1:15" customFormat="1" x14ac:dyDescent="0.3">
      <c r="A4903" s="31" t="s">
        <v>770</v>
      </c>
      <c r="B4903" t="s">
        <v>179</v>
      </c>
      <c r="C4903" t="s">
        <v>123</v>
      </c>
      <c r="D4903" t="s">
        <v>189</v>
      </c>
      <c r="E4903" t="s">
        <v>184</v>
      </c>
      <c r="F4903">
        <v>11188.421125000001</v>
      </c>
      <c r="G4903">
        <v>-15103.088874999999</v>
      </c>
      <c r="H4903">
        <v>26291.51</v>
      </c>
    </row>
    <row r="4904" spans="1:15" customFormat="1" x14ac:dyDescent="0.3">
      <c r="A4904" s="31" t="s">
        <v>770</v>
      </c>
      <c r="B4904" t="s">
        <v>179</v>
      </c>
      <c r="C4904" t="s">
        <v>123</v>
      </c>
      <c r="D4904" t="s">
        <v>190</v>
      </c>
      <c r="E4904" t="s">
        <v>184</v>
      </c>
      <c r="F4904">
        <v>17036.521124999999</v>
      </c>
      <c r="G4904">
        <v>-10315.488874999999</v>
      </c>
      <c r="H4904">
        <v>27352.01</v>
      </c>
    </row>
    <row r="4905" spans="1:15" customFormat="1" x14ac:dyDescent="0.3">
      <c r="A4905" s="31" t="s">
        <v>770</v>
      </c>
      <c r="B4905" t="s">
        <v>191</v>
      </c>
      <c r="C4905" t="s">
        <v>120</v>
      </c>
      <c r="D4905" t="s">
        <v>192</v>
      </c>
      <c r="E4905" t="s">
        <v>100</v>
      </c>
      <c r="F4905" t="s">
        <v>181</v>
      </c>
      <c r="G4905" t="s">
        <v>0</v>
      </c>
      <c r="H4905" t="s">
        <v>193</v>
      </c>
      <c r="I4905" t="s">
        <v>194</v>
      </c>
      <c r="J4905" t="s">
        <v>195</v>
      </c>
      <c r="K4905" t="s">
        <v>196</v>
      </c>
      <c r="L4905" t="s">
        <v>197</v>
      </c>
      <c r="M4905" t="s">
        <v>198</v>
      </c>
      <c r="N4905" t="s">
        <v>199</v>
      </c>
      <c r="O4905" t="s">
        <v>165</v>
      </c>
    </row>
    <row r="4906" spans="1:15" customFormat="1" x14ac:dyDescent="0.3">
      <c r="A4906" s="31" t="s">
        <v>770</v>
      </c>
      <c r="B4906" t="s">
        <v>191</v>
      </c>
      <c r="C4906" t="s">
        <v>123</v>
      </c>
      <c r="D4906" t="s">
        <v>200</v>
      </c>
      <c r="E4906" t="s">
        <v>110</v>
      </c>
      <c r="F4906" t="s">
        <v>114</v>
      </c>
      <c r="G4906" t="s">
        <v>2</v>
      </c>
      <c r="H4906">
        <v>72</v>
      </c>
      <c r="I4906">
        <v>1</v>
      </c>
      <c r="J4906">
        <v>183.47499999999999</v>
      </c>
      <c r="K4906">
        <v>13210.2</v>
      </c>
      <c r="L4906">
        <v>233</v>
      </c>
      <c r="M4906">
        <v>16776</v>
      </c>
      <c r="N4906">
        <v>3565.8</v>
      </c>
    </row>
    <row r="4907" spans="1:15" customFormat="1" x14ac:dyDescent="0.3">
      <c r="A4907" s="31" t="s">
        <v>770</v>
      </c>
      <c r="B4907" t="s">
        <v>191</v>
      </c>
      <c r="C4907" t="s">
        <v>123</v>
      </c>
      <c r="D4907" t="s">
        <v>200</v>
      </c>
      <c r="E4907" t="s">
        <v>110</v>
      </c>
      <c r="F4907" t="s">
        <v>114</v>
      </c>
      <c r="G4907" t="s">
        <v>45</v>
      </c>
      <c r="H4907">
        <v>75</v>
      </c>
      <c r="I4907">
        <v>1</v>
      </c>
      <c r="J4907">
        <v>141.94</v>
      </c>
      <c r="K4907">
        <v>10645.5</v>
      </c>
      <c r="L4907">
        <v>164.08</v>
      </c>
      <c r="M4907">
        <v>12306</v>
      </c>
      <c r="N4907">
        <v>1660.5</v>
      </c>
    </row>
    <row r="4908" spans="1:15" customFormat="1" x14ac:dyDescent="0.3">
      <c r="A4908" s="31" t="s">
        <v>770</v>
      </c>
      <c r="B4908" t="s">
        <v>191</v>
      </c>
      <c r="C4908" t="s">
        <v>123</v>
      </c>
      <c r="D4908" t="s">
        <v>200</v>
      </c>
      <c r="E4908" t="s">
        <v>110</v>
      </c>
      <c r="F4908" t="s">
        <v>114</v>
      </c>
      <c r="G4908" t="s">
        <v>5</v>
      </c>
      <c r="H4908">
        <v>78</v>
      </c>
      <c r="I4908">
        <v>1</v>
      </c>
      <c r="J4908">
        <v>185.42</v>
      </c>
      <c r="K4908">
        <v>14462.76</v>
      </c>
      <c r="L4908">
        <v>186.33</v>
      </c>
      <c r="M4908">
        <v>14533.74</v>
      </c>
      <c r="N4908">
        <v>70.98</v>
      </c>
    </row>
    <row r="4909" spans="1:15" customFormat="1" x14ac:dyDescent="0.3">
      <c r="A4909" s="31" t="s">
        <v>770</v>
      </c>
      <c r="B4909" t="s">
        <v>191</v>
      </c>
      <c r="C4909" t="s">
        <v>123</v>
      </c>
      <c r="D4909" t="s">
        <v>200</v>
      </c>
      <c r="E4909" t="s">
        <v>110</v>
      </c>
      <c r="F4909" t="s">
        <v>114</v>
      </c>
      <c r="G4909" t="s">
        <v>65</v>
      </c>
      <c r="H4909">
        <v>70</v>
      </c>
      <c r="I4909">
        <v>1</v>
      </c>
      <c r="J4909">
        <v>65.165000000000006</v>
      </c>
      <c r="K4909">
        <v>4561.55</v>
      </c>
      <c r="L4909">
        <v>65.16</v>
      </c>
      <c r="M4909">
        <v>4561.2</v>
      </c>
      <c r="N4909">
        <v>-0.35</v>
      </c>
    </row>
    <row r="4910" spans="1:15" customFormat="1" x14ac:dyDescent="0.3">
      <c r="A4910" s="31" t="s">
        <v>770</v>
      </c>
      <c r="B4910" t="s">
        <v>191</v>
      </c>
      <c r="C4910" t="s">
        <v>123</v>
      </c>
      <c r="D4910" t="s">
        <v>200</v>
      </c>
      <c r="E4910" t="s">
        <v>110</v>
      </c>
      <c r="F4910" t="s">
        <v>114</v>
      </c>
      <c r="G4910" t="s">
        <v>58</v>
      </c>
      <c r="H4910">
        <v>70</v>
      </c>
      <c r="I4910">
        <v>1</v>
      </c>
      <c r="J4910">
        <v>118.94214285699999</v>
      </c>
      <c r="K4910">
        <v>8325.9500000000007</v>
      </c>
      <c r="L4910">
        <v>143.01</v>
      </c>
      <c r="M4910">
        <v>10010.700000000001</v>
      </c>
      <c r="N4910">
        <v>1684.75</v>
      </c>
    </row>
    <row r="4911" spans="1:15" customFormat="1" x14ac:dyDescent="0.3">
      <c r="A4911" s="31" t="s">
        <v>770</v>
      </c>
      <c r="B4911" t="s">
        <v>191</v>
      </c>
      <c r="C4911" t="s">
        <v>123</v>
      </c>
      <c r="D4911" t="s">
        <v>200</v>
      </c>
      <c r="E4911" t="s">
        <v>110</v>
      </c>
      <c r="F4911" t="s">
        <v>114</v>
      </c>
      <c r="G4911" t="s">
        <v>7</v>
      </c>
      <c r="H4911">
        <v>35</v>
      </c>
      <c r="I4911">
        <v>1</v>
      </c>
      <c r="J4911">
        <v>173.46514285699999</v>
      </c>
      <c r="K4911">
        <v>6071.28</v>
      </c>
      <c r="L4911">
        <v>172.5</v>
      </c>
      <c r="M4911">
        <v>6037.5</v>
      </c>
      <c r="N4911">
        <v>-33.78</v>
      </c>
    </row>
    <row r="4912" spans="1:15" customFormat="1" x14ac:dyDescent="0.3">
      <c r="A4912" s="31" t="s">
        <v>770</v>
      </c>
      <c r="B4912" t="s">
        <v>191</v>
      </c>
      <c r="C4912" t="s">
        <v>123</v>
      </c>
      <c r="D4912" t="s">
        <v>200</v>
      </c>
      <c r="E4912" t="s">
        <v>110</v>
      </c>
      <c r="F4912" t="s">
        <v>114</v>
      </c>
      <c r="G4912" t="s">
        <v>8</v>
      </c>
      <c r="H4912">
        <v>100</v>
      </c>
      <c r="I4912">
        <v>1</v>
      </c>
      <c r="J4912">
        <v>38.704999999999998</v>
      </c>
      <c r="K4912">
        <v>3870.5</v>
      </c>
      <c r="L4912">
        <v>39.68</v>
      </c>
      <c r="M4912">
        <v>3968</v>
      </c>
      <c r="N4912">
        <v>97.5</v>
      </c>
    </row>
    <row r="4913" spans="1:14" customFormat="1" x14ac:dyDescent="0.3">
      <c r="A4913" s="31" t="s">
        <v>770</v>
      </c>
      <c r="B4913" t="s">
        <v>191</v>
      </c>
      <c r="C4913" t="s">
        <v>123</v>
      </c>
      <c r="D4913" t="s">
        <v>200</v>
      </c>
      <c r="E4913" t="s">
        <v>110</v>
      </c>
      <c r="F4913" t="s">
        <v>114</v>
      </c>
      <c r="G4913" t="s">
        <v>9</v>
      </c>
      <c r="H4913">
        <v>2</v>
      </c>
      <c r="I4913">
        <v>1</v>
      </c>
      <c r="J4913">
        <v>3781.84</v>
      </c>
      <c r="K4913">
        <v>7563.68</v>
      </c>
      <c r="L4913">
        <v>4212.12</v>
      </c>
      <c r="M4913">
        <v>8424.24</v>
      </c>
      <c r="N4913">
        <v>860.56</v>
      </c>
    </row>
    <row r="4914" spans="1:14" customFormat="1" x14ac:dyDescent="0.3">
      <c r="A4914" s="31" t="s">
        <v>770</v>
      </c>
      <c r="B4914" t="s">
        <v>191</v>
      </c>
      <c r="C4914" t="s">
        <v>123</v>
      </c>
      <c r="D4914" t="s">
        <v>200</v>
      </c>
      <c r="E4914" t="s">
        <v>110</v>
      </c>
      <c r="F4914" t="s">
        <v>114</v>
      </c>
      <c r="G4914" t="s">
        <v>3</v>
      </c>
      <c r="H4914">
        <v>140</v>
      </c>
      <c r="I4914">
        <v>1</v>
      </c>
      <c r="J4914">
        <v>62.647831328999999</v>
      </c>
      <c r="K4914">
        <v>8770.6963859999996</v>
      </c>
      <c r="L4914">
        <v>62.6</v>
      </c>
      <c r="M4914">
        <v>8764</v>
      </c>
      <c r="N4914">
        <v>-6.6963860000000004</v>
      </c>
    </row>
    <row r="4915" spans="1:14" customFormat="1" x14ac:dyDescent="0.3">
      <c r="A4915" s="31" t="s">
        <v>770</v>
      </c>
      <c r="B4915" t="s">
        <v>191</v>
      </c>
      <c r="C4915" t="s">
        <v>123</v>
      </c>
      <c r="D4915" t="s">
        <v>200</v>
      </c>
      <c r="E4915" t="s">
        <v>110</v>
      </c>
      <c r="F4915" t="s">
        <v>114</v>
      </c>
      <c r="G4915" t="s">
        <v>11</v>
      </c>
      <c r="H4915">
        <v>5</v>
      </c>
      <c r="I4915">
        <v>1</v>
      </c>
      <c r="J4915">
        <v>841.56</v>
      </c>
      <c r="K4915">
        <v>4207.8</v>
      </c>
      <c r="L4915">
        <v>886.52</v>
      </c>
      <c r="M4915">
        <v>4432.6000000000004</v>
      </c>
      <c r="N4915">
        <v>224.8</v>
      </c>
    </row>
    <row r="4916" spans="1:14" customFormat="1" x14ac:dyDescent="0.3">
      <c r="A4916" s="31" t="s">
        <v>770</v>
      </c>
      <c r="B4916" t="s">
        <v>191</v>
      </c>
      <c r="C4916" t="s">
        <v>123</v>
      </c>
      <c r="D4916" t="s">
        <v>200</v>
      </c>
      <c r="E4916" t="s">
        <v>110</v>
      </c>
      <c r="F4916" t="s">
        <v>114</v>
      </c>
      <c r="G4916" t="s">
        <v>1155</v>
      </c>
      <c r="H4916">
        <v>40</v>
      </c>
      <c r="I4916">
        <v>1</v>
      </c>
      <c r="J4916">
        <v>119.69</v>
      </c>
      <c r="K4916">
        <v>4787.6000000000004</v>
      </c>
      <c r="L4916">
        <v>118.54</v>
      </c>
      <c r="M4916">
        <v>4741.6000000000004</v>
      </c>
      <c r="N4916">
        <v>-46</v>
      </c>
    </row>
    <row r="4917" spans="1:14" customFormat="1" x14ac:dyDescent="0.3">
      <c r="A4917" s="31" t="s">
        <v>770</v>
      </c>
      <c r="B4917" t="s">
        <v>191</v>
      </c>
      <c r="C4917" t="s">
        <v>123</v>
      </c>
      <c r="D4917" t="s">
        <v>200</v>
      </c>
      <c r="E4917" t="s">
        <v>110</v>
      </c>
      <c r="F4917" t="s">
        <v>114</v>
      </c>
      <c r="G4917" t="s">
        <v>18</v>
      </c>
      <c r="H4917">
        <v>30</v>
      </c>
      <c r="I4917">
        <v>1</v>
      </c>
      <c r="J4917">
        <v>275.63499999999999</v>
      </c>
      <c r="K4917">
        <v>8269.0499999999993</v>
      </c>
      <c r="L4917">
        <v>302.2</v>
      </c>
      <c r="M4917">
        <v>9066</v>
      </c>
      <c r="N4917">
        <v>796.95</v>
      </c>
    </row>
    <row r="4918" spans="1:14" customFormat="1" x14ac:dyDescent="0.3">
      <c r="A4918" s="31" t="s">
        <v>770</v>
      </c>
      <c r="B4918" t="s">
        <v>191</v>
      </c>
      <c r="C4918" t="s">
        <v>123</v>
      </c>
      <c r="D4918" t="s">
        <v>200</v>
      </c>
      <c r="E4918" t="s">
        <v>110</v>
      </c>
      <c r="F4918" t="s">
        <v>114</v>
      </c>
      <c r="G4918" t="s">
        <v>48</v>
      </c>
      <c r="H4918">
        <v>65</v>
      </c>
      <c r="I4918">
        <v>1</v>
      </c>
      <c r="J4918">
        <v>162.353846154</v>
      </c>
      <c r="K4918">
        <v>10553</v>
      </c>
      <c r="L4918">
        <v>188.58</v>
      </c>
      <c r="M4918">
        <v>12257.7</v>
      </c>
      <c r="N4918">
        <v>1704.7</v>
      </c>
    </row>
    <row r="4919" spans="1:14" customFormat="1" x14ac:dyDescent="0.3">
      <c r="A4919" s="31" t="s">
        <v>770</v>
      </c>
      <c r="B4919" t="s">
        <v>191</v>
      </c>
      <c r="C4919" t="s">
        <v>123</v>
      </c>
      <c r="D4919" t="s">
        <v>200</v>
      </c>
      <c r="E4919" t="s">
        <v>110</v>
      </c>
      <c r="F4919" t="s">
        <v>114</v>
      </c>
      <c r="G4919" t="s">
        <v>54</v>
      </c>
      <c r="H4919">
        <v>30</v>
      </c>
      <c r="I4919">
        <v>1</v>
      </c>
      <c r="J4919">
        <v>165.1</v>
      </c>
      <c r="K4919">
        <v>4953</v>
      </c>
      <c r="L4919">
        <v>254.98</v>
      </c>
      <c r="M4919">
        <v>7649.4</v>
      </c>
      <c r="N4919">
        <v>2696.4</v>
      </c>
    </row>
    <row r="4920" spans="1:14" customFormat="1" x14ac:dyDescent="0.3">
      <c r="A4920" s="31" t="s">
        <v>770</v>
      </c>
      <c r="B4920" t="s">
        <v>191</v>
      </c>
      <c r="C4920" t="s">
        <v>123</v>
      </c>
      <c r="D4920" t="s">
        <v>200</v>
      </c>
      <c r="E4920" t="s">
        <v>110</v>
      </c>
      <c r="F4920" t="s">
        <v>114</v>
      </c>
      <c r="G4920" t="s">
        <v>19</v>
      </c>
      <c r="H4920">
        <v>100</v>
      </c>
      <c r="I4920">
        <v>1</v>
      </c>
      <c r="J4920">
        <v>173.97462856999999</v>
      </c>
      <c r="K4920">
        <v>17397.462856999999</v>
      </c>
      <c r="L4920">
        <v>165.85</v>
      </c>
      <c r="M4920">
        <v>16585</v>
      </c>
      <c r="N4920">
        <v>-812.46285699999999</v>
      </c>
    </row>
    <row r="4921" spans="1:14" customFormat="1" x14ac:dyDescent="0.3">
      <c r="A4921" s="31" t="s">
        <v>770</v>
      </c>
      <c r="B4921" t="s">
        <v>191</v>
      </c>
      <c r="C4921" t="s">
        <v>123</v>
      </c>
      <c r="D4921" t="s">
        <v>200</v>
      </c>
      <c r="E4921" t="s">
        <v>110</v>
      </c>
      <c r="F4921" t="s">
        <v>114</v>
      </c>
      <c r="G4921" t="s">
        <v>22</v>
      </c>
      <c r="H4921">
        <v>43</v>
      </c>
      <c r="I4921">
        <v>1</v>
      </c>
      <c r="J4921">
        <v>60.662999999999997</v>
      </c>
      <c r="K4921">
        <v>2608.509</v>
      </c>
      <c r="L4921">
        <v>100.25</v>
      </c>
      <c r="M4921">
        <v>4310.75</v>
      </c>
      <c r="N4921">
        <v>1702.241</v>
      </c>
    </row>
    <row r="4922" spans="1:14" customFormat="1" x14ac:dyDescent="0.3">
      <c r="A4922" s="31" t="s">
        <v>770</v>
      </c>
      <c r="B4922" t="s">
        <v>191</v>
      </c>
      <c r="C4922" t="s">
        <v>123</v>
      </c>
      <c r="D4922" t="s">
        <v>200</v>
      </c>
      <c r="E4922" t="s">
        <v>110</v>
      </c>
      <c r="F4922" t="s">
        <v>114</v>
      </c>
      <c r="G4922" t="s">
        <v>24</v>
      </c>
      <c r="H4922">
        <v>50</v>
      </c>
      <c r="I4922">
        <v>1</v>
      </c>
      <c r="J4922">
        <v>80.665750000000003</v>
      </c>
      <c r="K4922">
        <v>4033.2874999999999</v>
      </c>
      <c r="L4922">
        <v>98.16</v>
      </c>
      <c r="M4922">
        <v>4908</v>
      </c>
      <c r="N4922">
        <v>874.71249999999998</v>
      </c>
    </row>
    <row r="4923" spans="1:14" customFormat="1" x14ac:dyDescent="0.3">
      <c r="A4923" s="31" t="s">
        <v>770</v>
      </c>
      <c r="B4923" t="s">
        <v>191</v>
      </c>
      <c r="C4923" t="s">
        <v>123</v>
      </c>
      <c r="D4923" t="s">
        <v>200</v>
      </c>
      <c r="E4923" t="s">
        <v>110</v>
      </c>
      <c r="F4923" t="s">
        <v>114</v>
      </c>
      <c r="G4923" t="s">
        <v>70</v>
      </c>
      <c r="H4923">
        <v>30</v>
      </c>
      <c r="I4923">
        <v>1</v>
      </c>
      <c r="J4923">
        <v>206.08500000000001</v>
      </c>
      <c r="K4923">
        <v>6182.55</v>
      </c>
      <c r="L4923">
        <v>210.86</v>
      </c>
      <c r="M4923">
        <v>6325.8</v>
      </c>
      <c r="N4923">
        <v>143.25</v>
      </c>
    </row>
    <row r="4924" spans="1:14" customFormat="1" x14ac:dyDescent="0.3">
      <c r="A4924" s="31" t="s">
        <v>770</v>
      </c>
      <c r="B4924" t="s">
        <v>191</v>
      </c>
      <c r="C4924" t="s">
        <v>123</v>
      </c>
      <c r="D4924" t="s">
        <v>200</v>
      </c>
      <c r="E4924" t="s">
        <v>110</v>
      </c>
      <c r="F4924" t="s">
        <v>114</v>
      </c>
      <c r="G4924" t="s">
        <v>49</v>
      </c>
      <c r="H4924">
        <v>10</v>
      </c>
      <c r="I4924">
        <v>1</v>
      </c>
      <c r="J4924">
        <v>760.73800000000006</v>
      </c>
      <c r="K4924">
        <v>7607.38</v>
      </c>
      <c r="L4924">
        <v>885.94</v>
      </c>
      <c r="M4924">
        <v>8859.4</v>
      </c>
      <c r="N4924">
        <v>1252.02</v>
      </c>
    </row>
    <row r="4925" spans="1:14" customFormat="1" x14ac:dyDescent="0.3">
      <c r="A4925" s="31" t="s">
        <v>770</v>
      </c>
      <c r="B4925" t="s">
        <v>191</v>
      </c>
      <c r="C4925" t="s">
        <v>123</v>
      </c>
      <c r="D4925" t="s">
        <v>200</v>
      </c>
      <c r="E4925" t="s">
        <v>110</v>
      </c>
      <c r="F4925" t="s">
        <v>114</v>
      </c>
      <c r="G4925" t="s">
        <v>26</v>
      </c>
      <c r="H4925">
        <v>5</v>
      </c>
      <c r="I4925">
        <v>1</v>
      </c>
      <c r="J4925">
        <v>441.55</v>
      </c>
      <c r="K4925">
        <v>2207.75</v>
      </c>
      <c r="L4925">
        <v>474.59</v>
      </c>
      <c r="M4925">
        <v>2372.9499999999998</v>
      </c>
      <c r="N4925">
        <v>165.2</v>
      </c>
    </row>
    <row r="4926" spans="1:14" customFormat="1" x14ac:dyDescent="0.3">
      <c r="A4926" s="31" t="s">
        <v>770</v>
      </c>
      <c r="B4926" t="s">
        <v>191</v>
      </c>
      <c r="C4926" t="s">
        <v>123</v>
      </c>
      <c r="D4926" t="s">
        <v>200</v>
      </c>
      <c r="E4926" t="s">
        <v>110</v>
      </c>
      <c r="F4926" t="s">
        <v>114</v>
      </c>
      <c r="G4926" t="s">
        <v>27</v>
      </c>
      <c r="H4926">
        <v>15</v>
      </c>
      <c r="I4926">
        <v>1</v>
      </c>
      <c r="J4926">
        <v>489.54333333300002</v>
      </c>
      <c r="K4926">
        <v>7343.15</v>
      </c>
      <c r="L4926">
        <v>572.44000000000005</v>
      </c>
      <c r="M4926">
        <v>8586.6</v>
      </c>
      <c r="N4926">
        <v>1243.45</v>
      </c>
    </row>
    <row r="4927" spans="1:14" customFormat="1" x14ac:dyDescent="0.3">
      <c r="A4927" s="31" t="s">
        <v>770</v>
      </c>
      <c r="B4927" t="s">
        <v>191</v>
      </c>
      <c r="C4927" t="s">
        <v>123</v>
      </c>
      <c r="D4927" t="s">
        <v>200</v>
      </c>
      <c r="E4927" t="s">
        <v>110</v>
      </c>
      <c r="F4927" t="s">
        <v>114</v>
      </c>
      <c r="G4927" t="s">
        <v>28</v>
      </c>
      <c r="H4927">
        <v>61</v>
      </c>
      <c r="I4927">
        <v>1</v>
      </c>
      <c r="J4927">
        <v>393.18200067200002</v>
      </c>
      <c r="K4927">
        <v>23984.102040999998</v>
      </c>
      <c r="L4927">
        <v>430.3</v>
      </c>
      <c r="M4927">
        <v>26248.3</v>
      </c>
      <c r="N4927">
        <v>2264.1979590000001</v>
      </c>
    </row>
    <row r="4928" spans="1:14" customFormat="1" x14ac:dyDescent="0.3">
      <c r="A4928" s="31" t="s">
        <v>770</v>
      </c>
      <c r="B4928" t="s">
        <v>191</v>
      </c>
      <c r="C4928" t="s">
        <v>123</v>
      </c>
      <c r="D4928" t="s">
        <v>200</v>
      </c>
      <c r="E4928" t="s">
        <v>110</v>
      </c>
      <c r="F4928" t="s">
        <v>114</v>
      </c>
      <c r="G4928" t="s">
        <v>29</v>
      </c>
      <c r="H4928">
        <v>15</v>
      </c>
      <c r="I4928">
        <v>1</v>
      </c>
      <c r="J4928">
        <v>297.58</v>
      </c>
      <c r="K4928">
        <v>4463.7</v>
      </c>
      <c r="L4928">
        <v>341.8</v>
      </c>
      <c r="M4928">
        <v>5127</v>
      </c>
      <c r="N4928">
        <v>663.3</v>
      </c>
    </row>
    <row r="4929" spans="1:15" customFormat="1" x14ac:dyDescent="0.3">
      <c r="A4929" s="31" t="s">
        <v>770</v>
      </c>
      <c r="B4929" t="s">
        <v>191</v>
      </c>
      <c r="C4929" t="s">
        <v>123</v>
      </c>
      <c r="D4929" t="s">
        <v>200</v>
      </c>
      <c r="E4929" t="s">
        <v>110</v>
      </c>
      <c r="F4929" t="s">
        <v>114</v>
      </c>
      <c r="G4929" t="s">
        <v>39</v>
      </c>
      <c r="H4929">
        <v>50</v>
      </c>
      <c r="I4929">
        <v>1</v>
      </c>
      <c r="J4929">
        <v>194.65</v>
      </c>
      <c r="K4929">
        <v>9732.5</v>
      </c>
      <c r="L4929">
        <v>170.05</v>
      </c>
      <c r="M4929">
        <v>8502.5</v>
      </c>
      <c r="N4929">
        <v>-1230</v>
      </c>
    </row>
    <row r="4930" spans="1:15" customFormat="1" x14ac:dyDescent="0.3">
      <c r="A4930" s="31" t="s">
        <v>770</v>
      </c>
      <c r="B4930" t="s">
        <v>191</v>
      </c>
      <c r="C4930" t="s">
        <v>123</v>
      </c>
      <c r="D4930" t="s">
        <v>200</v>
      </c>
      <c r="E4930" t="s">
        <v>110</v>
      </c>
      <c r="F4930" t="s">
        <v>114</v>
      </c>
      <c r="G4930" t="s">
        <v>82</v>
      </c>
      <c r="H4930">
        <v>130</v>
      </c>
      <c r="I4930">
        <v>1</v>
      </c>
      <c r="J4930">
        <v>474.41538461499999</v>
      </c>
      <c r="K4930">
        <v>61674</v>
      </c>
      <c r="L4930">
        <v>488.07</v>
      </c>
      <c r="M4930">
        <v>63449.1</v>
      </c>
      <c r="N4930">
        <v>1775.1</v>
      </c>
      <c r="O4930" t="s">
        <v>555</v>
      </c>
    </row>
    <row r="4931" spans="1:15" customFormat="1" x14ac:dyDescent="0.3">
      <c r="A4931" s="31" t="s">
        <v>770</v>
      </c>
      <c r="B4931" t="s">
        <v>191</v>
      </c>
      <c r="C4931" t="s">
        <v>123</v>
      </c>
      <c r="D4931" t="s">
        <v>200</v>
      </c>
      <c r="E4931" t="s">
        <v>110</v>
      </c>
      <c r="F4931" t="s">
        <v>114</v>
      </c>
      <c r="G4931" t="s">
        <v>83</v>
      </c>
      <c r="H4931">
        <v>80</v>
      </c>
      <c r="I4931">
        <v>1</v>
      </c>
      <c r="J4931">
        <v>244.02</v>
      </c>
      <c r="K4931">
        <v>19521.599999999999</v>
      </c>
      <c r="L4931">
        <v>230.59</v>
      </c>
      <c r="M4931">
        <v>18447.2</v>
      </c>
      <c r="N4931">
        <v>-1074.4000000000001</v>
      </c>
    </row>
    <row r="4932" spans="1:15" customFormat="1" x14ac:dyDescent="0.3">
      <c r="A4932" s="31" t="s">
        <v>770</v>
      </c>
      <c r="B4932" t="s">
        <v>191</v>
      </c>
      <c r="C4932" t="s">
        <v>123</v>
      </c>
      <c r="D4932" t="s">
        <v>200</v>
      </c>
      <c r="E4932" t="s">
        <v>110</v>
      </c>
      <c r="F4932" t="s">
        <v>114</v>
      </c>
      <c r="G4932" t="s">
        <v>86</v>
      </c>
      <c r="H4932">
        <v>40</v>
      </c>
      <c r="I4932">
        <v>1</v>
      </c>
      <c r="J4932">
        <v>550.38</v>
      </c>
      <c r="K4932">
        <v>22015.200000000001</v>
      </c>
      <c r="L4932">
        <v>573.76</v>
      </c>
      <c r="M4932">
        <v>22950.400000000001</v>
      </c>
      <c r="N4932">
        <v>935.2</v>
      </c>
    </row>
    <row r="4933" spans="1:15" customFormat="1" x14ac:dyDescent="0.3">
      <c r="A4933" s="31" t="s">
        <v>770</v>
      </c>
      <c r="B4933" t="s">
        <v>191</v>
      </c>
      <c r="C4933" t="s">
        <v>123</v>
      </c>
      <c r="D4933" t="s">
        <v>200</v>
      </c>
      <c r="E4933" t="s">
        <v>110</v>
      </c>
      <c r="F4933" t="s">
        <v>114</v>
      </c>
      <c r="G4933" t="s">
        <v>77</v>
      </c>
      <c r="H4933">
        <v>20</v>
      </c>
      <c r="I4933">
        <v>1</v>
      </c>
      <c r="J4933">
        <v>233.3</v>
      </c>
      <c r="K4933">
        <v>4666</v>
      </c>
      <c r="L4933">
        <v>261.63</v>
      </c>
      <c r="M4933">
        <v>5232.6000000000004</v>
      </c>
      <c r="N4933">
        <v>566.6</v>
      </c>
    </row>
    <row r="4934" spans="1:15" customFormat="1" x14ac:dyDescent="0.3">
      <c r="A4934" s="31" t="s">
        <v>770</v>
      </c>
      <c r="B4934" t="s">
        <v>191</v>
      </c>
      <c r="C4934" t="s">
        <v>123</v>
      </c>
      <c r="D4934" t="s">
        <v>200</v>
      </c>
      <c r="E4934" t="s">
        <v>110</v>
      </c>
      <c r="F4934" t="s">
        <v>114</v>
      </c>
      <c r="G4934" t="s">
        <v>87</v>
      </c>
      <c r="H4934">
        <v>15</v>
      </c>
      <c r="I4934">
        <v>1</v>
      </c>
      <c r="J4934">
        <v>314.43</v>
      </c>
      <c r="K4934">
        <v>4716.45</v>
      </c>
      <c r="L4934">
        <v>388.73</v>
      </c>
      <c r="M4934">
        <v>5830.95</v>
      </c>
      <c r="N4934">
        <v>1114.5</v>
      </c>
    </row>
    <row r="4935" spans="1:15" customFormat="1" x14ac:dyDescent="0.3">
      <c r="A4935" s="31" t="s">
        <v>770</v>
      </c>
      <c r="B4935" t="s">
        <v>191</v>
      </c>
      <c r="C4935" t="s">
        <v>123</v>
      </c>
      <c r="D4935" t="s">
        <v>200</v>
      </c>
      <c r="E4935" t="s">
        <v>110</v>
      </c>
      <c r="F4935" t="s">
        <v>114</v>
      </c>
      <c r="G4935" t="s">
        <v>78</v>
      </c>
      <c r="H4935">
        <v>30</v>
      </c>
      <c r="I4935">
        <v>1</v>
      </c>
      <c r="J4935">
        <v>197.53</v>
      </c>
      <c r="K4935">
        <v>5925.9</v>
      </c>
      <c r="L4935">
        <v>206.57</v>
      </c>
      <c r="M4935">
        <v>6197.1</v>
      </c>
      <c r="N4935">
        <v>271.2</v>
      </c>
    </row>
    <row r="4936" spans="1:15" customFormat="1" x14ac:dyDescent="0.3">
      <c r="A4936" s="31" t="s">
        <v>770</v>
      </c>
      <c r="B4936" t="s">
        <v>191</v>
      </c>
      <c r="C4936" t="s">
        <v>123</v>
      </c>
      <c r="D4936" t="s">
        <v>200</v>
      </c>
      <c r="E4936" t="s">
        <v>110</v>
      </c>
      <c r="F4936" t="s">
        <v>114</v>
      </c>
      <c r="G4936" t="s">
        <v>32</v>
      </c>
      <c r="H4936">
        <v>70</v>
      </c>
      <c r="I4936">
        <v>1</v>
      </c>
      <c r="J4936">
        <v>66.2</v>
      </c>
      <c r="K4936">
        <v>4634</v>
      </c>
      <c r="L4936">
        <v>75.16</v>
      </c>
      <c r="M4936">
        <v>5261.2</v>
      </c>
      <c r="N4936">
        <v>627.20000000000005</v>
      </c>
    </row>
    <row r="4937" spans="1:15" customFormat="1" x14ac:dyDescent="0.3">
      <c r="A4937" s="31" t="s">
        <v>770</v>
      </c>
      <c r="B4937" t="s">
        <v>191</v>
      </c>
      <c r="C4937" t="s">
        <v>123</v>
      </c>
      <c r="D4937" t="s">
        <v>200</v>
      </c>
      <c r="E4937" t="s">
        <v>110</v>
      </c>
      <c r="F4937" t="s">
        <v>114</v>
      </c>
      <c r="G4937" t="s">
        <v>1156</v>
      </c>
      <c r="H4937">
        <v>70</v>
      </c>
      <c r="I4937">
        <v>1</v>
      </c>
      <c r="J4937">
        <v>90.254999999999995</v>
      </c>
      <c r="K4937">
        <v>6317.85</v>
      </c>
      <c r="L4937">
        <v>96.38</v>
      </c>
      <c r="M4937">
        <v>6746.6</v>
      </c>
      <c r="N4937">
        <v>428.75</v>
      </c>
    </row>
    <row r="4938" spans="1:15" customFormat="1" x14ac:dyDescent="0.3">
      <c r="A4938" s="31" t="s">
        <v>770</v>
      </c>
      <c r="B4938" t="s">
        <v>191</v>
      </c>
      <c r="C4938" t="s">
        <v>123</v>
      </c>
      <c r="D4938" t="s">
        <v>200</v>
      </c>
      <c r="E4938" t="s">
        <v>110</v>
      </c>
      <c r="F4938" t="s">
        <v>114</v>
      </c>
      <c r="G4938" t="s">
        <v>62</v>
      </c>
      <c r="H4938">
        <v>200</v>
      </c>
      <c r="I4938">
        <v>1</v>
      </c>
      <c r="J4938">
        <v>41.474350000000001</v>
      </c>
      <c r="K4938">
        <v>8294.8700000000008</v>
      </c>
      <c r="L4938">
        <v>45.32</v>
      </c>
      <c r="M4938">
        <v>9064</v>
      </c>
      <c r="N4938">
        <v>769.13</v>
      </c>
    </row>
    <row r="4939" spans="1:15" customFormat="1" x14ac:dyDescent="0.3">
      <c r="A4939" s="31" t="s">
        <v>770</v>
      </c>
      <c r="B4939" t="s">
        <v>191</v>
      </c>
      <c r="C4939" t="s">
        <v>123</v>
      </c>
      <c r="D4939" t="s">
        <v>200</v>
      </c>
      <c r="E4939" t="s">
        <v>110</v>
      </c>
      <c r="F4939" t="s">
        <v>114</v>
      </c>
      <c r="G4939" t="s">
        <v>41</v>
      </c>
      <c r="H4939">
        <v>1099</v>
      </c>
      <c r="I4939">
        <v>1</v>
      </c>
      <c r="J4939">
        <v>42.154590536999997</v>
      </c>
      <c r="K4939">
        <v>46327.894999999997</v>
      </c>
      <c r="L4939">
        <v>47.53</v>
      </c>
      <c r="M4939">
        <v>52235.47</v>
      </c>
      <c r="N4939">
        <v>5907.5749999999998</v>
      </c>
      <c r="O4939" t="s">
        <v>555</v>
      </c>
    </row>
    <row r="4940" spans="1:15" customFormat="1" x14ac:dyDescent="0.3">
      <c r="A4940" s="31" t="s">
        <v>770</v>
      </c>
      <c r="B4940" t="s">
        <v>191</v>
      </c>
      <c r="C4940" t="s">
        <v>123</v>
      </c>
      <c r="D4940" t="s">
        <v>200</v>
      </c>
      <c r="E4940" t="s">
        <v>110</v>
      </c>
      <c r="F4940" t="s">
        <v>114</v>
      </c>
      <c r="G4940" t="s">
        <v>79</v>
      </c>
      <c r="H4940">
        <v>80</v>
      </c>
      <c r="I4940">
        <v>1</v>
      </c>
      <c r="J4940">
        <v>121.06</v>
      </c>
      <c r="K4940">
        <v>9684.7999999999993</v>
      </c>
      <c r="L4940">
        <v>135.44</v>
      </c>
      <c r="M4940">
        <v>10835.2</v>
      </c>
      <c r="N4940">
        <v>1150.4000000000001</v>
      </c>
    </row>
    <row r="4941" spans="1:15" customFormat="1" x14ac:dyDescent="0.3">
      <c r="A4941" s="31" t="s">
        <v>770</v>
      </c>
      <c r="B4941" t="s">
        <v>191</v>
      </c>
      <c r="C4941" t="s">
        <v>123</v>
      </c>
      <c r="D4941" t="s">
        <v>200</v>
      </c>
      <c r="E4941" t="s">
        <v>110</v>
      </c>
      <c r="F4941" t="s">
        <v>114</v>
      </c>
      <c r="G4941" t="s">
        <v>42</v>
      </c>
      <c r="H4941">
        <v>150</v>
      </c>
      <c r="I4941">
        <v>1</v>
      </c>
      <c r="J4941">
        <v>199.912666667</v>
      </c>
      <c r="K4941">
        <v>29986.9</v>
      </c>
      <c r="L4941">
        <v>225.76</v>
      </c>
      <c r="M4941">
        <v>33864</v>
      </c>
      <c r="N4941">
        <v>3877.1</v>
      </c>
    </row>
    <row r="4942" spans="1:15" customFormat="1" x14ac:dyDescent="0.3">
      <c r="A4942" s="31" t="s">
        <v>770</v>
      </c>
      <c r="B4942" t="s">
        <v>191</v>
      </c>
      <c r="C4942" t="s">
        <v>123</v>
      </c>
      <c r="D4942" t="s">
        <v>200</v>
      </c>
      <c r="E4942" t="s">
        <v>110</v>
      </c>
      <c r="F4942" t="s">
        <v>114</v>
      </c>
      <c r="G4942" t="s">
        <v>43</v>
      </c>
      <c r="H4942">
        <v>330</v>
      </c>
      <c r="I4942">
        <v>1</v>
      </c>
      <c r="J4942">
        <v>68.841818181999997</v>
      </c>
      <c r="K4942">
        <v>22717.8</v>
      </c>
      <c r="L4942">
        <v>80.78</v>
      </c>
      <c r="M4942">
        <v>26657.4</v>
      </c>
      <c r="N4942">
        <v>3939.6</v>
      </c>
    </row>
    <row r="4943" spans="1:15" customFormat="1" x14ac:dyDescent="0.3">
      <c r="A4943" s="31" t="s">
        <v>770</v>
      </c>
      <c r="B4943" t="s">
        <v>191</v>
      </c>
      <c r="C4943" t="s">
        <v>123</v>
      </c>
      <c r="D4943" t="s">
        <v>200</v>
      </c>
      <c r="E4943" t="s">
        <v>110</v>
      </c>
      <c r="F4943" t="s">
        <v>114</v>
      </c>
      <c r="G4943" t="s">
        <v>44</v>
      </c>
      <c r="H4943">
        <v>60</v>
      </c>
      <c r="I4943">
        <v>1</v>
      </c>
      <c r="J4943">
        <v>143.160833333</v>
      </c>
      <c r="K4943">
        <v>8589.65</v>
      </c>
      <c r="L4943">
        <v>154.02000000000001</v>
      </c>
      <c r="M4943">
        <v>9241.2000000000007</v>
      </c>
      <c r="N4943">
        <v>651.54999999999995</v>
      </c>
    </row>
    <row r="4944" spans="1:15" customFormat="1" x14ac:dyDescent="0.3">
      <c r="A4944" s="31" t="s">
        <v>770</v>
      </c>
      <c r="B4944" t="s">
        <v>191</v>
      </c>
      <c r="C4944" t="s">
        <v>123</v>
      </c>
      <c r="D4944" t="s">
        <v>200</v>
      </c>
      <c r="E4944" t="s">
        <v>110</v>
      </c>
      <c r="F4944" t="s">
        <v>114</v>
      </c>
      <c r="G4944" t="s">
        <v>84</v>
      </c>
      <c r="H4944">
        <v>50</v>
      </c>
      <c r="I4944">
        <v>1</v>
      </c>
      <c r="J4944">
        <v>185.51</v>
      </c>
      <c r="K4944">
        <v>9275.5</v>
      </c>
      <c r="L4944">
        <v>200.37</v>
      </c>
      <c r="M4944">
        <v>10018.5</v>
      </c>
      <c r="N4944">
        <v>743</v>
      </c>
    </row>
    <row r="4945" spans="1:17" customFormat="1" x14ac:dyDescent="0.3">
      <c r="A4945" s="31" t="s">
        <v>770</v>
      </c>
      <c r="B4945" t="s">
        <v>191</v>
      </c>
      <c r="C4945" t="s">
        <v>97</v>
      </c>
      <c r="E4945" t="s">
        <v>110</v>
      </c>
      <c r="F4945" t="s">
        <v>114</v>
      </c>
      <c r="K4945">
        <v>460161.37278400001</v>
      </c>
      <c r="M4945">
        <v>501385.9</v>
      </c>
      <c r="N4945">
        <v>41224.527216000002</v>
      </c>
    </row>
    <row r="4946" spans="1:17" customFormat="1" x14ac:dyDescent="0.3">
      <c r="A4946" s="31" t="s">
        <v>770</v>
      </c>
      <c r="B4946" t="s">
        <v>191</v>
      </c>
      <c r="C4946" t="s">
        <v>120</v>
      </c>
      <c r="D4946" t="s">
        <v>192</v>
      </c>
      <c r="E4946" t="s">
        <v>100</v>
      </c>
      <c r="F4946" t="s">
        <v>181</v>
      </c>
      <c r="G4946" t="s">
        <v>0</v>
      </c>
      <c r="H4946" t="s">
        <v>193</v>
      </c>
      <c r="I4946" t="s">
        <v>194</v>
      </c>
      <c r="J4946" t="s">
        <v>195</v>
      </c>
      <c r="K4946" t="s">
        <v>196</v>
      </c>
      <c r="L4946" t="s">
        <v>197</v>
      </c>
      <c r="M4946" t="s">
        <v>198</v>
      </c>
      <c r="N4946" t="s">
        <v>199</v>
      </c>
      <c r="O4946" t="s">
        <v>165</v>
      </c>
    </row>
    <row r="4947" spans="1:17" customFormat="1" x14ac:dyDescent="0.3">
      <c r="A4947" s="31" t="s">
        <v>770</v>
      </c>
      <c r="B4947" t="s">
        <v>191</v>
      </c>
      <c r="C4947" t="s">
        <v>123</v>
      </c>
      <c r="D4947" t="s">
        <v>200</v>
      </c>
      <c r="E4947" t="s">
        <v>112</v>
      </c>
      <c r="F4947" t="s">
        <v>114</v>
      </c>
      <c r="G4947" t="s">
        <v>1157</v>
      </c>
      <c r="H4947">
        <v>-2</v>
      </c>
      <c r="I4947">
        <v>5</v>
      </c>
      <c r="J4947">
        <v>5775</v>
      </c>
      <c r="K4947">
        <v>-57750</v>
      </c>
      <c r="L4947">
        <v>5814.25</v>
      </c>
      <c r="M4947">
        <v>-58142.5</v>
      </c>
      <c r="N4947">
        <v>-392.5</v>
      </c>
    </row>
    <row r="4948" spans="1:17" customFormat="1" x14ac:dyDescent="0.3">
      <c r="A4948" s="31" t="s">
        <v>770</v>
      </c>
      <c r="B4948" t="s">
        <v>191</v>
      </c>
      <c r="C4948" t="s">
        <v>123</v>
      </c>
      <c r="D4948" t="s">
        <v>200</v>
      </c>
      <c r="E4948" t="s">
        <v>112</v>
      </c>
      <c r="F4948" t="s">
        <v>114</v>
      </c>
      <c r="G4948" t="s">
        <v>1158</v>
      </c>
      <c r="H4948">
        <v>-8</v>
      </c>
      <c r="I4948">
        <v>2</v>
      </c>
      <c r="J4948">
        <v>20063.15625</v>
      </c>
      <c r="K4948">
        <v>-321010.5</v>
      </c>
      <c r="L4948">
        <v>20261.25</v>
      </c>
      <c r="M4948">
        <v>-324180</v>
      </c>
      <c r="N4948">
        <v>-3169.5</v>
      </c>
    </row>
    <row r="4949" spans="1:17" customFormat="1" x14ac:dyDescent="0.3">
      <c r="A4949" s="31" t="s">
        <v>770</v>
      </c>
      <c r="B4949" t="s">
        <v>191</v>
      </c>
      <c r="C4949" t="s">
        <v>97</v>
      </c>
      <c r="E4949" t="s">
        <v>112</v>
      </c>
      <c r="F4949" t="s">
        <v>114</v>
      </c>
      <c r="K4949">
        <v>-378760.5</v>
      </c>
      <c r="M4949">
        <v>-382322.5</v>
      </c>
      <c r="N4949">
        <v>-3562</v>
      </c>
    </row>
    <row r="4950" spans="1:17" customFormat="1" x14ac:dyDescent="0.3">
      <c r="A4950" s="31" t="s">
        <v>770</v>
      </c>
      <c r="B4950" t="s">
        <v>191</v>
      </c>
      <c r="C4950" t="s">
        <v>520</v>
      </c>
      <c r="D4950" t="s">
        <v>1160</v>
      </c>
    </row>
    <row r="4951" spans="1:17" customFormat="1" x14ac:dyDescent="0.3">
      <c r="A4951" s="31" t="s">
        <v>770</v>
      </c>
      <c r="B4951" t="s">
        <v>201</v>
      </c>
      <c r="C4951" t="s">
        <v>120</v>
      </c>
      <c r="D4951" t="s">
        <v>192</v>
      </c>
      <c r="E4951" t="s">
        <v>100</v>
      </c>
      <c r="F4951" t="s">
        <v>181</v>
      </c>
      <c r="G4951" t="s">
        <v>0</v>
      </c>
      <c r="H4951" t="s">
        <v>202</v>
      </c>
      <c r="I4951" t="s">
        <v>193</v>
      </c>
      <c r="J4951" t="s">
        <v>203</v>
      </c>
      <c r="K4951" t="s">
        <v>204</v>
      </c>
      <c r="L4951" t="s">
        <v>205</v>
      </c>
      <c r="M4951" t="s">
        <v>206</v>
      </c>
      <c r="N4951" t="s">
        <v>1</v>
      </c>
      <c r="O4951" t="s">
        <v>207</v>
      </c>
      <c r="P4951" t="s">
        <v>208</v>
      </c>
      <c r="Q4951" t="s">
        <v>165</v>
      </c>
    </row>
    <row r="4952" spans="1:17" customFormat="1" x14ac:dyDescent="0.3">
      <c r="A4952" s="31" t="s">
        <v>770</v>
      </c>
      <c r="B4952" t="s">
        <v>201</v>
      </c>
      <c r="C4952" t="s">
        <v>123</v>
      </c>
      <c r="D4952" t="s">
        <v>209</v>
      </c>
      <c r="E4952" t="s">
        <v>110</v>
      </c>
      <c r="F4952" t="s">
        <v>114</v>
      </c>
      <c r="G4952" t="s">
        <v>7</v>
      </c>
      <c r="H4952" t="s">
        <v>1161</v>
      </c>
      <c r="I4952">
        <v>-35</v>
      </c>
      <c r="J4952">
        <v>152.75</v>
      </c>
      <c r="K4952">
        <v>152.82</v>
      </c>
      <c r="L4952">
        <v>5346.25</v>
      </c>
      <c r="M4952">
        <v>0</v>
      </c>
      <c r="N4952">
        <v>-4820.0550000000003</v>
      </c>
      <c r="O4952">
        <v>526.19500000000005</v>
      </c>
      <c r="P4952">
        <v>-2.4500000000000002</v>
      </c>
      <c r="Q4952" t="s">
        <v>3</v>
      </c>
    </row>
    <row r="4953" spans="1:17" customFormat="1" x14ac:dyDescent="0.3">
      <c r="A4953" s="31" t="s">
        <v>770</v>
      </c>
      <c r="B4953" t="s">
        <v>201</v>
      </c>
      <c r="C4953" t="s">
        <v>213</v>
      </c>
      <c r="E4953" t="s">
        <v>110</v>
      </c>
      <c r="F4953" t="s">
        <v>114</v>
      </c>
      <c r="G4953" t="s">
        <v>7</v>
      </c>
      <c r="I4953">
        <v>-35</v>
      </c>
      <c r="L4953">
        <v>5346.25</v>
      </c>
      <c r="M4953">
        <v>0</v>
      </c>
      <c r="N4953">
        <v>-4820.0550000000003</v>
      </c>
      <c r="O4953">
        <v>526.19500000000005</v>
      </c>
      <c r="P4953">
        <v>-2.4500000000000002</v>
      </c>
    </row>
    <row r="4954" spans="1:17" customFormat="1" x14ac:dyDescent="0.3">
      <c r="A4954" s="31" t="s">
        <v>770</v>
      </c>
      <c r="B4954" t="s">
        <v>201</v>
      </c>
      <c r="C4954" t="s">
        <v>123</v>
      </c>
      <c r="D4954" t="s">
        <v>209</v>
      </c>
      <c r="E4954" t="s">
        <v>110</v>
      </c>
      <c r="F4954" t="s">
        <v>114</v>
      </c>
      <c r="G4954" t="s">
        <v>11</v>
      </c>
      <c r="H4954" t="s">
        <v>1162</v>
      </c>
      <c r="I4954">
        <v>-5</v>
      </c>
      <c r="J4954">
        <v>907</v>
      </c>
      <c r="K4954">
        <v>908.42</v>
      </c>
      <c r="L4954">
        <v>4535</v>
      </c>
      <c r="M4954">
        <v>0</v>
      </c>
      <c r="N4954">
        <v>-3917.5</v>
      </c>
      <c r="O4954">
        <v>617.5</v>
      </c>
      <c r="P4954">
        <v>-7.1</v>
      </c>
      <c r="Q4954" t="s">
        <v>3</v>
      </c>
    </row>
    <row r="4955" spans="1:17" customFormat="1" x14ac:dyDescent="0.3">
      <c r="A4955" s="31" t="s">
        <v>770</v>
      </c>
      <c r="B4955" t="s">
        <v>201</v>
      </c>
      <c r="C4955" t="s">
        <v>213</v>
      </c>
      <c r="E4955" t="s">
        <v>110</v>
      </c>
      <c r="F4955" t="s">
        <v>114</v>
      </c>
      <c r="G4955" t="s">
        <v>11</v>
      </c>
      <c r="I4955">
        <v>-5</v>
      </c>
      <c r="L4955">
        <v>4535</v>
      </c>
      <c r="M4955">
        <v>0</v>
      </c>
      <c r="N4955">
        <v>-3917.5</v>
      </c>
      <c r="O4955">
        <v>617.5</v>
      </c>
      <c r="P4955">
        <v>-7.1</v>
      </c>
    </row>
    <row r="4956" spans="1:17" customFormat="1" x14ac:dyDescent="0.3">
      <c r="A4956" s="31" t="s">
        <v>770</v>
      </c>
      <c r="B4956" t="s">
        <v>201</v>
      </c>
      <c r="C4956" t="s">
        <v>123</v>
      </c>
      <c r="D4956" t="s">
        <v>209</v>
      </c>
      <c r="E4956" t="s">
        <v>110</v>
      </c>
      <c r="F4956" t="s">
        <v>114</v>
      </c>
      <c r="G4956" t="s">
        <v>85</v>
      </c>
      <c r="H4956" t="s">
        <v>1163</v>
      </c>
      <c r="I4956">
        <v>-20</v>
      </c>
      <c r="J4956">
        <v>251.67</v>
      </c>
      <c r="K4956">
        <v>248.06</v>
      </c>
      <c r="L4956">
        <v>5033.3999999999996</v>
      </c>
      <c r="M4956">
        <v>0</v>
      </c>
      <c r="N4956">
        <v>-5178</v>
      </c>
      <c r="O4956">
        <v>-144.6</v>
      </c>
      <c r="P4956">
        <v>72.2</v>
      </c>
      <c r="Q4956" t="s">
        <v>3</v>
      </c>
    </row>
    <row r="4957" spans="1:17" customFormat="1" x14ac:dyDescent="0.3">
      <c r="A4957" s="31" t="s">
        <v>770</v>
      </c>
      <c r="B4957" t="s">
        <v>201</v>
      </c>
      <c r="C4957" t="s">
        <v>213</v>
      </c>
      <c r="E4957" t="s">
        <v>110</v>
      </c>
      <c r="F4957" t="s">
        <v>114</v>
      </c>
      <c r="G4957" t="s">
        <v>85</v>
      </c>
      <c r="I4957">
        <v>-20</v>
      </c>
      <c r="L4957">
        <v>5033.3999999999996</v>
      </c>
      <c r="M4957">
        <v>0</v>
      </c>
      <c r="N4957">
        <v>-5178</v>
      </c>
      <c r="O4957">
        <v>-144.6</v>
      </c>
      <c r="P4957">
        <v>72.2</v>
      </c>
    </row>
    <row r="4958" spans="1:17" customFormat="1" x14ac:dyDescent="0.3">
      <c r="A4958" s="31" t="s">
        <v>770</v>
      </c>
      <c r="B4958" t="s">
        <v>201</v>
      </c>
      <c r="C4958" t="s">
        <v>123</v>
      </c>
      <c r="D4958" t="s">
        <v>209</v>
      </c>
      <c r="E4958" t="s">
        <v>110</v>
      </c>
      <c r="F4958" t="s">
        <v>114</v>
      </c>
      <c r="G4958" t="s">
        <v>1155</v>
      </c>
      <c r="H4958" t="s">
        <v>1164</v>
      </c>
      <c r="I4958">
        <v>40</v>
      </c>
      <c r="J4958">
        <v>119.69</v>
      </c>
      <c r="K4958">
        <v>118.54</v>
      </c>
      <c r="L4958">
        <v>-4787.6000000000004</v>
      </c>
      <c r="M4958">
        <v>0</v>
      </c>
      <c r="N4958">
        <v>4787.6000000000004</v>
      </c>
      <c r="O4958">
        <v>0</v>
      </c>
      <c r="P4958">
        <v>-46</v>
      </c>
      <c r="Q4958" t="s">
        <v>215</v>
      </c>
    </row>
    <row r="4959" spans="1:17" customFormat="1" x14ac:dyDescent="0.3">
      <c r="A4959" s="31" t="s">
        <v>770</v>
      </c>
      <c r="B4959" t="s">
        <v>201</v>
      </c>
      <c r="C4959" t="s">
        <v>213</v>
      </c>
      <c r="E4959" t="s">
        <v>110</v>
      </c>
      <c r="F4959" t="s">
        <v>114</v>
      </c>
      <c r="G4959" t="s">
        <v>1155</v>
      </c>
      <c r="I4959">
        <v>40</v>
      </c>
      <c r="L4959">
        <v>-4787.6000000000004</v>
      </c>
      <c r="M4959">
        <v>0</v>
      </c>
      <c r="N4959">
        <v>4787.6000000000004</v>
      </c>
      <c r="O4959">
        <v>0</v>
      </c>
      <c r="P4959">
        <v>-46</v>
      </c>
    </row>
    <row r="4960" spans="1:17" customFormat="1" x14ac:dyDescent="0.3">
      <c r="A4960" s="31" t="s">
        <v>770</v>
      </c>
      <c r="B4960" t="s">
        <v>201</v>
      </c>
      <c r="C4960" t="s">
        <v>123</v>
      </c>
      <c r="D4960" t="s">
        <v>209</v>
      </c>
      <c r="E4960" t="s">
        <v>110</v>
      </c>
      <c r="F4960" t="s">
        <v>114</v>
      </c>
      <c r="G4960" t="s">
        <v>70</v>
      </c>
      <c r="H4960" t="s">
        <v>1165</v>
      </c>
      <c r="I4960">
        <v>-25</v>
      </c>
      <c r="J4960">
        <v>203.35</v>
      </c>
      <c r="K4960">
        <v>207.23</v>
      </c>
      <c r="L4960">
        <v>5083.75</v>
      </c>
      <c r="M4960">
        <v>0</v>
      </c>
      <c r="N4960">
        <v>-5152.125</v>
      </c>
      <c r="O4960">
        <v>-68.375</v>
      </c>
      <c r="P4960">
        <v>-97</v>
      </c>
      <c r="Q4960" t="s">
        <v>3</v>
      </c>
    </row>
    <row r="4961" spans="1:17" customFormat="1" x14ac:dyDescent="0.3">
      <c r="A4961" s="31" t="s">
        <v>770</v>
      </c>
      <c r="B4961" t="s">
        <v>201</v>
      </c>
      <c r="C4961" t="s">
        <v>213</v>
      </c>
      <c r="E4961" t="s">
        <v>110</v>
      </c>
      <c r="F4961" t="s">
        <v>114</v>
      </c>
      <c r="G4961" t="s">
        <v>70</v>
      </c>
      <c r="I4961">
        <v>-25</v>
      </c>
      <c r="L4961">
        <v>5083.75</v>
      </c>
      <c r="M4961">
        <v>0</v>
      </c>
      <c r="N4961">
        <v>-5152.125</v>
      </c>
      <c r="O4961">
        <v>-68.375</v>
      </c>
      <c r="P4961">
        <v>-97</v>
      </c>
    </row>
    <row r="4962" spans="1:17" customFormat="1" x14ac:dyDescent="0.3">
      <c r="A4962" s="31" t="s">
        <v>770</v>
      </c>
      <c r="B4962" t="s">
        <v>201</v>
      </c>
      <c r="C4962" t="s">
        <v>123</v>
      </c>
      <c r="D4962" t="s">
        <v>209</v>
      </c>
      <c r="E4962" t="s">
        <v>110</v>
      </c>
      <c r="F4962" t="s">
        <v>114</v>
      </c>
      <c r="G4962" t="s">
        <v>55</v>
      </c>
      <c r="H4962" t="s">
        <v>1166</v>
      </c>
      <c r="I4962">
        <v>-40</v>
      </c>
      <c r="J4962">
        <v>88.3</v>
      </c>
      <c r="K4962">
        <v>91.22</v>
      </c>
      <c r="L4962">
        <v>3532</v>
      </c>
      <c r="M4962">
        <v>0</v>
      </c>
      <c r="N4962">
        <v>-4818.12</v>
      </c>
      <c r="O4962">
        <v>-1286.1199999999999</v>
      </c>
      <c r="P4962">
        <v>-116.8</v>
      </c>
      <c r="Q4962" t="s">
        <v>3</v>
      </c>
    </row>
    <row r="4963" spans="1:17" customFormat="1" x14ac:dyDescent="0.3">
      <c r="A4963" s="31" t="s">
        <v>770</v>
      </c>
      <c r="B4963" t="s">
        <v>201</v>
      </c>
      <c r="C4963" t="s">
        <v>213</v>
      </c>
      <c r="E4963" t="s">
        <v>110</v>
      </c>
      <c r="F4963" t="s">
        <v>114</v>
      </c>
      <c r="G4963" t="s">
        <v>55</v>
      </c>
      <c r="I4963">
        <v>-40</v>
      </c>
      <c r="L4963">
        <v>3532</v>
      </c>
      <c r="M4963">
        <v>0</v>
      </c>
      <c r="N4963">
        <v>-4818.12</v>
      </c>
      <c r="O4963">
        <v>-1286.1199999999999</v>
      </c>
      <c r="P4963">
        <v>-116.8</v>
      </c>
    </row>
    <row r="4964" spans="1:17" customFormat="1" x14ac:dyDescent="0.3">
      <c r="A4964" s="31" t="s">
        <v>770</v>
      </c>
      <c r="B4964" t="s">
        <v>201</v>
      </c>
      <c r="C4964" t="s">
        <v>123</v>
      </c>
      <c r="D4964" t="s">
        <v>209</v>
      </c>
      <c r="E4964" t="s">
        <v>110</v>
      </c>
      <c r="F4964" t="s">
        <v>114</v>
      </c>
      <c r="G4964" t="s">
        <v>39</v>
      </c>
      <c r="H4964" t="s">
        <v>1167</v>
      </c>
      <c r="I4964">
        <v>15</v>
      </c>
      <c r="J4964">
        <v>176.74</v>
      </c>
      <c r="K4964">
        <v>173.92</v>
      </c>
      <c r="L4964">
        <v>-2651.1</v>
      </c>
      <c r="M4964">
        <v>0</v>
      </c>
      <c r="N4964">
        <v>2651.1</v>
      </c>
      <c r="O4964">
        <v>0</v>
      </c>
      <c r="P4964">
        <v>-42.3</v>
      </c>
      <c r="Q4964" t="s">
        <v>215</v>
      </c>
    </row>
    <row r="4965" spans="1:17" customFormat="1" x14ac:dyDescent="0.3">
      <c r="A4965" s="31" t="s">
        <v>770</v>
      </c>
      <c r="B4965" t="s">
        <v>201</v>
      </c>
      <c r="C4965" t="s">
        <v>213</v>
      </c>
      <c r="E4965" t="s">
        <v>110</v>
      </c>
      <c r="F4965" t="s">
        <v>114</v>
      </c>
      <c r="G4965" t="s">
        <v>39</v>
      </c>
      <c r="I4965">
        <v>15</v>
      </c>
      <c r="L4965">
        <v>-2651.1</v>
      </c>
      <c r="M4965">
        <v>0</v>
      </c>
      <c r="N4965">
        <v>2651.1</v>
      </c>
      <c r="O4965">
        <v>0</v>
      </c>
      <c r="P4965">
        <v>-42.3</v>
      </c>
    </row>
    <row r="4966" spans="1:17" customFormat="1" x14ac:dyDescent="0.3">
      <c r="A4966" s="31" t="s">
        <v>770</v>
      </c>
      <c r="B4966" t="s">
        <v>201</v>
      </c>
      <c r="C4966" t="s">
        <v>123</v>
      </c>
      <c r="D4966" t="s">
        <v>209</v>
      </c>
      <c r="E4966" t="s">
        <v>110</v>
      </c>
      <c r="F4966" t="s">
        <v>114</v>
      </c>
      <c r="G4966" t="s">
        <v>83</v>
      </c>
      <c r="H4966" t="s">
        <v>1168</v>
      </c>
      <c r="I4966">
        <v>-70</v>
      </c>
      <c r="J4966">
        <v>211.5</v>
      </c>
      <c r="K4966">
        <v>213.05</v>
      </c>
      <c r="L4966">
        <v>14805</v>
      </c>
      <c r="M4966">
        <v>0</v>
      </c>
      <c r="N4966">
        <v>-17868.900000000001</v>
      </c>
      <c r="O4966">
        <v>-3063.9</v>
      </c>
      <c r="P4966">
        <v>-108.5</v>
      </c>
      <c r="Q4966" t="s">
        <v>230</v>
      </c>
    </row>
    <row r="4967" spans="1:17" customFormat="1" x14ac:dyDescent="0.3">
      <c r="A4967" s="31" t="s">
        <v>770</v>
      </c>
      <c r="B4967" t="s">
        <v>201</v>
      </c>
      <c r="C4967" t="s">
        <v>123</v>
      </c>
      <c r="D4967" t="s">
        <v>209</v>
      </c>
      <c r="E4967" t="s">
        <v>110</v>
      </c>
      <c r="F4967" t="s">
        <v>114</v>
      </c>
      <c r="G4967" t="s">
        <v>83</v>
      </c>
      <c r="H4967" t="s">
        <v>1169</v>
      </c>
      <c r="I4967">
        <v>30</v>
      </c>
      <c r="J4967">
        <v>232.33</v>
      </c>
      <c r="K4967">
        <v>232.68</v>
      </c>
      <c r="L4967">
        <v>-6969.9</v>
      </c>
      <c r="M4967">
        <v>0</v>
      </c>
      <c r="N4967">
        <v>6969.9</v>
      </c>
      <c r="O4967">
        <v>0</v>
      </c>
      <c r="P4967">
        <v>10.5</v>
      </c>
      <c r="Q4967" t="s">
        <v>215</v>
      </c>
    </row>
    <row r="4968" spans="1:17" customFormat="1" x14ac:dyDescent="0.3">
      <c r="A4968" s="31" t="s">
        <v>770</v>
      </c>
      <c r="B4968" t="s">
        <v>201</v>
      </c>
      <c r="C4968" t="s">
        <v>213</v>
      </c>
      <c r="E4968" t="s">
        <v>110</v>
      </c>
      <c r="F4968" t="s">
        <v>114</v>
      </c>
      <c r="G4968" t="s">
        <v>83</v>
      </c>
      <c r="I4968">
        <v>-40</v>
      </c>
      <c r="L4968">
        <v>7835.1</v>
      </c>
      <c r="M4968">
        <v>0</v>
      </c>
      <c r="N4968">
        <v>-10899</v>
      </c>
      <c r="O4968">
        <v>-3063.9</v>
      </c>
      <c r="P4968">
        <v>-98</v>
      </c>
    </row>
    <row r="4969" spans="1:17" customFormat="1" x14ac:dyDescent="0.3">
      <c r="A4969" s="31" t="s">
        <v>770</v>
      </c>
      <c r="B4969" t="s">
        <v>201</v>
      </c>
      <c r="C4969" t="s">
        <v>123</v>
      </c>
      <c r="D4969" t="s">
        <v>209</v>
      </c>
      <c r="E4969" t="s">
        <v>110</v>
      </c>
      <c r="F4969" t="s">
        <v>114</v>
      </c>
      <c r="G4969" t="s">
        <v>86</v>
      </c>
      <c r="H4969" t="s">
        <v>1170</v>
      </c>
      <c r="I4969">
        <v>-60</v>
      </c>
      <c r="J4969">
        <v>563.05600000000004</v>
      </c>
      <c r="K4969">
        <v>552.08000000000004</v>
      </c>
      <c r="L4969">
        <v>33783.360000000001</v>
      </c>
      <c r="M4969">
        <v>0</v>
      </c>
      <c r="N4969">
        <v>-31174.2</v>
      </c>
      <c r="O4969">
        <v>2609.16</v>
      </c>
      <c r="P4969">
        <v>658.56</v>
      </c>
      <c r="Q4969" t="s">
        <v>230</v>
      </c>
    </row>
    <row r="4970" spans="1:17" customFormat="1" x14ac:dyDescent="0.3">
      <c r="A4970" s="31" t="s">
        <v>770</v>
      </c>
      <c r="B4970" t="s">
        <v>201</v>
      </c>
      <c r="C4970" t="s">
        <v>123</v>
      </c>
      <c r="D4970" t="s">
        <v>209</v>
      </c>
      <c r="E4970" t="s">
        <v>110</v>
      </c>
      <c r="F4970" t="s">
        <v>114</v>
      </c>
      <c r="G4970" t="s">
        <v>86</v>
      </c>
      <c r="H4970" t="s">
        <v>1171</v>
      </c>
      <c r="I4970">
        <v>40</v>
      </c>
      <c r="J4970">
        <v>550.38</v>
      </c>
      <c r="K4970">
        <v>554.41999999999996</v>
      </c>
      <c r="L4970">
        <v>-22015.200000000001</v>
      </c>
      <c r="M4970">
        <v>0</v>
      </c>
      <c r="N4970">
        <v>22015.200000000001</v>
      </c>
      <c r="O4970">
        <v>0</v>
      </c>
      <c r="P4970">
        <v>161.6</v>
      </c>
      <c r="Q4970" t="s">
        <v>215</v>
      </c>
    </row>
    <row r="4971" spans="1:17" customFormat="1" x14ac:dyDescent="0.3">
      <c r="A4971" s="31" t="s">
        <v>770</v>
      </c>
      <c r="B4971" t="s">
        <v>201</v>
      </c>
      <c r="C4971" t="s">
        <v>213</v>
      </c>
      <c r="E4971" t="s">
        <v>110</v>
      </c>
      <c r="F4971" t="s">
        <v>114</v>
      </c>
      <c r="G4971" t="s">
        <v>86</v>
      </c>
      <c r="I4971">
        <v>-20</v>
      </c>
      <c r="L4971">
        <v>11768.16</v>
      </c>
      <c r="M4971">
        <v>0</v>
      </c>
      <c r="N4971">
        <v>-9159</v>
      </c>
      <c r="O4971">
        <v>2609.16</v>
      </c>
      <c r="P4971">
        <v>820.16</v>
      </c>
    </row>
    <row r="4972" spans="1:17" customFormat="1" x14ac:dyDescent="0.3">
      <c r="A4972" s="31" t="s">
        <v>770</v>
      </c>
      <c r="B4972" t="s">
        <v>201</v>
      </c>
      <c r="C4972" t="s">
        <v>123</v>
      </c>
      <c r="D4972" t="s">
        <v>209</v>
      </c>
      <c r="E4972" t="s">
        <v>110</v>
      </c>
      <c r="F4972" t="s">
        <v>114</v>
      </c>
      <c r="G4972" t="s">
        <v>77</v>
      </c>
      <c r="H4972" t="s">
        <v>1172</v>
      </c>
      <c r="I4972">
        <v>-20</v>
      </c>
      <c r="J4972">
        <v>254</v>
      </c>
      <c r="K4972">
        <v>254.27</v>
      </c>
      <c r="L4972">
        <v>5080</v>
      </c>
      <c r="M4972">
        <v>0</v>
      </c>
      <c r="N4972">
        <v>-3606.6</v>
      </c>
      <c r="O4972">
        <v>1473.4</v>
      </c>
      <c r="P4972">
        <v>-5.4</v>
      </c>
      <c r="Q4972" t="s">
        <v>3</v>
      </c>
    </row>
    <row r="4973" spans="1:17" customFormat="1" x14ac:dyDescent="0.3">
      <c r="A4973" s="31" t="s">
        <v>770</v>
      </c>
      <c r="B4973" t="s">
        <v>201</v>
      </c>
      <c r="C4973" t="s">
        <v>213</v>
      </c>
      <c r="E4973" t="s">
        <v>110</v>
      </c>
      <c r="F4973" t="s">
        <v>114</v>
      </c>
      <c r="G4973" t="s">
        <v>77</v>
      </c>
      <c r="I4973">
        <v>-20</v>
      </c>
      <c r="L4973">
        <v>5080</v>
      </c>
      <c r="M4973">
        <v>0</v>
      </c>
      <c r="N4973">
        <v>-3606.6</v>
      </c>
      <c r="O4973">
        <v>1473.4</v>
      </c>
      <c r="P4973">
        <v>-5.4</v>
      </c>
    </row>
    <row r="4974" spans="1:17" customFormat="1" x14ac:dyDescent="0.3">
      <c r="A4974" s="31" t="s">
        <v>770</v>
      </c>
      <c r="B4974" t="s">
        <v>201</v>
      </c>
      <c r="C4974" t="s">
        <v>123</v>
      </c>
      <c r="D4974" t="s">
        <v>209</v>
      </c>
      <c r="E4974" t="s">
        <v>110</v>
      </c>
      <c r="F4974" t="s">
        <v>114</v>
      </c>
      <c r="G4974" t="s">
        <v>1156</v>
      </c>
      <c r="H4974" t="s">
        <v>1173</v>
      </c>
      <c r="I4974">
        <v>70</v>
      </c>
      <c r="J4974">
        <v>90.254999999999995</v>
      </c>
      <c r="K4974">
        <v>91.02</v>
      </c>
      <c r="L4974">
        <v>-6317.85</v>
      </c>
      <c r="M4974">
        <v>0</v>
      </c>
      <c r="N4974">
        <v>6317.85</v>
      </c>
      <c r="O4974">
        <v>0</v>
      </c>
      <c r="P4974">
        <v>53.55</v>
      </c>
      <c r="Q4974" t="s">
        <v>215</v>
      </c>
    </row>
    <row r="4975" spans="1:17" customFormat="1" x14ac:dyDescent="0.3">
      <c r="A4975" s="31" t="s">
        <v>770</v>
      </c>
      <c r="B4975" t="s">
        <v>201</v>
      </c>
      <c r="C4975" t="s">
        <v>213</v>
      </c>
      <c r="E4975" t="s">
        <v>110</v>
      </c>
      <c r="F4975" t="s">
        <v>114</v>
      </c>
      <c r="G4975" t="s">
        <v>1156</v>
      </c>
      <c r="I4975">
        <v>70</v>
      </c>
      <c r="L4975">
        <v>-6317.85</v>
      </c>
      <c r="M4975">
        <v>0</v>
      </c>
      <c r="N4975">
        <v>6317.85</v>
      </c>
      <c r="O4975">
        <v>0</v>
      </c>
      <c r="P4975">
        <v>53.55</v>
      </c>
    </row>
    <row r="4976" spans="1:17" customFormat="1" x14ac:dyDescent="0.3">
      <c r="A4976" s="31" t="s">
        <v>770</v>
      </c>
      <c r="B4976" t="s">
        <v>201</v>
      </c>
      <c r="C4976" t="s">
        <v>123</v>
      </c>
      <c r="D4976" t="s">
        <v>209</v>
      </c>
      <c r="E4976" t="s">
        <v>110</v>
      </c>
      <c r="F4976" t="s">
        <v>114</v>
      </c>
      <c r="G4976" t="s">
        <v>61</v>
      </c>
      <c r="H4976" t="s">
        <v>1174</v>
      </c>
      <c r="I4976">
        <v>-100</v>
      </c>
      <c r="J4976">
        <v>87.02</v>
      </c>
      <c r="K4976">
        <v>87.19</v>
      </c>
      <c r="L4976">
        <v>8702</v>
      </c>
      <c r="M4976">
        <v>0</v>
      </c>
      <c r="N4976">
        <v>-9438</v>
      </c>
      <c r="O4976">
        <v>-736</v>
      </c>
      <c r="P4976">
        <v>-17</v>
      </c>
      <c r="Q4976" t="s">
        <v>3</v>
      </c>
    </row>
    <row r="4977" spans="1:17" customFormat="1" x14ac:dyDescent="0.3">
      <c r="A4977" s="31" t="s">
        <v>770</v>
      </c>
      <c r="B4977" t="s">
        <v>201</v>
      </c>
      <c r="C4977" t="s">
        <v>213</v>
      </c>
      <c r="E4977" t="s">
        <v>110</v>
      </c>
      <c r="F4977" t="s">
        <v>114</v>
      </c>
      <c r="G4977" t="s">
        <v>61</v>
      </c>
      <c r="I4977">
        <v>-100</v>
      </c>
      <c r="L4977">
        <v>8702</v>
      </c>
      <c r="M4977">
        <v>0</v>
      </c>
      <c r="N4977">
        <v>-9438</v>
      </c>
      <c r="O4977">
        <v>-736</v>
      </c>
      <c r="P4977">
        <v>-17</v>
      </c>
    </row>
    <row r="4978" spans="1:17" customFormat="1" x14ac:dyDescent="0.3">
      <c r="A4978" s="31" t="s">
        <v>770</v>
      </c>
      <c r="B4978" t="s">
        <v>201</v>
      </c>
      <c r="C4978" t="s">
        <v>123</v>
      </c>
      <c r="D4978" t="s">
        <v>209</v>
      </c>
      <c r="E4978" t="s">
        <v>110</v>
      </c>
      <c r="F4978" t="s">
        <v>114</v>
      </c>
      <c r="G4978" t="s">
        <v>84</v>
      </c>
      <c r="H4978" t="s">
        <v>1175</v>
      </c>
      <c r="I4978">
        <v>-40</v>
      </c>
      <c r="J4978">
        <v>192.98</v>
      </c>
      <c r="K4978">
        <v>192.15</v>
      </c>
      <c r="L4978">
        <v>7719.2</v>
      </c>
      <c r="M4978">
        <v>0</v>
      </c>
      <c r="N4978">
        <v>-7420.4</v>
      </c>
      <c r="O4978">
        <v>298.8</v>
      </c>
      <c r="P4978">
        <v>33.200000000000003</v>
      </c>
      <c r="Q4978" t="s">
        <v>3</v>
      </c>
    </row>
    <row r="4979" spans="1:17" customFormat="1" x14ac:dyDescent="0.3">
      <c r="A4979" s="31" t="s">
        <v>770</v>
      </c>
      <c r="B4979" t="s">
        <v>201</v>
      </c>
      <c r="C4979" t="s">
        <v>213</v>
      </c>
      <c r="E4979" t="s">
        <v>110</v>
      </c>
      <c r="F4979" t="s">
        <v>114</v>
      </c>
      <c r="G4979" t="s">
        <v>84</v>
      </c>
      <c r="I4979">
        <v>-40</v>
      </c>
      <c r="L4979">
        <v>7719.2</v>
      </c>
      <c r="M4979">
        <v>0</v>
      </c>
      <c r="N4979">
        <v>-7420.4</v>
      </c>
      <c r="O4979">
        <v>298.8</v>
      </c>
      <c r="P4979">
        <v>33.200000000000003</v>
      </c>
    </row>
    <row r="4980" spans="1:17" customFormat="1" x14ac:dyDescent="0.3">
      <c r="A4980" s="31" t="s">
        <v>770</v>
      </c>
      <c r="B4980" t="s">
        <v>201</v>
      </c>
      <c r="C4980" t="s">
        <v>97</v>
      </c>
      <c r="E4980" t="s">
        <v>110</v>
      </c>
      <c r="F4980" t="s">
        <v>114</v>
      </c>
      <c r="L4980">
        <v>50878.31</v>
      </c>
      <c r="M4980">
        <v>0</v>
      </c>
      <c r="N4980">
        <v>-50652.25</v>
      </c>
      <c r="O4980">
        <v>226.06</v>
      </c>
      <c r="P4980">
        <v>547.05999999999995</v>
      </c>
      <c r="Q4980" t="s">
        <v>257</v>
      </c>
    </row>
    <row r="4981" spans="1:17" customFormat="1" x14ac:dyDescent="0.3">
      <c r="A4981" s="31" t="s">
        <v>770</v>
      </c>
      <c r="B4981" t="s">
        <v>201</v>
      </c>
      <c r="C4981" t="s">
        <v>120</v>
      </c>
      <c r="D4981" t="s">
        <v>192</v>
      </c>
      <c r="E4981" t="s">
        <v>100</v>
      </c>
      <c r="F4981" t="s">
        <v>181</v>
      </c>
      <c r="G4981" t="s">
        <v>0</v>
      </c>
      <c r="H4981" t="s">
        <v>202</v>
      </c>
      <c r="I4981" t="s">
        <v>193</v>
      </c>
      <c r="J4981" t="s">
        <v>203</v>
      </c>
      <c r="K4981" t="s">
        <v>204</v>
      </c>
      <c r="L4981" t="s">
        <v>258</v>
      </c>
      <c r="M4981" t="s">
        <v>206</v>
      </c>
      <c r="N4981" t="s">
        <v>1</v>
      </c>
      <c r="O4981" t="s">
        <v>207</v>
      </c>
      <c r="P4981" t="s">
        <v>208</v>
      </c>
      <c r="Q4981" t="s">
        <v>165</v>
      </c>
    </row>
    <row r="4982" spans="1:17" customFormat="1" x14ac:dyDescent="0.3">
      <c r="A4982" s="31" t="s">
        <v>770</v>
      </c>
      <c r="B4982" t="s">
        <v>201</v>
      </c>
      <c r="C4982" t="s">
        <v>123</v>
      </c>
      <c r="D4982" t="s">
        <v>209</v>
      </c>
      <c r="E4982" t="s">
        <v>112</v>
      </c>
      <c r="F4982" t="s">
        <v>114</v>
      </c>
      <c r="G4982" t="s">
        <v>80</v>
      </c>
      <c r="H4982" t="s">
        <v>1176</v>
      </c>
      <c r="I4982">
        <v>1</v>
      </c>
      <c r="J4982">
        <v>5553</v>
      </c>
      <c r="K4982">
        <v>5530</v>
      </c>
      <c r="L4982">
        <v>-27765</v>
      </c>
      <c r="M4982">
        <v>0</v>
      </c>
      <c r="N4982">
        <v>27821.25</v>
      </c>
      <c r="O4982">
        <v>56.25</v>
      </c>
      <c r="P4982">
        <v>-115</v>
      </c>
      <c r="Q4982" t="s">
        <v>3</v>
      </c>
    </row>
    <row r="4983" spans="1:17" customFormat="1" x14ac:dyDescent="0.3">
      <c r="A4983" s="31" t="s">
        <v>770</v>
      </c>
      <c r="B4983" t="s">
        <v>201</v>
      </c>
      <c r="C4983" t="s">
        <v>123</v>
      </c>
      <c r="D4983" t="s">
        <v>209</v>
      </c>
      <c r="E4983" t="s">
        <v>112</v>
      </c>
      <c r="F4983" t="s">
        <v>114</v>
      </c>
      <c r="G4983" t="s">
        <v>80</v>
      </c>
      <c r="H4983" t="s">
        <v>1177</v>
      </c>
      <c r="I4983">
        <v>1</v>
      </c>
      <c r="J4983">
        <v>5442</v>
      </c>
      <c r="K4983">
        <v>5479.5</v>
      </c>
      <c r="L4983">
        <v>-27210</v>
      </c>
      <c r="M4983">
        <v>0</v>
      </c>
      <c r="N4983">
        <v>27821.25</v>
      </c>
      <c r="O4983">
        <v>611.25</v>
      </c>
      <c r="P4983">
        <v>187.5</v>
      </c>
      <c r="Q4983" t="s">
        <v>3</v>
      </c>
    </row>
    <row r="4984" spans="1:17" customFormat="1" x14ac:dyDescent="0.3">
      <c r="A4984" s="31" t="s">
        <v>770</v>
      </c>
      <c r="B4984" t="s">
        <v>201</v>
      </c>
      <c r="C4984" t="s">
        <v>123</v>
      </c>
      <c r="D4984" t="s">
        <v>209</v>
      </c>
      <c r="E4984" t="s">
        <v>112</v>
      </c>
      <c r="F4984" t="s">
        <v>114</v>
      </c>
      <c r="G4984" t="s">
        <v>80</v>
      </c>
      <c r="H4984" t="s">
        <v>1178</v>
      </c>
      <c r="I4984">
        <v>1</v>
      </c>
      <c r="J4984">
        <v>5438.25</v>
      </c>
      <c r="K4984">
        <v>5561.25</v>
      </c>
      <c r="L4984">
        <v>-27191.25</v>
      </c>
      <c r="M4984">
        <v>0</v>
      </c>
      <c r="N4984">
        <v>27820</v>
      </c>
      <c r="O4984">
        <v>628.75</v>
      </c>
      <c r="P4984">
        <v>615</v>
      </c>
      <c r="Q4984" t="s">
        <v>3</v>
      </c>
    </row>
    <row r="4985" spans="1:17" customFormat="1" x14ac:dyDescent="0.3">
      <c r="A4985" s="31" t="s">
        <v>770</v>
      </c>
      <c r="B4985" t="s">
        <v>201</v>
      </c>
      <c r="C4985" t="s">
        <v>123</v>
      </c>
      <c r="D4985" t="s">
        <v>209</v>
      </c>
      <c r="E4985" t="s">
        <v>112</v>
      </c>
      <c r="F4985" t="s">
        <v>114</v>
      </c>
      <c r="G4985" t="s">
        <v>80</v>
      </c>
      <c r="H4985" t="s">
        <v>1179</v>
      </c>
      <c r="I4985">
        <v>3</v>
      </c>
      <c r="J4985">
        <v>5716</v>
      </c>
      <c r="K4985">
        <v>5717.75</v>
      </c>
      <c r="L4985">
        <v>-85740</v>
      </c>
      <c r="M4985">
        <v>0</v>
      </c>
      <c r="N4985">
        <v>82362.5</v>
      </c>
      <c r="O4985">
        <v>-3377.5</v>
      </c>
      <c r="P4985">
        <v>26.25</v>
      </c>
      <c r="Q4985" t="s">
        <v>3</v>
      </c>
    </row>
    <row r="4986" spans="1:17" customFormat="1" x14ac:dyDescent="0.3">
      <c r="A4986" s="31" t="s">
        <v>770</v>
      </c>
      <c r="B4986" t="s">
        <v>201</v>
      </c>
      <c r="C4986" t="s">
        <v>213</v>
      </c>
      <c r="E4986" t="s">
        <v>112</v>
      </c>
      <c r="F4986" t="s">
        <v>114</v>
      </c>
      <c r="G4986" t="s">
        <v>80</v>
      </c>
      <c r="I4986">
        <v>6</v>
      </c>
      <c r="L4986">
        <v>-167906.25</v>
      </c>
      <c r="M4986">
        <v>0</v>
      </c>
      <c r="N4986">
        <v>165825</v>
      </c>
      <c r="O4986">
        <v>-2081.25</v>
      </c>
      <c r="P4986">
        <v>713.75</v>
      </c>
    </row>
    <row r="4987" spans="1:17" customFormat="1" x14ac:dyDescent="0.3">
      <c r="A4987" s="31" t="s">
        <v>770</v>
      </c>
      <c r="B4987" t="s">
        <v>201</v>
      </c>
      <c r="C4987" t="s">
        <v>123</v>
      </c>
      <c r="D4987" t="s">
        <v>209</v>
      </c>
      <c r="E4987" t="s">
        <v>112</v>
      </c>
      <c r="F4987" t="s">
        <v>114</v>
      </c>
      <c r="G4987" t="s">
        <v>1157</v>
      </c>
      <c r="H4987" t="s">
        <v>1180</v>
      </c>
      <c r="I4987">
        <v>-2</v>
      </c>
      <c r="J4987">
        <v>5775</v>
      </c>
      <c r="K4987">
        <v>5778</v>
      </c>
      <c r="L4987">
        <v>57750</v>
      </c>
      <c r="M4987">
        <v>0</v>
      </c>
      <c r="N4987">
        <v>-57750</v>
      </c>
      <c r="O4987">
        <v>0</v>
      </c>
      <c r="P4987">
        <v>-30</v>
      </c>
      <c r="Q4987" t="s">
        <v>215</v>
      </c>
    </row>
    <row r="4988" spans="1:17" customFormat="1" x14ac:dyDescent="0.3">
      <c r="A4988" s="31" t="s">
        <v>770</v>
      </c>
      <c r="B4988" t="s">
        <v>201</v>
      </c>
      <c r="C4988" t="s">
        <v>213</v>
      </c>
      <c r="E4988" t="s">
        <v>112</v>
      </c>
      <c r="F4988" t="s">
        <v>114</v>
      </c>
      <c r="G4988" t="s">
        <v>1157</v>
      </c>
      <c r="I4988">
        <v>-2</v>
      </c>
      <c r="L4988">
        <v>57750</v>
      </c>
      <c r="M4988">
        <v>0</v>
      </c>
      <c r="N4988">
        <v>-57750</v>
      </c>
      <c r="O4988">
        <v>0</v>
      </c>
      <c r="P4988">
        <v>-30</v>
      </c>
    </row>
    <row r="4989" spans="1:17" customFormat="1" x14ac:dyDescent="0.3">
      <c r="A4989" s="31" t="s">
        <v>770</v>
      </c>
      <c r="B4989" t="s">
        <v>201</v>
      </c>
      <c r="C4989" t="s">
        <v>123</v>
      </c>
      <c r="D4989" t="s">
        <v>209</v>
      </c>
      <c r="E4989" t="s">
        <v>112</v>
      </c>
      <c r="F4989" t="s">
        <v>114</v>
      </c>
      <c r="G4989" t="s">
        <v>81</v>
      </c>
      <c r="H4989" t="s">
        <v>1181</v>
      </c>
      <c r="I4989">
        <v>-1</v>
      </c>
      <c r="J4989">
        <v>19471.25</v>
      </c>
      <c r="K4989">
        <v>19006.5</v>
      </c>
      <c r="L4989">
        <v>38942.5</v>
      </c>
      <c r="M4989">
        <v>0</v>
      </c>
      <c r="N4989">
        <v>-38942.5</v>
      </c>
      <c r="O4989">
        <v>0</v>
      </c>
      <c r="P4989">
        <v>929.5</v>
      </c>
      <c r="Q4989" t="s">
        <v>215</v>
      </c>
    </row>
    <row r="4990" spans="1:17" customFormat="1" x14ac:dyDescent="0.3">
      <c r="A4990" s="31" t="s">
        <v>770</v>
      </c>
      <c r="B4990" t="s">
        <v>201</v>
      </c>
      <c r="C4990" t="s">
        <v>123</v>
      </c>
      <c r="D4990" t="s">
        <v>209</v>
      </c>
      <c r="E4990" t="s">
        <v>112</v>
      </c>
      <c r="F4990" t="s">
        <v>114</v>
      </c>
      <c r="G4990" t="s">
        <v>81</v>
      </c>
      <c r="H4990" t="s">
        <v>1182</v>
      </c>
      <c r="I4990">
        <v>-1</v>
      </c>
      <c r="J4990">
        <v>19358.25</v>
      </c>
      <c r="K4990">
        <v>19006.5</v>
      </c>
      <c r="L4990">
        <v>38716.5</v>
      </c>
      <c r="M4990">
        <v>0</v>
      </c>
      <c r="N4990">
        <v>-38716.5</v>
      </c>
      <c r="O4990">
        <v>0</v>
      </c>
      <c r="P4990">
        <v>703.5</v>
      </c>
      <c r="Q4990" t="s">
        <v>215</v>
      </c>
    </row>
    <row r="4991" spans="1:17" customFormat="1" x14ac:dyDescent="0.3">
      <c r="A4991" s="31" t="s">
        <v>770</v>
      </c>
      <c r="B4991" t="s">
        <v>201</v>
      </c>
      <c r="C4991" t="s">
        <v>123</v>
      </c>
      <c r="D4991" t="s">
        <v>209</v>
      </c>
      <c r="E4991" t="s">
        <v>112</v>
      </c>
      <c r="F4991" t="s">
        <v>114</v>
      </c>
      <c r="G4991" t="s">
        <v>81</v>
      </c>
      <c r="H4991" t="s">
        <v>1183</v>
      </c>
      <c r="I4991">
        <v>-1</v>
      </c>
      <c r="J4991">
        <v>19212</v>
      </c>
      <c r="K4991">
        <v>19006.5</v>
      </c>
      <c r="L4991">
        <v>38424</v>
      </c>
      <c r="M4991">
        <v>0</v>
      </c>
      <c r="N4991">
        <v>-38424</v>
      </c>
      <c r="O4991">
        <v>0</v>
      </c>
      <c r="P4991">
        <v>411</v>
      </c>
      <c r="Q4991" t="s">
        <v>215</v>
      </c>
    </row>
    <row r="4992" spans="1:17" customFormat="1" x14ac:dyDescent="0.3">
      <c r="A4992" s="31" t="s">
        <v>770</v>
      </c>
      <c r="B4992" t="s">
        <v>201</v>
      </c>
      <c r="C4992" t="s">
        <v>123</v>
      </c>
      <c r="D4992" t="s">
        <v>209</v>
      </c>
      <c r="E4992" t="s">
        <v>112</v>
      </c>
      <c r="F4992" t="s">
        <v>114</v>
      </c>
      <c r="G4992" t="s">
        <v>81</v>
      </c>
      <c r="H4992" t="s">
        <v>1184</v>
      </c>
      <c r="I4992">
        <v>1</v>
      </c>
      <c r="J4992">
        <v>19154.75</v>
      </c>
      <c r="K4992">
        <v>19006.5</v>
      </c>
      <c r="L4992">
        <v>-38309.5</v>
      </c>
      <c r="M4992">
        <v>0</v>
      </c>
      <c r="N4992">
        <v>38616</v>
      </c>
      <c r="O4992">
        <v>306.5</v>
      </c>
      <c r="P4992">
        <v>-296.5</v>
      </c>
      <c r="Q4992" t="s">
        <v>3</v>
      </c>
    </row>
    <row r="4993" spans="1:17" customFormat="1" x14ac:dyDescent="0.3">
      <c r="A4993" s="31" t="s">
        <v>770</v>
      </c>
      <c r="B4993" t="s">
        <v>201</v>
      </c>
      <c r="C4993" t="s">
        <v>123</v>
      </c>
      <c r="D4993" t="s">
        <v>209</v>
      </c>
      <c r="E4993" t="s">
        <v>112</v>
      </c>
      <c r="F4993" t="s">
        <v>114</v>
      </c>
      <c r="G4993" t="s">
        <v>81</v>
      </c>
      <c r="H4993" t="s">
        <v>1185</v>
      </c>
      <c r="I4993">
        <v>1</v>
      </c>
      <c r="J4993">
        <v>18977.75</v>
      </c>
      <c r="K4993">
        <v>19006.5</v>
      </c>
      <c r="L4993">
        <v>-37955.5</v>
      </c>
      <c r="M4993">
        <v>0</v>
      </c>
      <c r="N4993">
        <v>38616</v>
      </c>
      <c r="O4993">
        <v>660.5</v>
      </c>
      <c r="P4993">
        <v>57.5</v>
      </c>
      <c r="Q4993" t="s">
        <v>3</v>
      </c>
    </row>
    <row r="4994" spans="1:17" customFormat="1" x14ac:dyDescent="0.3">
      <c r="A4994" s="31" t="s">
        <v>770</v>
      </c>
      <c r="B4994" t="s">
        <v>201</v>
      </c>
      <c r="C4994" t="s">
        <v>123</v>
      </c>
      <c r="D4994" t="s">
        <v>209</v>
      </c>
      <c r="E4994" t="s">
        <v>112</v>
      </c>
      <c r="F4994" t="s">
        <v>114</v>
      </c>
      <c r="G4994" t="s">
        <v>81</v>
      </c>
      <c r="H4994" t="s">
        <v>1186</v>
      </c>
      <c r="I4994">
        <v>-2</v>
      </c>
      <c r="J4994">
        <v>18928.625</v>
      </c>
      <c r="K4994">
        <v>18458.25</v>
      </c>
      <c r="L4994">
        <v>75714.5</v>
      </c>
      <c r="M4994">
        <v>0</v>
      </c>
      <c r="N4994">
        <v>-75714.5</v>
      </c>
      <c r="O4994">
        <v>0</v>
      </c>
      <c r="P4994">
        <v>1881.5</v>
      </c>
      <c r="Q4994" t="s">
        <v>211</v>
      </c>
    </row>
    <row r="4995" spans="1:17" customFormat="1" x14ac:dyDescent="0.3">
      <c r="A4995" s="31" t="s">
        <v>770</v>
      </c>
      <c r="B4995" t="s">
        <v>201</v>
      </c>
      <c r="C4995" t="s">
        <v>123</v>
      </c>
      <c r="D4995" t="s">
        <v>209</v>
      </c>
      <c r="E4995" t="s">
        <v>112</v>
      </c>
      <c r="F4995" t="s">
        <v>114</v>
      </c>
      <c r="G4995" t="s">
        <v>81</v>
      </c>
      <c r="H4995" t="s">
        <v>1187</v>
      </c>
      <c r="I4995">
        <v>-1</v>
      </c>
      <c r="J4995">
        <v>18646</v>
      </c>
      <c r="K4995">
        <v>19271</v>
      </c>
      <c r="L4995">
        <v>37292</v>
      </c>
      <c r="M4995">
        <v>0</v>
      </c>
      <c r="N4995">
        <v>-37292</v>
      </c>
      <c r="O4995">
        <v>0</v>
      </c>
      <c r="P4995">
        <v>-1250</v>
      </c>
      <c r="Q4995" t="s">
        <v>215</v>
      </c>
    </row>
    <row r="4996" spans="1:17" customFormat="1" x14ac:dyDescent="0.3">
      <c r="A4996" s="31" t="s">
        <v>770</v>
      </c>
      <c r="B4996" t="s">
        <v>201</v>
      </c>
      <c r="C4996" t="s">
        <v>123</v>
      </c>
      <c r="D4996" t="s">
        <v>209</v>
      </c>
      <c r="E4996" t="s">
        <v>112</v>
      </c>
      <c r="F4996" t="s">
        <v>114</v>
      </c>
      <c r="G4996" t="s">
        <v>81</v>
      </c>
      <c r="H4996" t="s">
        <v>1188</v>
      </c>
      <c r="I4996">
        <v>1</v>
      </c>
      <c r="J4996">
        <v>19267</v>
      </c>
      <c r="K4996">
        <v>19447.25</v>
      </c>
      <c r="L4996">
        <v>-38534</v>
      </c>
      <c r="M4996">
        <v>0</v>
      </c>
      <c r="N4996">
        <v>39109.5</v>
      </c>
      <c r="O4996">
        <v>575.5</v>
      </c>
      <c r="P4996">
        <v>360.5</v>
      </c>
      <c r="Q4996" t="s">
        <v>3</v>
      </c>
    </row>
    <row r="4997" spans="1:17" customFormat="1" x14ac:dyDescent="0.3">
      <c r="A4997" s="31" t="s">
        <v>770</v>
      </c>
      <c r="B4997" t="s">
        <v>201</v>
      </c>
      <c r="C4997" t="s">
        <v>123</v>
      </c>
      <c r="D4997" t="s">
        <v>209</v>
      </c>
      <c r="E4997" t="s">
        <v>112</v>
      </c>
      <c r="F4997" t="s">
        <v>114</v>
      </c>
      <c r="G4997" t="s">
        <v>81</v>
      </c>
      <c r="H4997" t="s">
        <v>1189</v>
      </c>
      <c r="I4997">
        <v>2</v>
      </c>
      <c r="J4997">
        <v>19469.75</v>
      </c>
      <c r="K4997">
        <v>19447.25</v>
      </c>
      <c r="L4997">
        <v>-77879</v>
      </c>
      <c r="M4997">
        <v>0</v>
      </c>
      <c r="N4997">
        <v>77725</v>
      </c>
      <c r="O4997">
        <v>-154</v>
      </c>
      <c r="P4997">
        <v>-90</v>
      </c>
      <c r="Q4997" t="s">
        <v>3</v>
      </c>
    </row>
    <row r="4998" spans="1:17" customFormat="1" x14ac:dyDescent="0.3">
      <c r="A4998" s="31" t="s">
        <v>770</v>
      </c>
      <c r="B4998" t="s">
        <v>201</v>
      </c>
      <c r="C4998" t="s">
        <v>123</v>
      </c>
      <c r="D4998" t="s">
        <v>209</v>
      </c>
      <c r="E4998" t="s">
        <v>112</v>
      </c>
      <c r="F4998" t="s">
        <v>114</v>
      </c>
      <c r="G4998" t="s">
        <v>81</v>
      </c>
      <c r="H4998" t="s">
        <v>1190</v>
      </c>
      <c r="I4998">
        <v>-2</v>
      </c>
      <c r="J4998">
        <v>19435.5</v>
      </c>
      <c r="K4998">
        <v>19433</v>
      </c>
      <c r="L4998">
        <v>77742</v>
      </c>
      <c r="M4998">
        <v>0</v>
      </c>
      <c r="N4998">
        <v>-77742</v>
      </c>
      <c r="O4998">
        <v>0</v>
      </c>
      <c r="P4998">
        <v>10</v>
      </c>
      <c r="Q4998" t="s">
        <v>215</v>
      </c>
    </row>
    <row r="4999" spans="1:17" customFormat="1" x14ac:dyDescent="0.3">
      <c r="A4999" s="31" t="s">
        <v>770</v>
      </c>
      <c r="B4999" t="s">
        <v>201</v>
      </c>
      <c r="C4999" t="s">
        <v>123</v>
      </c>
      <c r="D4999" t="s">
        <v>209</v>
      </c>
      <c r="E4999" t="s">
        <v>112</v>
      </c>
      <c r="F4999" t="s">
        <v>114</v>
      </c>
      <c r="G4999" t="s">
        <v>81</v>
      </c>
      <c r="H4999" t="s">
        <v>1191</v>
      </c>
      <c r="I4999">
        <v>1</v>
      </c>
      <c r="J4999">
        <v>19448.75</v>
      </c>
      <c r="K4999">
        <v>19433</v>
      </c>
      <c r="L4999">
        <v>-38897.5</v>
      </c>
      <c r="M4999">
        <v>0</v>
      </c>
      <c r="N4999">
        <v>38942.5</v>
      </c>
      <c r="O4999">
        <v>45</v>
      </c>
      <c r="P4999">
        <v>-31.5</v>
      </c>
      <c r="Q4999" t="s">
        <v>3</v>
      </c>
    </row>
    <row r="5000" spans="1:17" customFormat="1" x14ac:dyDescent="0.3">
      <c r="A5000" s="31" t="s">
        <v>770</v>
      </c>
      <c r="B5000" t="s">
        <v>201</v>
      </c>
      <c r="C5000" t="s">
        <v>123</v>
      </c>
      <c r="D5000" t="s">
        <v>209</v>
      </c>
      <c r="E5000" t="s">
        <v>112</v>
      </c>
      <c r="F5000" t="s">
        <v>114</v>
      </c>
      <c r="G5000" t="s">
        <v>81</v>
      </c>
      <c r="H5000" t="s">
        <v>1192</v>
      </c>
      <c r="I5000">
        <v>7</v>
      </c>
      <c r="J5000">
        <v>19836.25</v>
      </c>
      <c r="K5000">
        <v>19850.25</v>
      </c>
      <c r="L5000">
        <v>-277707.5</v>
      </c>
      <c r="M5000">
        <v>0</v>
      </c>
      <c r="N5000">
        <v>267889</v>
      </c>
      <c r="O5000">
        <v>-9818.5</v>
      </c>
      <c r="P5000">
        <v>196</v>
      </c>
      <c r="Q5000" t="s">
        <v>230</v>
      </c>
    </row>
    <row r="5001" spans="1:17" customFormat="1" x14ac:dyDescent="0.3">
      <c r="A5001" s="31" t="s">
        <v>770</v>
      </c>
      <c r="B5001" t="s">
        <v>201</v>
      </c>
      <c r="C5001" t="s">
        <v>213</v>
      </c>
      <c r="E5001" t="s">
        <v>112</v>
      </c>
      <c r="F5001" t="s">
        <v>114</v>
      </c>
      <c r="G5001" t="s">
        <v>81</v>
      </c>
      <c r="I5001">
        <v>5</v>
      </c>
      <c r="L5001">
        <v>-202451.5</v>
      </c>
      <c r="M5001">
        <v>0</v>
      </c>
      <c r="N5001">
        <v>194066.5</v>
      </c>
      <c r="O5001">
        <v>-8385</v>
      </c>
      <c r="P5001">
        <v>2881.5</v>
      </c>
    </row>
    <row r="5002" spans="1:17" customFormat="1" x14ac:dyDescent="0.3">
      <c r="A5002" s="31" t="s">
        <v>770</v>
      </c>
      <c r="B5002" t="s">
        <v>201</v>
      </c>
      <c r="C5002" t="s">
        <v>123</v>
      </c>
      <c r="D5002" t="s">
        <v>209</v>
      </c>
      <c r="E5002" t="s">
        <v>112</v>
      </c>
      <c r="F5002" t="s">
        <v>114</v>
      </c>
      <c r="G5002" t="s">
        <v>1158</v>
      </c>
      <c r="H5002" t="s">
        <v>1193</v>
      </c>
      <c r="I5002">
        <v>-1</v>
      </c>
      <c r="J5002">
        <v>19621</v>
      </c>
      <c r="K5002">
        <v>19675.75</v>
      </c>
      <c r="L5002">
        <v>39242</v>
      </c>
      <c r="M5002">
        <v>0</v>
      </c>
      <c r="N5002">
        <v>-39242</v>
      </c>
      <c r="O5002">
        <v>0</v>
      </c>
      <c r="P5002">
        <v>-109.5</v>
      </c>
      <c r="Q5002" t="s">
        <v>215</v>
      </c>
    </row>
    <row r="5003" spans="1:17" customFormat="1" x14ac:dyDescent="0.3">
      <c r="A5003" s="31" t="s">
        <v>770</v>
      </c>
      <c r="B5003" t="s">
        <v>201</v>
      </c>
      <c r="C5003" t="s">
        <v>123</v>
      </c>
      <c r="D5003" t="s">
        <v>209</v>
      </c>
      <c r="E5003" t="s">
        <v>112</v>
      </c>
      <c r="F5003" t="s">
        <v>114</v>
      </c>
      <c r="G5003" t="s">
        <v>1158</v>
      </c>
      <c r="H5003" t="s">
        <v>1194</v>
      </c>
      <c r="I5003">
        <v>-7</v>
      </c>
      <c r="J5003">
        <v>20063.857142856999</v>
      </c>
      <c r="K5003">
        <v>20088</v>
      </c>
      <c r="L5003">
        <v>280894</v>
      </c>
      <c r="M5003">
        <v>0</v>
      </c>
      <c r="N5003">
        <v>-280894</v>
      </c>
      <c r="O5003">
        <v>0</v>
      </c>
      <c r="P5003">
        <v>-338</v>
      </c>
      <c r="Q5003" t="s">
        <v>211</v>
      </c>
    </row>
    <row r="5004" spans="1:17" customFormat="1" x14ac:dyDescent="0.3">
      <c r="A5004" s="31" t="s">
        <v>770</v>
      </c>
      <c r="B5004" t="s">
        <v>201</v>
      </c>
      <c r="C5004" t="s">
        <v>123</v>
      </c>
      <c r="D5004" t="s">
        <v>209</v>
      </c>
      <c r="E5004" t="s">
        <v>112</v>
      </c>
      <c r="F5004" t="s">
        <v>114</v>
      </c>
      <c r="G5004" t="s">
        <v>1158</v>
      </c>
      <c r="H5004" t="s">
        <v>1195</v>
      </c>
      <c r="I5004">
        <v>-2</v>
      </c>
      <c r="J5004">
        <v>20064</v>
      </c>
      <c r="K5004">
        <v>20088</v>
      </c>
      <c r="L5004">
        <v>80256</v>
      </c>
      <c r="M5004">
        <v>0</v>
      </c>
      <c r="N5004">
        <v>-80256</v>
      </c>
      <c r="O5004">
        <v>0</v>
      </c>
      <c r="P5004">
        <v>-96</v>
      </c>
      <c r="Q5004" t="s">
        <v>215</v>
      </c>
    </row>
    <row r="5005" spans="1:17" customFormat="1" x14ac:dyDescent="0.3">
      <c r="A5005" s="31" t="s">
        <v>770</v>
      </c>
      <c r="B5005" t="s">
        <v>201</v>
      </c>
      <c r="C5005" t="s">
        <v>123</v>
      </c>
      <c r="D5005" t="s">
        <v>209</v>
      </c>
      <c r="E5005" t="s">
        <v>112</v>
      </c>
      <c r="F5005" t="s">
        <v>114</v>
      </c>
      <c r="G5005" t="s">
        <v>1158</v>
      </c>
      <c r="H5005" t="s">
        <v>1196</v>
      </c>
      <c r="I5005">
        <v>1</v>
      </c>
      <c r="J5005">
        <v>20046</v>
      </c>
      <c r="K5005">
        <v>20028.25</v>
      </c>
      <c r="L5005">
        <v>-40092</v>
      </c>
      <c r="M5005">
        <v>0</v>
      </c>
      <c r="N5005">
        <v>39242</v>
      </c>
      <c r="O5005">
        <v>-850</v>
      </c>
      <c r="P5005">
        <v>-35.5</v>
      </c>
      <c r="Q5005" t="s">
        <v>3</v>
      </c>
    </row>
    <row r="5006" spans="1:17" customFormat="1" x14ac:dyDescent="0.3">
      <c r="A5006" s="31" t="s">
        <v>770</v>
      </c>
      <c r="B5006" t="s">
        <v>201</v>
      </c>
      <c r="C5006" t="s">
        <v>123</v>
      </c>
      <c r="D5006" t="s">
        <v>209</v>
      </c>
      <c r="E5006" t="s">
        <v>112</v>
      </c>
      <c r="F5006" t="s">
        <v>114</v>
      </c>
      <c r="G5006" t="s">
        <v>1158</v>
      </c>
      <c r="H5006" t="s">
        <v>1197</v>
      </c>
      <c r="I5006">
        <v>-1</v>
      </c>
      <c r="J5006">
        <v>19998</v>
      </c>
      <c r="K5006">
        <v>20167.75</v>
      </c>
      <c r="L5006">
        <v>39996</v>
      </c>
      <c r="M5006">
        <v>0</v>
      </c>
      <c r="N5006">
        <v>-39996</v>
      </c>
      <c r="O5006">
        <v>0</v>
      </c>
      <c r="P5006">
        <v>-339.5</v>
      </c>
      <c r="Q5006" t="s">
        <v>215</v>
      </c>
    </row>
    <row r="5007" spans="1:17" customFormat="1" x14ac:dyDescent="0.3">
      <c r="A5007" s="31" t="s">
        <v>770</v>
      </c>
      <c r="B5007" t="s">
        <v>201</v>
      </c>
      <c r="C5007" t="s">
        <v>123</v>
      </c>
      <c r="D5007" t="s">
        <v>209</v>
      </c>
      <c r="E5007" t="s">
        <v>112</v>
      </c>
      <c r="F5007" t="s">
        <v>114</v>
      </c>
      <c r="G5007" t="s">
        <v>1158</v>
      </c>
      <c r="H5007" t="s">
        <v>1198</v>
      </c>
      <c r="I5007">
        <v>1</v>
      </c>
      <c r="J5007">
        <v>20102.75</v>
      </c>
      <c r="K5007">
        <v>20167.75</v>
      </c>
      <c r="L5007">
        <v>-40205.5</v>
      </c>
      <c r="M5007">
        <v>0</v>
      </c>
      <c r="N5007">
        <v>40128</v>
      </c>
      <c r="O5007">
        <v>-77.5</v>
      </c>
      <c r="P5007">
        <v>130</v>
      </c>
      <c r="Q5007" t="s">
        <v>3</v>
      </c>
    </row>
    <row r="5008" spans="1:17" customFormat="1" x14ac:dyDescent="0.3">
      <c r="A5008" s="31" t="s">
        <v>770</v>
      </c>
      <c r="B5008" t="s">
        <v>201</v>
      </c>
      <c r="C5008" t="s">
        <v>123</v>
      </c>
      <c r="D5008" t="s">
        <v>209</v>
      </c>
      <c r="E5008" t="s">
        <v>112</v>
      </c>
      <c r="F5008" t="s">
        <v>114</v>
      </c>
      <c r="G5008" t="s">
        <v>1158</v>
      </c>
      <c r="H5008" t="s">
        <v>1199</v>
      </c>
      <c r="I5008">
        <v>1</v>
      </c>
      <c r="J5008">
        <v>20194</v>
      </c>
      <c r="K5008">
        <v>20192</v>
      </c>
      <c r="L5008">
        <v>-40388</v>
      </c>
      <c r="M5008">
        <v>0</v>
      </c>
      <c r="N5008">
        <v>40128</v>
      </c>
      <c r="O5008">
        <v>-260</v>
      </c>
      <c r="P5008">
        <v>-4</v>
      </c>
      <c r="Q5008" t="s">
        <v>3</v>
      </c>
    </row>
    <row r="5009" spans="1:17" customFormat="1" x14ac:dyDescent="0.3">
      <c r="A5009" s="31" t="s">
        <v>770</v>
      </c>
      <c r="B5009" t="s">
        <v>201</v>
      </c>
      <c r="C5009" t="s">
        <v>123</v>
      </c>
      <c r="D5009" t="s">
        <v>209</v>
      </c>
      <c r="E5009" t="s">
        <v>112</v>
      </c>
      <c r="F5009" t="s">
        <v>114</v>
      </c>
      <c r="G5009" t="s">
        <v>1158</v>
      </c>
      <c r="H5009" t="s">
        <v>1200</v>
      </c>
      <c r="I5009">
        <v>1</v>
      </c>
      <c r="J5009">
        <v>20419.5</v>
      </c>
      <c r="K5009">
        <v>20346.25</v>
      </c>
      <c r="L5009">
        <v>-40839</v>
      </c>
      <c r="M5009">
        <v>0</v>
      </c>
      <c r="N5009">
        <v>40128</v>
      </c>
      <c r="O5009">
        <v>-711</v>
      </c>
      <c r="P5009">
        <v>-146.5</v>
      </c>
      <c r="Q5009" t="s">
        <v>3</v>
      </c>
    </row>
    <row r="5010" spans="1:17" customFormat="1" x14ac:dyDescent="0.3">
      <c r="A5010" s="31" t="s">
        <v>770</v>
      </c>
      <c r="B5010" t="s">
        <v>201</v>
      </c>
      <c r="C5010" t="s">
        <v>123</v>
      </c>
      <c r="D5010" t="s">
        <v>209</v>
      </c>
      <c r="E5010" t="s">
        <v>112</v>
      </c>
      <c r="F5010" t="s">
        <v>114</v>
      </c>
      <c r="G5010" t="s">
        <v>1158</v>
      </c>
      <c r="H5010" t="s">
        <v>1201</v>
      </c>
      <c r="I5010">
        <v>-1</v>
      </c>
      <c r="J5010">
        <v>20124.25</v>
      </c>
      <c r="K5010">
        <v>20261.25</v>
      </c>
      <c r="L5010">
        <v>40248.5</v>
      </c>
      <c r="M5010">
        <v>0</v>
      </c>
      <c r="N5010">
        <v>-40248.5</v>
      </c>
      <c r="O5010">
        <v>0</v>
      </c>
      <c r="P5010">
        <v>-274</v>
      </c>
      <c r="Q5010" t="s">
        <v>215</v>
      </c>
    </row>
    <row r="5011" spans="1:17" customFormat="1" x14ac:dyDescent="0.3">
      <c r="A5011" s="31" t="s">
        <v>770</v>
      </c>
      <c r="B5011" t="s">
        <v>201</v>
      </c>
      <c r="C5011" t="s">
        <v>213</v>
      </c>
      <c r="E5011" t="s">
        <v>112</v>
      </c>
      <c r="F5011" t="s">
        <v>114</v>
      </c>
      <c r="G5011" t="s">
        <v>1158</v>
      </c>
      <c r="I5011">
        <v>-8</v>
      </c>
      <c r="L5011">
        <v>319112</v>
      </c>
      <c r="M5011">
        <v>0</v>
      </c>
      <c r="N5011">
        <v>-321010.5</v>
      </c>
      <c r="O5011">
        <v>-1898.5</v>
      </c>
      <c r="P5011">
        <v>-1213</v>
      </c>
    </row>
    <row r="5012" spans="1:17" customFormat="1" x14ac:dyDescent="0.3">
      <c r="A5012" s="31" t="s">
        <v>770</v>
      </c>
      <c r="B5012" t="s">
        <v>201</v>
      </c>
      <c r="C5012" t="s">
        <v>97</v>
      </c>
      <c r="E5012" t="s">
        <v>112</v>
      </c>
      <c r="F5012" t="s">
        <v>114</v>
      </c>
      <c r="L5012">
        <v>6504.25</v>
      </c>
      <c r="M5012">
        <v>0</v>
      </c>
      <c r="N5012">
        <v>-18869</v>
      </c>
      <c r="O5012">
        <v>-12364.75</v>
      </c>
      <c r="P5012">
        <v>2352.25</v>
      </c>
      <c r="Q5012" t="s">
        <v>257</v>
      </c>
    </row>
    <row r="5013" spans="1:17" customFormat="1" x14ac:dyDescent="0.3">
      <c r="A5013" s="31" t="s">
        <v>770</v>
      </c>
      <c r="B5013" t="s">
        <v>266</v>
      </c>
      <c r="C5013" t="s">
        <v>120</v>
      </c>
      <c r="D5013" t="s">
        <v>267</v>
      </c>
      <c r="E5013" t="s">
        <v>181</v>
      </c>
      <c r="F5013" t="s">
        <v>268</v>
      </c>
      <c r="G5013" t="s">
        <v>269</v>
      </c>
      <c r="H5013" t="s">
        <v>270</v>
      </c>
    </row>
    <row r="5014" spans="1:17" customFormat="1" x14ac:dyDescent="0.3">
      <c r="A5014" s="31" t="s">
        <v>770</v>
      </c>
      <c r="B5014" t="s">
        <v>266</v>
      </c>
      <c r="C5014" t="s">
        <v>123</v>
      </c>
      <c r="D5014" t="s">
        <v>1154</v>
      </c>
      <c r="E5014" t="s">
        <v>114</v>
      </c>
      <c r="F5014" s="1">
        <v>45545</v>
      </c>
      <c r="G5014" t="s">
        <v>1202</v>
      </c>
      <c r="H5014">
        <v>-0.6</v>
      </c>
    </row>
    <row r="5015" spans="1:17" customFormat="1" x14ac:dyDescent="0.3">
      <c r="A5015" s="31" t="s">
        <v>770</v>
      </c>
      <c r="B5015" t="s">
        <v>266</v>
      </c>
      <c r="C5015" t="s">
        <v>123</v>
      </c>
      <c r="D5015" t="s">
        <v>97</v>
      </c>
      <c r="H5015">
        <v>-0.6</v>
      </c>
    </row>
    <row r="5016" spans="1:17" customFormat="1" x14ac:dyDescent="0.3">
      <c r="A5016" s="31" t="s">
        <v>770</v>
      </c>
      <c r="B5016" t="s">
        <v>157</v>
      </c>
      <c r="C5016" t="s">
        <v>120</v>
      </c>
      <c r="D5016" t="s">
        <v>181</v>
      </c>
      <c r="E5016" t="s">
        <v>268</v>
      </c>
      <c r="F5016" t="s">
        <v>269</v>
      </c>
      <c r="G5016" t="s">
        <v>270</v>
      </c>
    </row>
    <row r="5017" spans="1:17" customFormat="1" x14ac:dyDescent="0.3">
      <c r="A5017" s="31" t="s">
        <v>770</v>
      </c>
      <c r="B5017" t="s">
        <v>157</v>
      </c>
      <c r="C5017" t="s">
        <v>123</v>
      </c>
      <c r="D5017" t="s">
        <v>114</v>
      </c>
      <c r="E5017" s="1">
        <v>45540</v>
      </c>
      <c r="F5017" t="s">
        <v>679</v>
      </c>
      <c r="G5017">
        <v>1</v>
      </c>
    </row>
    <row r="5018" spans="1:17" customFormat="1" x14ac:dyDescent="0.3">
      <c r="A5018" s="31" t="s">
        <v>770</v>
      </c>
      <c r="B5018" t="s">
        <v>157</v>
      </c>
      <c r="C5018" t="s">
        <v>123</v>
      </c>
      <c r="D5018" t="s">
        <v>114</v>
      </c>
      <c r="E5018" s="1">
        <v>45541</v>
      </c>
      <c r="F5018" t="s">
        <v>671</v>
      </c>
      <c r="G5018">
        <v>8.5</v>
      </c>
    </row>
    <row r="5019" spans="1:17" customFormat="1" x14ac:dyDescent="0.3">
      <c r="A5019" s="31" t="s">
        <v>770</v>
      </c>
      <c r="B5019" t="s">
        <v>157</v>
      </c>
      <c r="C5019" t="s">
        <v>123</v>
      </c>
      <c r="D5019" t="s">
        <v>114</v>
      </c>
      <c r="E5019" s="1">
        <v>45545</v>
      </c>
      <c r="F5019" t="s">
        <v>915</v>
      </c>
      <c r="G5019">
        <v>13</v>
      </c>
    </row>
    <row r="5020" spans="1:17" customFormat="1" x14ac:dyDescent="0.3">
      <c r="A5020" s="31" t="s">
        <v>770</v>
      </c>
      <c r="B5020" t="s">
        <v>157</v>
      </c>
      <c r="C5020" t="s">
        <v>123</v>
      </c>
      <c r="D5020" t="s">
        <v>114</v>
      </c>
      <c r="E5020" s="1">
        <v>45547</v>
      </c>
      <c r="F5020" t="s">
        <v>670</v>
      </c>
      <c r="G5020">
        <v>45.75</v>
      </c>
    </row>
    <row r="5021" spans="1:17" customFormat="1" x14ac:dyDescent="0.3">
      <c r="A5021" s="31" t="s">
        <v>770</v>
      </c>
      <c r="B5021" t="s">
        <v>157</v>
      </c>
      <c r="C5021" t="s">
        <v>123</v>
      </c>
      <c r="D5021" t="s">
        <v>114</v>
      </c>
      <c r="E5021" s="1">
        <v>45551</v>
      </c>
      <c r="F5021" t="s">
        <v>916</v>
      </c>
      <c r="G5021">
        <v>20</v>
      </c>
    </row>
    <row r="5022" spans="1:17" customFormat="1" x14ac:dyDescent="0.3">
      <c r="A5022" s="31" t="s">
        <v>770</v>
      </c>
      <c r="B5022" t="s">
        <v>157</v>
      </c>
      <c r="C5022" t="s">
        <v>123</v>
      </c>
      <c r="D5022" t="s">
        <v>114</v>
      </c>
      <c r="E5022" s="1">
        <v>45560</v>
      </c>
      <c r="F5022" t="s">
        <v>1203</v>
      </c>
      <c r="G5022">
        <v>29.29</v>
      </c>
    </row>
    <row r="5023" spans="1:17" customFormat="1" x14ac:dyDescent="0.3">
      <c r="A5023" s="31" t="s">
        <v>770</v>
      </c>
      <c r="B5023" t="s">
        <v>157</v>
      </c>
      <c r="C5023" t="s">
        <v>123</v>
      </c>
      <c r="D5023" t="s">
        <v>114</v>
      </c>
      <c r="E5023" s="1">
        <v>45560</v>
      </c>
      <c r="F5023" t="s">
        <v>1204</v>
      </c>
      <c r="G5023">
        <v>72.75</v>
      </c>
    </row>
    <row r="5024" spans="1:17" customFormat="1" x14ac:dyDescent="0.3">
      <c r="A5024" s="31" t="s">
        <v>770</v>
      </c>
      <c r="B5024" t="s">
        <v>157</v>
      </c>
      <c r="C5024" t="s">
        <v>123</v>
      </c>
      <c r="D5024" t="s">
        <v>114</v>
      </c>
      <c r="E5024" s="1">
        <v>45560</v>
      </c>
      <c r="F5024" t="s">
        <v>1205</v>
      </c>
      <c r="G5024">
        <v>33.06</v>
      </c>
    </row>
    <row r="5025" spans="1:8" customFormat="1" x14ac:dyDescent="0.3">
      <c r="A5025" s="31" t="s">
        <v>770</v>
      </c>
      <c r="B5025" t="s">
        <v>157</v>
      </c>
      <c r="C5025" t="s">
        <v>123</v>
      </c>
      <c r="D5025" t="s">
        <v>114</v>
      </c>
      <c r="E5025" s="1">
        <v>45560</v>
      </c>
      <c r="F5025" t="s">
        <v>1206</v>
      </c>
      <c r="G5025">
        <v>34.479999999999997</v>
      </c>
    </row>
    <row r="5026" spans="1:8" customFormat="1" x14ac:dyDescent="0.3">
      <c r="A5026" s="31" t="s">
        <v>770</v>
      </c>
      <c r="B5026" t="s">
        <v>157</v>
      </c>
      <c r="C5026" t="s">
        <v>123</v>
      </c>
      <c r="D5026" t="s">
        <v>114</v>
      </c>
      <c r="E5026" s="1">
        <v>45560</v>
      </c>
      <c r="F5026" t="s">
        <v>1207</v>
      </c>
      <c r="G5026">
        <v>59.78</v>
      </c>
    </row>
    <row r="5027" spans="1:8" customFormat="1" x14ac:dyDescent="0.3">
      <c r="A5027" s="31" t="s">
        <v>770</v>
      </c>
      <c r="B5027" t="s">
        <v>157</v>
      </c>
      <c r="C5027" t="s">
        <v>123</v>
      </c>
      <c r="D5027" t="s">
        <v>114</v>
      </c>
      <c r="E5027" s="1">
        <v>45560</v>
      </c>
      <c r="F5027" t="s">
        <v>1208</v>
      </c>
      <c r="G5027">
        <v>178.03</v>
      </c>
    </row>
    <row r="5028" spans="1:8" customFormat="1" x14ac:dyDescent="0.3">
      <c r="A5028" s="31" t="s">
        <v>770</v>
      </c>
      <c r="B5028" t="s">
        <v>157</v>
      </c>
      <c r="C5028" t="s">
        <v>123</v>
      </c>
      <c r="D5028" t="s">
        <v>114</v>
      </c>
      <c r="E5028" s="1">
        <v>45560</v>
      </c>
      <c r="F5028" t="s">
        <v>1209</v>
      </c>
      <c r="G5028">
        <v>34.630000000000003</v>
      </c>
    </row>
    <row r="5029" spans="1:8" customFormat="1" x14ac:dyDescent="0.3">
      <c r="A5029" s="31" t="s">
        <v>770</v>
      </c>
      <c r="B5029" t="s">
        <v>157</v>
      </c>
      <c r="C5029" t="s">
        <v>123</v>
      </c>
      <c r="D5029" t="s">
        <v>114</v>
      </c>
      <c r="E5029" s="1">
        <v>45560</v>
      </c>
      <c r="F5029" t="s">
        <v>1210</v>
      </c>
      <c r="G5029">
        <v>20.23</v>
      </c>
    </row>
    <row r="5030" spans="1:8" customFormat="1" x14ac:dyDescent="0.3">
      <c r="A5030" s="31" t="s">
        <v>770</v>
      </c>
      <c r="B5030" t="s">
        <v>157</v>
      </c>
      <c r="C5030" t="s">
        <v>123</v>
      </c>
      <c r="D5030" t="s">
        <v>114</v>
      </c>
      <c r="E5030" s="1">
        <v>45561</v>
      </c>
      <c r="F5030" t="s">
        <v>678</v>
      </c>
      <c r="G5030">
        <v>7.5</v>
      </c>
    </row>
    <row r="5031" spans="1:8" customFormat="1" x14ac:dyDescent="0.3">
      <c r="A5031" s="31" t="s">
        <v>770</v>
      </c>
      <c r="B5031" t="s">
        <v>157</v>
      </c>
      <c r="C5031" t="s">
        <v>123</v>
      </c>
      <c r="D5031" t="s">
        <v>114</v>
      </c>
      <c r="E5031" s="1">
        <v>45561</v>
      </c>
      <c r="F5031" t="s">
        <v>917</v>
      </c>
      <c r="G5031">
        <v>29.75</v>
      </c>
    </row>
    <row r="5032" spans="1:8" customFormat="1" x14ac:dyDescent="0.3">
      <c r="A5032" s="31" t="s">
        <v>770</v>
      </c>
      <c r="B5032" t="s">
        <v>157</v>
      </c>
      <c r="C5032" t="s">
        <v>123</v>
      </c>
      <c r="D5032" t="s">
        <v>114</v>
      </c>
      <c r="E5032" s="1">
        <v>45562</v>
      </c>
      <c r="F5032" t="s">
        <v>1211</v>
      </c>
      <c r="G5032">
        <v>26</v>
      </c>
    </row>
    <row r="5033" spans="1:8" customFormat="1" x14ac:dyDescent="0.3">
      <c r="A5033" s="31" t="s">
        <v>770</v>
      </c>
      <c r="B5033" t="s">
        <v>157</v>
      </c>
      <c r="C5033" t="s">
        <v>123</v>
      </c>
      <c r="D5033" t="s">
        <v>114</v>
      </c>
      <c r="E5033" s="1">
        <v>45562</v>
      </c>
      <c r="F5033" t="s">
        <v>1212</v>
      </c>
      <c r="G5033">
        <v>52.28</v>
      </c>
    </row>
    <row r="5034" spans="1:8" customFormat="1" x14ac:dyDescent="0.3">
      <c r="A5034" s="31" t="s">
        <v>770</v>
      </c>
      <c r="B5034" t="s">
        <v>157</v>
      </c>
      <c r="C5034" t="s">
        <v>123</v>
      </c>
      <c r="D5034" t="s">
        <v>114</v>
      </c>
      <c r="E5034" s="1">
        <v>45562</v>
      </c>
      <c r="F5034" t="s">
        <v>1213</v>
      </c>
      <c r="G5034">
        <v>42.53</v>
      </c>
    </row>
    <row r="5035" spans="1:8" customFormat="1" x14ac:dyDescent="0.3">
      <c r="A5035" s="31" t="s">
        <v>770</v>
      </c>
      <c r="B5035" t="s">
        <v>157</v>
      </c>
      <c r="C5035" t="s">
        <v>123</v>
      </c>
      <c r="D5035" t="s">
        <v>114</v>
      </c>
      <c r="E5035" s="1">
        <v>45565</v>
      </c>
      <c r="F5035" t="s">
        <v>1214</v>
      </c>
      <c r="G5035">
        <v>18.55</v>
      </c>
    </row>
    <row r="5036" spans="1:8" customFormat="1" x14ac:dyDescent="0.3">
      <c r="A5036" s="31" t="s">
        <v>770</v>
      </c>
      <c r="B5036" t="s">
        <v>157</v>
      </c>
      <c r="C5036" t="s">
        <v>123</v>
      </c>
      <c r="D5036" t="s">
        <v>114</v>
      </c>
      <c r="E5036" s="1">
        <v>45565</v>
      </c>
      <c r="F5036" t="s">
        <v>1215</v>
      </c>
      <c r="G5036">
        <v>17.5</v>
      </c>
    </row>
    <row r="5037" spans="1:8" customFormat="1" x14ac:dyDescent="0.3">
      <c r="A5037" s="31" t="s">
        <v>770</v>
      </c>
      <c r="B5037" t="s">
        <v>157</v>
      </c>
      <c r="C5037" t="s">
        <v>123</v>
      </c>
      <c r="D5037" t="s">
        <v>114</v>
      </c>
      <c r="E5037" s="1">
        <v>45565</v>
      </c>
      <c r="F5037" t="s">
        <v>1216</v>
      </c>
      <c r="G5037">
        <v>27.62</v>
      </c>
    </row>
    <row r="5038" spans="1:8" customFormat="1" x14ac:dyDescent="0.3">
      <c r="A5038" s="31" t="s">
        <v>770</v>
      </c>
      <c r="B5038" t="s">
        <v>157</v>
      </c>
      <c r="C5038" t="s">
        <v>123</v>
      </c>
      <c r="D5038" t="s">
        <v>114</v>
      </c>
      <c r="E5038" s="1">
        <v>45565</v>
      </c>
      <c r="F5038" t="s">
        <v>1217</v>
      </c>
      <c r="G5038">
        <v>12.6</v>
      </c>
    </row>
    <row r="5039" spans="1:8" customFormat="1" x14ac:dyDescent="0.3">
      <c r="A5039" s="31" t="s">
        <v>770</v>
      </c>
      <c r="B5039" t="s">
        <v>157</v>
      </c>
      <c r="C5039" t="s">
        <v>123</v>
      </c>
      <c r="D5039" t="s">
        <v>97</v>
      </c>
      <c r="G5039">
        <v>784.83</v>
      </c>
    </row>
    <row r="5040" spans="1:8" customFormat="1" x14ac:dyDescent="0.3">
      <c r="A5040" s="31" t="s">
        <v>770</v>
      </c>
      <c r="B5040" t="s">
        <v>158</v>
      </c>
      <c r="C5040" t="s">
        <v>120</v>
      </c>
      <c r="D5040" t="s">
        <v>181</v>
      </c>
      <c r="E5040" t="s">
        <v>268</v>
      </c>
      <c r="F5040" t="s">
        <v>269</v>
      </c>
      <c r="G5040" t="s">
        <v>270</v>
      </c>
      <c r="H5040" t="s">
        <v>165</v>
      </c>
    </row>
    <row r="5041" spans="1:7" customFormat="1" x14ac:dyDescent="0.3">
      <c r="A5041" s="31" t="s">
        <v>770</v>
      </c>
      <c r="B5041" t="s">
        <v>158</v>
      </c>
      <c r="C5041" t="s">
        <v>123</v>
      </c>
      <c r="D5041" t="s">
        <v>114</v>
      </c>
      <c r="E5041" s="1">
        <v>45540</v>
      </c>
      <c r="F5041" t="s">
        <v>690</v>
      </c>
      <c r="G5041">
        <v>-0.25</v>
      </c>
    </row>
    <row r="5042" spans="1:7" customFormat="1" x14ac:dyDescent="0.3">
      <c r="A5042" s="31" t="s">
        <v>770</v>
      </c>
      <c r="B5042" t="s">
        <v>158</v>
      </c>
      <c r="C5042" t="s">
        <v>123</v>
      </c>
      <c r="D5042" t="s">
        <v>114</v>
      </c>
      <c r="E5042" s="1">
        <v>45541</v>
      </c>
      <c r="F5042" t="s">
        <v>682</v>
      </c>
      <c r="G5042">
        <v>-2.13</v>
      </c>
    </row>
    <row r="5043" spans="1:7" customFormat="1" x14ac:dyDescent="0.3">
      <c r="A5043" s="31" t="s">
        <v>770</v>
      </c>
      <c r="B5043" t="s">
        <v>158</v>
      </c>
      <c r="C5043" t="s">
        <v>123</v>
      </c>
      <c r="D5043" t="s">
        <v>114</v>
      </c>
      <c r="E5043" s="1">
        <v>45545</v>
      </c>
      <c r="F5043" t="s">
        <v>927</v>
      </c>
      <c r="G5043">
        <v>-3.25</v>
      </c>
    </row>
    <row r="5044" spans="1:7" customFormat="1" x14ac:dyDescent="0.3">
      <c r="A5044" s="31" t="s">
        <v>770</v>
      </c>
      <c r="B5044" t="s">
        <v>158</v>
      </c>
      <c r="C5044" t="s">
        <v>123</v>
      </c>
      <c r="D5044" t="s">
        <v>114</v>
      </c>
      <c r="E5044" s="1">
        <v>45547</v>
      </c>
      <c r="F5044" t="s">
        <v>681</v>
      </c>
      <c r="G5044">
        <v>-11.44</v>
      </c>
    </row>
    <row r="5045" spans="1:7" customFormat="1" x14ac:dyDescent="0.3">
      <c r="A5045" s="31" t="s">
        <v>770</v>
      </c>
      <c r="B5045" t="s">
        <v>158</v>
      </c>
      <c r="C5045" t="s">
        <v>123</v>
      </c>
      <c r="D5045" t="s">
        <v>114</v>
      </c>
      <c r="E5045" s="1">
        <v>45551</v>
      </c>
      <c r="F5045" t="s">
        <v>928</v>
      </c>
      <c r="G5045">
        <v>-5</v>
      </c>
    </row>
    <row r="5046" spans="1:7" customFormat="1" x14ac:dyDescent="0.3">
      <c r="A5046" s="31" t="s">
        <v>770</v>
      </c>
      <c r="B5046" t="s">
        <v>158</v>
      </c>
      <c r="C5046" t="s">
        <v>123</v>
      </c>
      <c r="D5046" t="s">
        <v>114</v>
      </c>
      <c r="E5046" s="1">
        <v>45560</v>
      </c>
      <c r="F5046" t="s">
        <v>1218</v>
      </c>
      <c r="G5046">
        <v>-7.32</v>
      </c>
    </row>
    <row r="5047" spans="1:7" customFormat="1" x14ac:dyDescent="0.3">
      <c r="A5047" s="31" t="s">
        <v>770</v>
      </c>
      <c r="B5047" t="s">
        <v>158</v>
      </c>
      <c r="C5047" t="s">
        <v>123</v>
      </c>
      <c r="D5047" t="s">
        <v>114</v>
      </c>
      <c r="E5047" s="1">
        <v>45560</v>
      </c>
      <c r="F5047" t="s">
        <v>1219</v>
      </c>
      <c r="G5047">
        <v>-18.190000000000001</v>
      </c>
    </row>
    <row r="5048" spans="1:7" customFormat="1" x14ac:dyDescent="0.3">
      <c r="A5048" s="31" t="s">
        <v>770</v>
      </c>
      <c r="B5048" t="s">
        <v>158</v>
      </c>
      <c r="C5048" t="s">
        <v>123</v>
      </c>
      <c r="D5048" t="s">
        <v>114</v>
      </c>
      <c r="E5048" s="1">
        <v>45560</v>
      </c>
      <c r="F5048" t="s">
        <v>1220</v>
      </c>
      <c r="G5048">
        <v>-8.27</v>
      </c>
    </row>
    <row r="5049" spans="1:7" customFormat="1" x14ac:dyDescent="0.3">
      <c r="A5049" s="31" t="s">
        <v>770</v>
      </c>
      <c r="B5049" t="s">
        <v>158</v>
      </c>
      <c r="C5049" t="s">
        <v>123</v>
      </c>
      <c r="D5049" t="s">
        <v>114</v>
      </c>
      <c r="E5049" s="1">
        <v>45560</v>
      </c>
      <c r="F5049" t="s">
        <v>1221</v>
      </c>
      <c r="G5049">
        <v>-8.6199999999999992</v>
      </c>
    </row>
    <row r="5050" spans="1:7" customFormat="1" x14ac:dyDescent="0.3">
      <c r="A5050" s="31" t="s">
        <v>770</v>
      </c>
      <c r="B5050" t="s">
        <v>158</v>
      </c>
      <c r="C5050" t="s">
        <v>123</v>
      </c>
      <c r="D5050" t="s">
        <v>114</v>
      </c>
      <c r="E5050" s="1">
        <v>45560</v>
      </c>
      <c r="F5050" t="s">
        <v>1222</v>
      </c>
      <c r="G5050">
        <v>-14.95</v>
      </c>
    </row>
    <row r="5051" spans="1:7" customFormat="1" x14ac:dyDescent="0.3">
      <c r="A5051" s="31" t="s">
        <v>770</v>
      </c>
      <c r="B5051" t="s">
        <v>158</v>
      </c>
      <c r="C5051" t="s">
        <v>123</v>
      </c>
      <c r="D5051" t="s">
        <v>114</v>
      </c>
      <c r="E5051" s="1">
        <v>45560</v>
      </c>
      <c r="F5051" t="s">
        <v>1223</v>
      </c>
      <c r="G5051">
        <v>-44.51</v>
      </c>
    </row>
    <row r="5052" spans="1:7" customFormat="1" x14ac:dyDescent="0.3">
      <c r="A5052" s="31" t="s">
        <v>770</v>
      </c>
      <c r="B5052" t="s">
        <v>158</v>
      </c>
      <c r="C5052" t="s">
        <v>123</v>
      </c>
      <c r="D5052" t="s">
        <v>114</v>
      </c>
      <c r="E5052" s="1">
        <v>45560</v>
      </c>
      <c r="F5052" t="s">
        <v>1224</v>
      </c>
      <c r="G5052">
        <v>-8.66</v>
      </c>
    </row>
    <row r="5053" spans="1:7" customFormat="1" x14ac:dyDescent="0.3">
      <c r="A5053" s="31" t="s">
        <v>770</v>
      </c>
      <c r="B5053" t="s">
        <v>158</v>
      </c>
      <c r="C5053" t="s">
        <v>123</v>
      </c>
      <c r="D5053" t="s">
        <v>114</v>
      </c>
      <c r="E5053" s="1">
        <v>45560</v>
      </c>
      <c r="F5053" t="s">
        <v>1225</v>
      </c>
      <c r="G5053">
        <v>-5.0599999999999996</v>
      </c>
    </row>
    <row r="5054" spans="1:7" customFormat="1" x14ac:dyDescent="0.3">
      <c r="A5054" s="31" t="s">
        <v>770</v>
      </c>
      <c r="B5054" t="s">
        <v>158</v>
      </c>
      <c r="C5054" t="s">
        <v>123</v>
      </c>
      <c r="D5054" t="s">
        <v>114</v>
      </c>
      <c r="E5054" s="1">
        <v>45561</v>
      </c>
      <c r="F5054" t="s">
        <v>689</v>
      </c>
      <c r="G5054">
        <v>-1.88</v>
      </c>
    </row>
    <row r="5055" spans="1:7" customFormat="1" x14ac:dyDescent="0.3">
      <c r="A5055" s="31" t="s">
        <v>770</v>
      </c>
      <c r="B5055" t="s">
        <v>158</v>
      </c>
      <c r="C5055" t="s">
        <v>123</v>
      </c>
      <c r="D5055" t="s">
        <v>114</v>
      </c>
      <c r="E5055" s="1">
        <v>45561</v>
      </c>
      <c r="F5055" t="s">
        <v>929</v>
      </c>
      <c r="G5055">
        <v>-7.44</v>
      </c>
    </row>
    <row r="5056" spans="1:7" customFormat="1" x14ac:dyDescent="0.3">
      <c r="A5056" s="31" t="s">
        <v>770</v>
      </c>
      <c r="B5056" t="s">
        <v>158</v>
      </c>
      <c r="C5056" t="s">
        <v>123</v>
      </c>
      <c r="D5056" t="s">
        <v>114</v>
      </c>
      <c r="E5056" s="1">
        <v>45562</v>
      </c>
      <c r="F5056" t="s">
        <v>1226</v>
      </c>
      <c r="G5056">
        <v>-6.5</v>
      </c>
    </row>
    <row r="5057" spans="1:7" customFormat="1" x14ac:dyDescent="0.3">
      <c r="A5057" s="31" t="s">
        <v>770</v>
      </c>
      <c r="B5057" t="s">
        <v>158</v>
      </c>
      <c r="C5057" t="s">
        <v>123</v>
      </c>
      <c r="D5057" t="s">
        <v>114</v>
      </c>
      <c r="E5057" s="1">
        <v>45562</v>
      </c>
      <c r="F5057" t="s">
        <v>1227</v>
      </c>
      <c r="G5057">
        <v>-13.07</v>
      </c>
    </row>
    <row r="5058" spans="1:7" customFormat="1" x14ac:dyDescent="0.3">
      <c r="A5058" s="31" t="s">
        <v>770</v>
      </c>
      <c r="B5058" t="s">
        <v>158</v>
      </c>
      <c r="C5058" t="s">
        <v>123</v>
      </c>
      <c r="D5058" t="s">
        <v>114</v>
      </c>
      <c r="E5058" s="1">
        <v>45562</v>
      </c>
      <c r="F5058" t="s">
        <v>1228</v>
      </c>
      <c r="G5058">
        <v>-10.63</v>
      </c>
    </row>
    <row r="5059" spans="1:7" customFormat="1" x14ac:dyDescent="0.3">
      <c r="A5059" s="31" t="s">
        <v>770</v>
      </c>
      <c r="B5059" t="s">
        <v>158</v>
      </c>
      <c r="C5059" t="s">
        <v>123</v>
      </c>
      <c r="D5059" t="s">
        <v>114</v>
      </c>
      <c r="E5059" s="1">
        <v>45565</v>
      </c>
      <c r="F5059" t="s">
        <v>1229</v>
      </c>
      <c r="G5059">
        <v>-4.6399999999999997</v>
      </c>
    </row>
    <row r="5060" spans="1:7" customFormat="1" x14ac:dyDescent="0.3">
      <c r="A5060" s="31" t="s">
        <v>770</v>
      </c>
      <c r="B5060" t="s">
        <v>158</v>
      </c>
      <c r="C5060" t="s">
        <v>123</v>
      </c>
      <c r="D5060" t="s">
        <v>114</v>
      </c>
      <c r="E5060" s="1">
        <v>45565</v>
      </c>
      <c r="F5060" t="s">
        <v>1230</v>
      </c>
      <c r="G5060">
        <v>-4.38</v>
      </c>
    </row>
    <row r="5061" spans="1:7" customFormat="1" x14ac:dyDescent="0.3">
      <c r="A5061" s="31" t="s">
        <v>770</v>
      </c>
      <c r="B5061" t="s">
        <v>158</v>
      </c>
      <c r="C5061" t="s">
        <v>123</v>
      </c>
      <c r="D5061" t="s">
        <v>114</v>
      </c>
      <c r="E5061" s="1">
        <v>45565</v>
      </c>
      <c r="F5061" t="s">
        <v>1231</v>
      </c>
      <c r="G5061">
        <v>-6.91</v>
      </c>
    </row>
    <row r="5062" spans="1:7" customFormat="1" x14ac:dyDescent="0.3">
      <c r="A5062" s="31" t="s">
        <v>770</v>
      </c>
      <c r="B5062" t="s">
        <v>158</v>
      </c>
      <c r="C5062" t="s">
        <v>123</v>
      </c>
      <c r="D5062" t="s">
        <v>114</v>
      </c>
      <c r="E5062" s="1">
        <v>45565</v>
      </c>
      <c r="F5062" t="s">
        <v>1232</v>
      </c>
      <c r="G5062">
        <v>-3.15</v>
      </c>
    </row>
    <row r="5063" spans="1:7" customFormat="1" x14ac:dyDescent="0.3">
      <c r="A5063" s="31" t="s">
        <v>770</v>
      </c>
      <c r="B5063" t="s">
        <v>158</v>
      </c>
      <c r="C5063" t="s">
        <v>123</v>
      </c>
      <c r="D5063" t="s">
        <v>97</v>
      </c>
      <c r="G5063">
        <v>-196.25</v>
      </c>
    </row>
    <row r="5064" spans="1:7" customFormat="1" x14ac:dyDescent="0.3">
      <c r="A5064" s="31" t="s">
        <v>770</v>
      </c>
      <c r="B5064" t="s">
        <v>160</v>
      </c>
      <c r="C5064" t="s">
        <v>120</v>
      </c>
      <c r="D5064" t="s">
        <v>181</v>
      </c>
      <c r="E5064" t="s">
        <v>268</v>
      </c>
      <c r="F5064" t="s">
        <v>269</v>
      </c>
      <c r="G5064" t="s">
        <v>270</v>
      </c>
    </row>
    <row r="5065" spans="1:7" customFormat="1" x14ac:dyDescent="0.3">
      <c r="A5065" s="31" t="s">
        <v>770</v>
      </c>
      <c r="B5065" t="s">
        <v>160</v>
      </c>
      <c r="C5065" t="s">
        <v>123</v>
      </c>
      <c r="D5065" t="s">
        <v>114</v>
      </c>
      <c r="E5065" s="1">
        <v>45540</v>
      </c>
      <c r="F5065" t="s">
        <v>1233</v>
      </c>
      <c r="G5065">
        <v>4.05</v>
      </c>
    </row>
    <row r="5066" spans="1:7" customFormat="1" x14ac:dyDescent="0.3">
      <c r="A5066" s="31" t="s">
        <v>770</v>
      </c>
      <c r="B5066" t="s">
        <v>160</v>
      </c>
      <c r="C5066" t="s">
        <v>123</v>
      </c>
      <c r="D5066" t="s">
        <v>114</v>
      </c>
      <c r="E5066" s="1">
        <v>45540</v>
      </c>
      <c r="F5066" t="s">
        <v>1234</v>
      </c>
      <c r="G5066">
        <v>-57.43</v>
      </c>
    </row>
    <row r="5067" spans="1:7" customFormat="1" x14ac:dyDescent="0.3">
      <c r="A5067" s="31" t="s">
        <v>770</v>
      </c>
      <c r="B5067" t="s">
        <v>160</v>
      </c>
      <c r="C5067" t="s">
        <v>123</v>
      </c>
      <c r="D5067" t="s">
        <v>97</v>
      </c>
      <c r="G5067">
        <v>-53.38</v>
      </c>
    </row>
    <row r="5068" spans="1:7" customFormat="1" x14ac:dyDescent="0.3">
      <c r="A5068" s="31" t="s">
        <v>770</v>
      </c>
      <c r="B5068" t="s">
        <v>151</v>
      </c>
      <c r="C5068" t="s">
        <v>120</v>
      </c>
      <c r="D5068" t="s">
        <v>181</v>
      </c>
      <c r="E5068" t="s">
        <v>121</v>
      </c>
      <c r="F5068" t="s">
        <v>122</v>
      </c>
    </row>
    <row r="5069" spans="1:7" customFormat="1" x14ac:dyDescent="0.3">
      <c r="A5069" s="31" t="s">
        <v>770</v>
      </c>
      <c r="B5069" t="s">
        <v>151</v>
      </c>
      <c r="C5069" t="s">
        <v>123</v>
      </c>
      <c r="D5069" t="s">
        <v>184</v>
      </c>
      <c r="E5069" t="s">
        <v>278</v>
      </c>
      <c r="F5069">
        <v>-51.92</v>
      </c>
    </row>
    <row r="5070" spans="1:7" customFormat="1" x14ac:dyDescent="0.3">
      <c r="A5070" s="31" t="s">
        <v>770</v>
      </c>
      <c r="B5070" t="s">
        <v>151</v>
      </c>
      <c r="C5070" t="s">
        <v>123</v>
      </c>
      <c r="D5070" t="s">
        <v>184</v>
      </c>
      <c r="E5070" t="s">
        <v>279</v>
      </c>
      <c r="F5070">
        <v>-53.37</v>
      </c>
    </row>
    <row r="5071" spans="1:7" customFormat="1" x14ac:dyDescent="0.3">
      <c r="A5071" s="31" t="s">
        <v>770</v>
      </c>
      <c r="B5071" t="s">
        <v>151</v>
      </c>
      <c r="C5071" t="s">
        <v>123</v>
      </c>
      <c r="D5071" t="s">
        <v>184</v>
      </c>
      <c r="E5071" t="s">
        <v>280</v>
      </c>
      <c r="F5071">
        <v>53.38</v>
      </c>
    </row>
    <row r="5072" spans="1:7" customFormat="1" x14ac:dyDescent="0.3">
      <c r="A5072" s="31" t="s">
        <v>770</v>
      </c>
      <c r="B5072" t="s">
        <v>151</v>
      </c>
      <c r="C5072" t="s">
        <v>123</v>
      </c>
      <c r="D5072" t="s">
        <v>184</v>
      </c>
      <c r="E5072" t="s">
        <v>282</v>
      </c>
      <c r="F5072">
        <v>-51.91</v>
      </c>
    </row>
    <row r="5073" spans="1:16" customFormat="1" x14ac:dyDescent="0.3">
      <c r="A5073" s="31" t="s">
        <v>770</v>
      </c>
      <c r="B5073" t="s">
        <v>159</v>
      </c>
      <c r="C5073" t="s">
        <v>120</v>
      </c>
      <c r="D5073" t="s">
        <v>100</v>
      </c>
      <c r="E5073" t="s">
        <v>181</v>
      </c>
      <c r="F5073" t="s">
        <v>0</v>
      </c>
      <c r="G5073" t="s">
        <v>268</v>
      </c>
      <c r="H5073" t="s">
        <v>283</v>
      </c>
      <c r="I5073" t="s">
        <v>284</v>
      </c>
      <c r="J5073" t="s">
        <v>193</v>
      </c>
      <c r="K5073" t="s">
        <v>285</v>
      </c>
      <c r="L5073" t="s">
        <v>286</v>
      </c>
      <c r="M5073" t="s">
        <v>287</v>
      </c>
      <c r="N5073" t="s">
        <v>288</v>
      </c>
      <c r="O5073" t="s">
        <v>289</v>
      </c>
      <c r="P5073" t="s">
        <v>165</v>
      </c>
    </row>
    <row r="5074" spans="1:16" customFormat="1" x14ac:dyDescent="0.3">
      <c r="A5074" s="31" t="s">
        <v>770</v>
      </c>
      <c r="B5074" t="s">
        <v>159</v>
      </c>
      <c r="C5074" t="s">
        <v>123</v>
      </c>
      <c r="D5074" t="s">
        <v>290</v>
      </c>
      <c r="O5074">
        <v>50.6</v>
      </c>
    </row>
    <row r="5075" spans="1:16" customFormat="1" x14ac:dyDescent="0.3">
      <c r="A5075" s="31" t="s">
        <v>770</v>
      </c>
      <c r="B5075" t="s">
        <v>159</v>
      </c>
      <c r="C5075" t="s">
        <v>123</v>
      </c>
      <c r="D5075" t="s">
        <v>110</v>
      </c>
      <c r="E5075" t="s">
        <v>114</v>
      </c>
      <c r="F5075" t="s">
        <v>65</v>
      </c>
      <c r="G5075" s="1">
        <v>45551</v>
      </c>
      <c r="H5075" s="1">
        <v>45552</v>
      </c>
      <c r="I5075" s="1">
        <v>45574</v>
      </c>
      <c r="J5075">
        <v>70</v>
      </c>
      <c r="K5075">
        <v>2.9</v>
      </c>
      <c r="L5075">
        <v>0</v>
      </c>
      <c r="M5075">
        <v>0.16500000000000001</v>
      </c>
      <c r="N5075">
        <v>11.56</v>
      </c>
      <c r="O5075">
        <v>8.66</v>
      </c>
      <c r="P5075" t="s">
        <v>291</v>
      </c>
    </row>
    <row r="5076" spans="1:16" customFormat="1" x14ac:dyDescent="0.3">
      <c r="A5076" s="31" t="s">
        <v>770</v>
      </c>
      <c r="B5076" t="s">
        <v>159</v>
      </c>
      <c r="C5076" t="s">
        <v>123</v>
      </c>
      <c r="D5076" t="s">
        <v>110</v>
      </c>
      <c r="E5076" t="s">
        <v>114</v>
      </c>
      <c r="F5076" t="s">
        <v>58</v>
      </c>
      <c r="G5076" s="1">
        <v>45530</v>
      </c>
      <c r="H5076" s="1">
        <v>45531</v>
      </c>
      <c r="I5076" s="1">
        <v>45545</v>
      </c>
      <c r="J5076">
        <v>30</v>
      </c>
      <c r="K5076">
        <v>0</v>
      </c>
      <c r="L5076">
        <v>0.6</v>
      </c>
      <c r="M5076">
        <v>0.02</v>
      </c>
      <c r="N5076">
        <v>0</v>
      </c>
      <c r="O5076">
        <v>-0.6</v>
      </c>
      <c r="P5076" t="s">
        <v>1116</v>
      </c>
    </row>
    <row r="5077" spans="1:16" customFormat="1" x14ac:dyDescent="0.3">
      <c r="A5077" s="31" t="s">
        <v>770</v>
      </c>
      <c r="B5077" t="s">
        <v>159</v>
      </c>
      <c r="C5077" t="s">
        <v>123</v>
      </c>
      <c r="D5077" t="s">
        <v>110</v>
      </c>
      <c r="E5077" t="s">
        <v>114</v>
      </c>
      <c r="F5077" t="s">
        <v>58</v>
      </c>
      <c r="G5077" s="1">
        <v>45530</v>
      </c>
      <c r="H5077" s="1">
        <v>45531</v>
      </c>
      <c r="I5077" s="1">
        <v>45545</v>
      </c>
      <c r="J5077">
        <v>30</v>
      </c>
      <c r="K5077">
        <v>0</v>
      </c>
      <c r="L5077">
        <v>-0.57999999999999996</v>
      </c>
      <c r="M5077">
        <v>0.02</v>
      </c>
      <c r="N5077">
        <v>0</v>
      </c>
      <c r="O5077">
        <v>0.57999999999999996</v>
      </c>
      <c r="P5077" t="s">
        <v>1117</v>
      </c>
    </row>
    <row r="5078" spans="1:16" customFormat="1" x14ac:dyDescent="0.3">
      <c r="A5078" s="31" t="s">
        <v>770</v>
      </c>
      <c r="B5078" t="s">
        <v>159</v>
      </c>
      <c r="C5078" t="s">
        <v>123</v>
      </c>
      <c r="D5078" t="s">
        <v>110</v>
      </c>
      <c r="E5078" t="s">
        <v>114</v>
      </c>
      <c r="F5078" t="s">
        <v>58</v>
      </c>
      <c r="G5078" s="1">
        <v>45545</v>
      </c>
      <c r="H5078" s="1">
        <v>45531</v>
      </c>
      <c r="I5078" s="1">
        <v>45545</v>
      </c>
      <c r="J5078">
        <v>30</v>
      </c>
      <c r="K5078">
        <v>0</v>
      </c>
      <c r="L5078">
        <v>-0.6</v>
      </c>
      <c r="M5078">
        <v>0.02</v>
      </c>
      <c r="N5078">
        <v>0</v>
      </c>
      <c r="O5078">
        <v>0.6</v>
      </c>
      <c r="P5078" t="s">
        <v>1117</v>
      </c>
    </row>
    <row r="5079" spans="1:16" customFormat="1" x14ac:dyDescent="0.3">
      <c r="A5079" s="31" t="s">
        <v>770</v>
      </c>
      <c r="B5079" t="s">
        <v>159</v>
      </c>
      <c r="C5079" t="s">
        <v>123</v>
      </c>
      <c r="D5079" t="s">
        <v>110</v>
      </c>
      <c r="E5079" t="s">
        <v>114</v>
      </c>
      <c r="F5079" t="s">
        <v>7</v>
      </c>
      <c r="G5079" s="1">
        <v>45553</v>
      </c>
      <c r="H5079" s="1">
        <v>45554</v>
      </c>
      <c r="I5079" s="1">
        <v>45565</v>
      </c>
      <c r="J5079">
        <v>35</v>
      </c>
      <c r="K5079">
        <v>4.6399999999999997</v>
      </c>
      <c r="L5079">
        <v>0</v>
      </c>
      <c r="M5079">
        <v>0.53</v>
      </c>
      <c r="N5079">
        <v>18.55</v>
      </c>
      <c r="O5079">
        <v>13.91</v>
      </c>
      <c r="P5079" t="s">
        <v>291</v>
      </c>
    </row>
    <row r="5080" spans="1:16" customFormat="1" x14ac:dyDescent="0.3">
      <c r="A5080" s="31" t="s">
        <v>770</v>
      </c>
      <c r="B5080" t="s">
        <v>159</v>
      </c>
      <c r="C5080" t="s">
        <v>123</v>
      </c>
      <c r="D5080" t="s">
        <v>110</v>
      </c>
      <c r="E5080" t="s">
        <v>114</v>
      </c>
      <c r="F5080" t="s">
        <v>7</v>
      </c>
      <c r="G5080" s="1">
        <v>45565</v>
      </c>
      <c r="H5080" s="1">
        <v>45554</v>
      </c>
      <c r="I5080" s="1">
        <v>45565</v>
      </c>
      <c r="J5080">
        <v>35</v>
      </c>
      <c r="K5080">
        <v>-4.6399999999999997</v>
      </c>
      <c r="L5080">
        <v>0</v>
      </c>
      <c r="M5080">
        <v>0.53</v>
      </c>
      <c r="N5080">
        <v>-18.55</v>
      </c>
      <c r="O5080">
        <v>-13.91</v>
      </c>
      <c r="P5080" t="s">
        <v>292</v>
      </c>
    </row>
    <row r="5081" spans="1:16" customFormat="1" x14ac:dyDescent="0.3">
      <c r="A5081" s="31" t="s">
        <v>770</v>
      </c>
      <c r="B5081" t="s">
        <v>159</v>
      </c>
      <c r="C5081" t="s">
        <v>123</v>
      </c>
      <c r="D5081" t="s">
        <v>110</v>
      </c>
      <c r="E5081" t="s">
        <v>114</v>
      </c>
      <c r="F5081" t="s">
        <v>8</v>
      </c>
      <c r="G5081" s="1">
        <v>45540</v>
      </c>
      <c r="H5081" s="1">
        <v>45541</v>
      </c>
      <c r="I5081" s="1">
        <v>45562</v>
      </c>
      <c r="J5081">
        <v>100</v>
      </c>
      <c r="K5081">
        <v>6.5</v>
      </c>
      <c r="L5081">
        <v>0</v>
      </c>
      <c r="M5081">
        <v>0.26</v>
      </c>
      <c r="N5081">
        <v>26</v>
      </c>
      <c r="O5081">
        <v>19.5</v>
      </c>
      <c r="P5081" t="s">
        <v>291</v>
      </c>
    </row>
    <row r="5082" spans="1:16" customFormat="1" x14ac:dyDescent="0.3">
      <c r="A5082" s="31" t="s">
        <v>770</v>
      </c>
      <c r="B5082" t="s">
        <v>159</v>
      </c>
      <c r="C5082" t="s">
        <v>123</v>
      </c>
      <c r="D5082" t="s">
        <v>110</v>
      </c>
      <c r="E5082" t="s">
        <v>114</v>
      </c>
      <c r="F5082" t="s">
        <v>8</v>
      </c>
      <c r="G5082" s="1">
        <v>45562</v>
      </c>
      <c r="H5082" s="1">
        <v>45541</v>
      </c>
      <c r="I5082" s="1">
        <v>45562</v>
      </c>
      <c r="J5082">
        <v>100</v>
      </c>
      <c r="K5082">
        <v>-6.5</v>
      </c>
      <c r="L5082">
        <v>0</v>
      </c>
      <c r="M5082">
        <v>0.26</v>
      </c>
      <c r="N5082">
        <v>-26</v>
      </c>
      <c r="O5082">
        <v>-19.5</v>
      </c>
      <c r="P5082" t="s">
        <v>292</v>
      </c>
    </row>
    <row r="5083" spans="1:16" customFormat="1" x14ac:dyDescent="0.3">
      <c r="A5083" s="31" t="s">
        <v>770</v>
      </c>
      <c r="B5083" t="s">
        <v>159</v>
      </c>
      <c r="C5083" t="s">
        <v>123</v>
      </c>
      <c r="D5083" t="s">
        <v>110</v>
      </c>
      <c r="E5083" t="s">
        <v>114</v>
      </c>
      <c r="F5083" t="s">
        <v>9</v>
      </c>
      <c r="G5083" s="1">
        <v>45540</v>
      </c>
      <c r="H5083" s="1">
        <v>45541</v>
      </c>
      <c r="I5083" s="1">
        <v>45565</v>
      </c>
      <c r="J5083">
        <v>2</v>
      </c>
      <c r="K5083">
        <v>4.38</v>
      </c>
      <c r="L5083">
        <v>0</v>
      </c>
      <c r="M5083">
        <v>8.75</v>
      </c>
      <c r="N5083">
        <v>17.5</v>
      </c>
      <c r="O5083">
        <v>13.12</v>
      </c>
      <c r="P5083" t="s">
        <v>291</v>
      </c>
    </row>
    <row r="5084" spans="1:16" customFormat="1" x14ac:dyDescent="0.3">
      <c r="A5084" s="31" t="s">
        <v>770</v>
      </c>
      <c r="B5084" t="s">
        <v>159</v>
      </c>
      <c r="C5084" t="s">
        <v>123</v>
      </c>
      <c r="D5084" t="s">
        <v>110</v>
      </c>
      <c r="E5084" t="s">
        <v>114</v>
      </c>
      <c r="F5084" t="s">
        <v>9</v>
      </c>
      <c r="G5084" s="1">
        <v>45565</v>
      </c>
      <c r="H5084" s="1">
        <v>45541</v>
      </c>
      <c r="I5084" s="1">
        <v>45565</v>
      </c>
      <c r="J5084">
        <v>2</v>
      </c>
      <c r="K5084">
        <v>-4.38</v>
      </c>
      <c r="L5084">
        <v>0</v>
      </c>
      <c r="M5084">
        <v>8.75</v>
      </c>
      <c r="N5084">
        <v>-17.5</v>
      </c>
      <c r="O5084">
        <v>-13.12</v>
      </c>
      <c r="P5084" t="s">
        <v>292</v>
      </c>
    </row>
    <row r="5085" spans="1:16" customFormat="1" x14ac:dyDescent="0.3">
      <c r="A5085" s="31" t="s">
        <v>770</v>
      </c>
      <c r="B5085" t="s">
        <v>159</v>
      </c>
      <c r="C5085" t="s">
        <v>123</v>
      </c>
      <c r="D5085" t="s">
        <v>110</v>
      </c>
      <c r="E5085" t="s">
        <v>114</v>
      </c>
      <c r="F5085" t="s">
        <v>48</v>
      </c>
      <c r="G5085" s="1">
        <v>45560</v>
      </c>
      <c r="H5085" s="1">
        <v>45561</v>
      </c>
      <c r="I5085" s="1">
        <v>45590</v>
      </c>
      <c r="J5085">
        <v>65</v>
      </c>
      <c r="K5085">
        <v>4.55</v>
      </c>
      <c r="L5085">
        <v>0</v>
      </c>
      <c r="M5085">
        <v>0.28000000000000003</v>
      </c>
      <c r="N5085">
        <v>18.2</v>
      </c>
      <c r="O5085">
        <v>13.65</v>
      </c>
      <c r="P5085" t="s">
        <v>291</v>
      </c>
    </row>
    <row r="5086" spans="1:16" customFormat="1" x14ac:dyDescent="0.3">
      <c r="A5086" s="31" t="s">
        <v>770</v>
      </c>
      <c r="B5086" t="s">
        <v>159</v>
      </c>
      <c r="C5086" t="s">
        <v>123</v>
      </c>
      <c r="D5086" t="s">
        <v>110</v>
      </c>
      <c r="E5086" t="s">
        <v>114</v>
      </c>
      <c r="F5086" t="s">
        <v>19</v>
      </c>
      <c r="G5086" s="1">
        <v>45541</v>
      </c>
      <c r="H5086" s="1">
        <v>45544</v>
      </c>
      <c r="I5086" s="1">
        <v>45551</v>
      </c>
      <c r="J5086">
        <v>100</v>
      </c>
      <c r="K5086">
        <v>5</v>
      </c>
      <c r="L5086">
        <v>0</v>
      </c>
      <c r="M5086">
        <v>0.2</v>
      </c>
      <c r="N5086">
        <v>20</v>
      </c>
      <c r="O5086">
        <v>15</v>
      </c>
      <c r="P5086" t="s">
        <v>291</v>
      </c>
    </row>
    <row r="5087" spans="1:16" customFormat="1" x14ac:dyDescent="0.3">
      <c r="A5087" s="31" t="s">
        <v>770</v>
      </c>
      <c r="B5087" t="s">
        <v>159</v>
      </c>
      <c r="C5087" t="s">
        <v>123</v>
      </c>
      <c r="D5087" t="s">
        <v>110</v>
      </c>
      <c r="E5087" t="s">
        <v>114</v>
      </c>
      <c r="F5087" t="s">
        <v>19</v>
      </c>
      <c r="G5087" s="1">
        <v>45551</v>
      </c>
      <c r="H5087" s="1">
        <v>45544</v>
      </c>
      <c r="I5087" s="1">
        <v>45551</v>
      </c>
      <c r="J5087">
        <v>100</v>
      </c>
      <c r="K5087">
        <v>-5</v>
      </c>
      <c r="L5087">
        <v>0</v>
      </c>
      <c r="M5087">
        <v>0.2</v>
      </c>
      <c r="N5087">
        <v>-20</v>
      </c>
      <c r="O5087">
        <v>-15</v>
      </c>
      <c r="P5087" t="s">
        <v>292</v>
      </c>
    </row>
    <row r="5088" spans="1:16" customFormat="1" x14ac:dyDescent="0.3">
      <c r="A5088" s="31" t="s">
        <v>770</v>
      </c>
      <c r="B5088" t="s">
        <v>159</v>
      </c>
      <c r="C5088" t="s">
        <v>123</v>
      </c>
      <c r="D5088" t="s">
        <v>110</v>
      </c>
      <c r="E5088" t="s">
        <v>114</v>
      </c>
      <c r="F5088" t="s">
        <v>24</v>
      </c>
      <c r="G5088" s="1">
        <v>45540</v>
      </c>
      <c r="H5088" s="1">
        <v>45519</v>
      </c>
      <c r="I5088" s="1">
        <v>45540</v>
      </c>
      <c r="J5088">
        <v>50</v>
      </c>
      <c r="K5088">
        <v>-0.25</v>
      </c>
      <c r="L5088">
        <v>0</v>
      </c>
      <c r="M5088">
        <v>0.02</v>
      </c>
      <c r="N5088">
        <v>-1</v>
      </c>
      <c r="O5088">
        <v>-0.75</v>
      </c>
      <c r="P5088" t="s">
        <v>292</v>
      </c>
    </row>
    <row r="5089" spans="1:16" customFormat="1" x14ac:dyDescent="0.3">
      <c r="A5089" s="31" t="s">
        <v>770</v>
      </c>
      <c r="B5089" t="s">
        <v>159</v>
      </c>
      <c r="C5089" t="s">
        <v>123</v>
      </c>
      <c r="D5089" t="s">
        <v>110</v>
      </c>
      <c r="E5089" t="s">
        <v>114</v>
      </c>
      <c r="F5089" t="s">
        <v>49</v>
      </c>
      <c r="G5089" s="1">
        <v>45545</v>
      </c>
      <c r="H5089" s="1">
        <v>45519</v>
      </c>
      <c r="I5089" s="1">
        <v>45545</v>
      </c>
      <c r="J5089">
        <v>10</v>
      </c>
      <c r="K5089">
        <v>-3.25</v>
      </c>
      <c r="L5089">
        <v>0</v>
      </c>
      <c r="M5089">
        <v>1.3</v>
      </c>
      <c r="N5089">
        <v>-13</v>
      </c>
      <c r="O5089">
        <v>-9.75</v>
      </c>
      <c r="P5089" t="s">
        <v>292</v>
      </c>
    </row>
    <row r="5090" spans="1:16" customFormat="1" x14ac:dyDescent="0.3">
      <c r="A5090" s="31" t="s">
        <v>770</v>
      </c>
      <c r="B5090" t="s">
        <v>159</v>
      </c>
      <c r="C5090" t="s">
        <v>123</v>
      </c>
      <c r="D5090" t="s">
        <v>110</v>
      </c>
      <c r="E5090" t="s">
        <v>114</v>
      </c>
      <c r="F5090" t="s">
        <v>26</v>
      </c>
      <c r="G5090" s="1">
        <v>45541</v>
      </c>
      <c r="H5090" s="1">
        <v>45520</v>
      </c>
      <c r="I5090" s="1">
        <v>45541</v>
      </c>
      <c r="J5090">
        <v>10</v>
      </c>
      <c r="K5090">
        <v>-2.13</v>
      </c>
      <c r="L5090">
        <v>0</v>
      </c>
      <c r="M5090">
        <v>0.85</v>
      </c>
      <c r="N5090">
        <v>-8.5</v>
      </c>
      <c r="O5090">
        <v>-6.37</v>
      </c>
      <c r="P5090" t="s">
        <v>292</v>
      </c>
    </row>
    <row r="5091" spans="1:16" customFormat="1" x14ac:dyDescent="0.3">
      <c r="A5091" s="31" t="s">
        <v>770</v>
      </c>
      <c r="B5091" t="s">
        <v>159</v>
      </c>
      <c r="C5091" t="s">
        <v>123</v>
      </c>
      <c r="D5091" t="s">
        <v>110</v>
      </c>
      <c r="E5091" t="s">
        <v>114</v>
      </c>
      <c r="F5091" t="s">
        <v>27</v>
      </c>
      <c r="G5091" s="1">
        <v>45548</v>
      </c>
      <c r="H5091" s="1">
        <v>45551</v>
      </c>
      <c r="I5091" s="1">
        <v>45561</v>
      </c>
      <c r="J5091">
        <v>15</v>
      </c>
      <c r="K5091">
        <v>1.88</v>
      </c>
      <c r="L5091">
        <v>0</v>
      </c>
      <c r="M5091">
        <v>0.5</v>
      </c>
      <c r="N5091">
        <v>7.5</v>
      </c>
      <c r="O5091">
        <v>5.62</v>
      </c>
      <c r="P5091" t="s">
        <v>291</v>
      </c>
    </row>
    <row r="5092" spans="1:16" customFormat="1" x14ac:dyDescent="0.3">
      <c r="A5092" s="31" t="s">
        <v>770</v>
      </c>
      <c r="B5092" t="s">
        <v>159</v>
      </c>
      <c r="C5092" t="s">
        <v>123</v>
      </c>
      <c r="D5092" t="s">
        <v>110</v>
      </c>
      <c r="E5092" t="s">
        <v>114</v>
      </c>
      <c r="F5092" t="s">
        <v>27</v>
      </c>
      <c r="G5092" s="1">
        <v>45561</v>
      </c>
      <c r="H5092" s="1">
        <v>45551</v>
      </c>
      <c r="I5092" s="1">
        <v>45561</v>
      </c>
      <c r="J5092">
        <v>15</v>
      </c>
      <c r="K5092">
        <v>-1.88</v>
      </c>
      <c r="L5092">
        <v>0</v>
      </c>
      <c r="M5092">
        <v>0.5</v>
      </c>
      <c r="N5092">
        <v>-7.5</v>
      </c>
      <c r="O5092">
        <v>-5.62</v>
      </c>
      <c r="P5092" t="s">
        <v>292</v>
      </c>
    </row>
    <row r="5093" spans="1:16" customFormat="1" x14ac:dyDescent="0.3">
      <c r="A5093" s="31" t="s">
        <v>770</v>
      </c>
      <c r="B5093" t="s">
        <v>159</v>
      </c>
      <c r="C5093" t="s">
        <v>123</v>
      </c>
      <c r="D5093" t="s">
        <v>110</v>
      </c>
      <c r="E5093" t="s">
        <v>114</v>
      </c>
      <c r="F5093" t="s">
        <v>28</v>
      </c>
      <c r="G5093" s="1">
        <v>45547</v>
      </c>
      <c r="H5093" s="1">
        <v>45519</v>
      </c>
      <c r="I5093" s="1">
        <v>45547</v>
      </c>
      <c r="J5093">
        <v>61</v>
      </c>
      <c r="K5093">
        <v>-11.44</v>
      </c>
      <c r="L5093">
        <v>0</v>
      </c>
      <c r="M5093">
        <v>0.75</v>
      </c>
      <c r="N5093">
        <v>-45.75</v>
      </c>
      <c r="O5093">
        <v>-34.31</v>
      </c>
      <c r="P5093" t="s">
        <v>292</v>
      </c>
    </row>
    <row r="5094" spans="1:16" customFormat="1" x14ac:dyDescent="0.3">
      <c r="A5094" s="31" t="s">
        <v>770</v>
      </c>
      <c r="B5094" t="s">
        <v>159</v>
      </c>
      <c r="C5094" t="s">
        <v>123</v>
      </c>
      <c r="D5094" t="s">
        <v>110</v>
      </c>
      <c r="E5094" t="s">
        <v>114</v>
      </c>
      <c r="F5094" t="s">
        <v>39</v>
      </c>
      <c r="G5094" s="1">
        <v>45539</v>
      </c>
      <c r="H5094" s="1">
        <v>45540</v>
      </c>
      <c r="I5094" s="1">
        <v>45561</v>
      </c>
      <c r="J5094">
        <v>35</v>
      </c>
      <c r="K5094">
        <v>7.44</v>
      </c>
      <c r="L5094">
        <v>0</v>
      </c>
      <c r="M5094">
        <v>0.85</v>
      </c>
      <c r="N5094">
        <v>29.75</v>
      </c>
      <c r="O5094">
        <v>22.31</v>
      </c>
      <c r="P5094" t="s">
        <v>291</v>
      </c>
    </row>
    <row r="5095" spans="1:16" customFormat="1" x14ac:dyDescent="0.3">
      <c r="A5095" s="31" t="s">
        <v>770</v>
      </c>
      <c r="B5095" t="s">
        <v>159</v>
      </c>
      <c r="C5095" t="s">
        <v>123</v>
      </c>
      <c r="D5095" t="s">
        <v>110</v>
      </c>
      <c r="E5095" t="s">
        <v>114</v>
      </c>
      <c r="F5095" t="s">
        <v>39</v>
      </c>
      <c r="G5095" s="1">
        <v>45561</v>
      </c>
      <c r="H5095" s="1">
        <v>45540</v>
      </c>
      <c r="I5095" s="1">
        <v>45561</v>
      </c>
      <c r="J5095">
        <v>35</v>
      </c>
      <c r="K5095">
        <v>-7.44</v>
      </c>
      <c r="L5095">
        <v>0</v>
      </c>
      <c r="M5095">
        <v>0.85</v>
      </c>
      <c r="N5095">
        <v>-29.75</v>
      </c>
      <c r="O5095">
        <v>-22.31</v>
      </c>
      <c r="P5095" t="s">
        <v>292</v>
      </c>
    </row>
    <row r="5096" spans="1:16" customFormat="1" x14ac:dyDescent="0.3">
      <c r="A5096" s="31" t="s">
        <v>770</v>
      </c>
      <c r="B5096" t="s">
        <v>159</v>
      </c>
      <c r="C5096" t="s">
        <v>123</v>
      </c>
      <c r="D5096" t="s">
        <v>110</v>
      </c>
      <c r="E5096" t="s">
        <v>114</v>
      </c>
      <c r="F5096" t="s">
        <v>82</v>
      </c>
      <c r="G5096" s="1">
        <v>45555</v>
      </c>
      <c r="H5096" s="1">
        <v>45558</v>
      </c>
      <c r="I5096" s="1">
        <v>45596</v>
      </c>
      <c r="J5096">
        <v>130</v>
      </c>
      <c r="K5096">
        <v>22</v>
      </c>
      <c r="L5096">
        <v>0</v>
      </c>
      <c r="M5096">
        <v>0.67686000000000002</v>
      </c>
      <c r="N5096">
        <v>87.99</v>
      </c>
      <c r="O5096">
        <v>65.989999999999995</v>
      </c>
      <c r="P5096" t="s">
        <v>291</v>
      </c>
    </row>
    <row r="5097" spans="1:16" customFormat="1" x14ac:dyDescent="0.3">
      <c r="A5097" s="31" t="s">
        <v>770</v>
      </c>
      <c r="B5097" t="s">
        <v>159</v>
      </c>
      <c r="C5097" t="s">
        <v>123</v>
      </c>
      <c r="D5097" t="s">
        <v>110</v>
      </c>
      <c r="E5097" t="s">
        <v>114</v>
      </c>
      <c r="F5097" t="s">
        <v>83</v>
      </c>
      <c r="G5097" s="1">
        <v>45559</v>
      </c>
      <c r="H5097" s="1">
        <v>45560</v>
      </c>
      <c r="I5097" s="1">
        <v>45565</v>
      </c>
      <c r="J5097">
        <v>50</v>
      </c>
      <c r="K5097">
        <v>6.91</v>
      </c>
      <c r="L5097">
        <v>0</v>
      </c>
      <c r="M5097">
        <v>0.55237999999999998</v>
      </c>
      <c r="N5097">
        <v>27.62</v>
      </c>
      <c r="O5097">
        <v>20.71</v>
      </c>
      <c r="P5097" t="s">
        <v>291</v>
      </c>
    </row>
    <row r="5098" spans="1:16" customFormat="1" x14ac:dyDescent="0.3">
      <c r="A5098" s="31" t="s">
        <v>770</v>
      </c>
      <c r="B5098" t="s">
        <v>159</v>
      </c>
      <c r="C5098" t="s">
        <v>123</v>
      </c>
      <c r="D5098" t="s">
        <v>110</v>
      </c>
      <c r="E5098" t="s">
        <v>114</v>
      </c>
      <c r="F5098" t="s">
        <v>83</v>
      </c>
      <c r="G5098" s="1">
        <v>45565</v>
      </c>
      <c r="H5098" s="1">
        <v>45560</v>
      </c>
      <c r="I5098" s="1">
        <v>45565</v>
      </c>
      <c r="J5098">
        <v>50</v>
      </c>
      <c r="K5098">
        <v>-6.91</v>
      </c>
      <c r="L5098">
        <v>0</v>
      </c>
      <c r="M5098">
        <v>0.55237999999999998</v>
      </c>
      <c r="N5098">
        <v>-27.62</v>
      </c>
      <c r="O5098">
        <v>-20.71</v>
      </c>
      <c r="P5098" t="s">
        <v>292</v>
      </c>
    </row>
    <row r="5099" spans="1:16" customFormat="1" x14ac:dyDescent="0.3">
      <c r="A5099" s="31" t="s">
        <v>770</v>
      </c>
      <c r="B5099" t="s">
        <v>159</v>
      </c>
      <c r="C5099" t="s">
        <v>123</v>
      </c>
      <c r="D5099" t="s">
        <v>110</v>
      </c>
      <c r="E5099" t="s">
        <v>114</v>
      </c>
      <c r="F5099" t="s">
        <v>86</v>
      </c>
      <c r="G5099" s="1">
        <v>45554</v>
      </c>
      <c r="H5099" s="1">
        <v>45555</v>
      </c>
      <c r="I5099" s="1">
        <v>45596</v>
      </c>
      <c r="J5099">
        <v>40</v>
      </c>
      <c r="K5099">
        <v>17.46</v>
      </c>
      <c r="L5099">
        <v>0</v>
      </c>
      <c r="M5099">
        <v>1.7455309999999999</v>
      </c>
      <c r="N5099">
        <v>69.819999999999993</v>
      </c>
      <c r="O5099">
        <v>52.36</v>
      </c>
      <c r="P5099" t="s">
        <v>291</v>
      </c>
    </row>
    <row r="5100" spans="1:16" customFormat="1" x14ac:dyDescent="0.3">
      <c r="A5100" s="31" t="s">
        <v>770</v>
      </c>
      <c r="B5100" t="s">
        <v>159</v>
      </c>
      <c r="C5100" t="s">
        <v>123</v>
      </c>
      <c r="D5100" t="s">
        <v>110</v>
      </c>
      <c r="E5100" t="s">
        <v>114</v>
      </c>
      <c r="F5100" t="s">
        <v>87</v>
      </c>
      <c r="G5100" s="1">
        <v>45540</v>
      </c>
      <c r="H5100" s="1">
        <v>45541</v>
      </c>
      <c r="I5100" s="1">
        <v>45565</v>
      </c>
      <c r="J5100">
        <v>15</v>
      </c>
      <c r="K5100">
        <v>3.15</v>
      </c>
      <c r="L5100">
        <v>0</v>
      </c>
      <c r="M5100">
        <v>0.84</v>
      </c>
      <c r="N5100">
        <v>12.6</v>
      </c>
      <c r="O5100">
        <v>9.4499999999999993</v>
      </c>
      <c r="P5100" t="s">
        <v>291</v>
      </c>
    </row>
    <row r="5101" spans="1:16" customFormat="1" x14ac:dyDescent="0.3">
      <c r="A5101" s="31" t="s">
        <v>770</v>
      </c>
      <c r="B5101" t="s">
        <v>159</v>
      </c>
      <c r="C5101" t="s">
        <v>123</v>
      </c>
      <c r="D5101" t="s">
        <v>110</v>
      </c>
      <c r="E5101" t="s">
        <v>114</v>
      </c>
      <c r="F5101" t="s">
        <v>87</v>
      </c>
      <c r="G5101" s="1">
        <v>45565</v>
      </c>
      <c r="H5101" s="1">
        <v>45541</v>
      </c>
      <c r="I5101" s="1">
        <v>45565</v>
      </c>
      <c r="J5101">
        <v>15</v>
      </c>
      <c r="K5101">
        <v>-3.15</v>
      </c>
      <c r="L5101">
        <v>0</v>
      </c>
      <c r="M5101">
        <v>0.84</v>
      </c>
      <c r="N5101">
        <v>-12.6</v>
      </c>
      <c r="O5101">
        <v>-9.4499999999999993</v>
      </c>
      <c r="P5101" t="s">
        <v>292</v>
      </c>
    </row>
    <row r="5102" spans="1:16" customFormat="1" x14ac:dyDescent="0.3">
      <c r="A5102" s="31" t="s">
        <v>770</v>
      </c>
      <c r="B5102" t="s">
        <v>159</v>
      </c>
      <c r="C5102" t="s">
        <v>123</v>
      </c>
      <c r="D5102" t="s">
        <v>110</v>
      </c>
      <c r="E5102" t="s">
        <v>114</v>
      </c>
      <c r="F5102" t="s">
        <v>1156</v>
      </c>
      <c r="G5102" s="1">
        <v>45555</v>
      </c>
      <c r="H5102" s="1">
        <v>45558</v>
      </c>
      <c r="I5102" s="1">
        <v>45560</v>
      </c>
      <c r="J5102">
        <v>70</v>
      </c>
      <c r="K5102">
        <v>7.32</v>
      </c>
      <c r="L5102">
        <v>0</v>
      </c>
      <c r="M5102">
        <v>0.418433</v>
      </c>
      <c r="N5102">
        <v>29.29</v>
      </c>
      <c r="O5102">
        <v>21.97</v>
      </c>
      <c r="P5102" t="s">
        <v>291</v>
      </c>
    </row>
    <row r="5103" spans="1:16" customFormat="1" x14ac:dyDescent="0.3">
      <c r="A5103" s="31" t="s">
        <v>770</v>
      </c>
      <c r="B5103" t="s">
        <v>159</v>
      </c>
      <c r="C5103" t="s">
        <v>123</v>
      </c>
      <c r="D5103" t="s">
        <v>110</v>
      </c>
      <c r="E5103" t="s">
        <v>114</v>
      </c>
      <c r="F5103" t="s">
        <v>1156</v>
      </c>
      <c r="G5103" s="1">
        <v>45560</v>
      </c>
      <c r="H5103" s="1">
        <v>45558</v>
      </c>
      <c r="I5103" s="1">
        <v>45560</v>
      </c>
      <c r="J5103">
        <v>70</v>
      </c>
      <c r="K5103">
        <v>-7.32</v>
      </c>
      <c r="L5103">
        <v>0</v>
      </c>
      <c r="M5103">
        <v>0.418433</v>
      </c>
      <c r="N5103">
        <v>-29.29</v>
      </c>
      <c r="O5103">
        <v>-21.97</v>
      </c>
      <c r="P5103" t="s">
        <v>292</v>
      </c>
    </row>
    <row r="5104" spans="1:16" customFormat="1" x14ac:dyDescent="0.3">
      <c r="A5104" s="31" t="s">
        <v>770</v>
      </c>
      <c r="B5104" t="s">
        <v>159</v>
      </c>
      <c r="C5104" t="s">
        <v>123</v>
      </c>
      <c r="D5104" t="s">
        <v>110</v>
      </c>
      <c r="E5104" t="s">
        <v>114</v>
      </c>
      <c r="F5104" t="s">
        <v>61</v>
      </c>
      <c r="G5104" s="1">
        <v>45555</v>
      </c>
      <c r="H5104" s="1">
        <v>45558</v>
      </c>
      <c r="I5104" s="1">
        <v>45560</v>
      </c>
      <c r="J5104">
        <v>100</v>
      </c>
      <c r="K5104">
        <v>18.190000000000001</v>
      </c>
      <c r="L5104">
        <v>0</v>
      </c>
      <c r="M5104">
        <v>0.72749200000000003</v>
      </c>
      <c r="N5104">
        <v>72.75</v>
      </c>
      <c r="O5104">
        <v>54.56</v>
      </c>
      <c r="P5104" t="s">
        <v>291</v>
      </c>
    </row>
    <row r="5105" spans="1:16" customFormat="1" x14ac:dyDescent="0.3">
      <c r="A5105" s="31" t="s">
        <v>770</v>
      </c>
      <c r="B5105" t="s">
        <v>159</v>
      </c>
      <c r="C5105" t="s">
        <v>123</v>
      </c>
      <c r="D5105" t="s">
        <v>110</v>
      </c>
      <c r="E5105" t="s">
        <v>114</v>
      </c>
      <c r="F5105" t="s">
        <v>61</v>
      </c>
      <c r="G5105" s="1">
        <v>45560</v>
      </c>
      <c r="H5105" s="1">
        <v>45558</v>
      </c>
      <c r="I5105" s="1">
        <v>45560</v>
      </c>
      <c r="J5105">
        <v>100</v>
      </c>
      <c r="K5105">
        <v>-18.190000000000001</v>
      </c>
      <c r="L5105">
        <v>0</v>
      </c>
      <c r="M5105">
        <v>0.72749200000000003</v>
      </c>
      <c r="N5105">
        <v>-72.75</v>
      </c>
      <c r="O5105">
        <v>-54.56</v>
      </c>
      <c r="P5105" t="s">
        <v>292</v>
      </c>
    </row>
    <row r="5106" spans="1:16" customFormat="1" x14ac:dyDescent="0.3">
      <c r="A5106" s="31" t="s">
        <v>770</v>
      </c>
      <c r="B5106" t="s">
        <v>159</v>
      </c>
      <c r="C5106" t="s">
        <v>123</v>
      </c>
      <c r="D5106" t="s">
        <v>110</v>
      </c>
      <c r="E5106" t="s">
        <v>114</v>
      </c>
      <c r="F5106" t="s">
        <v>62</v>
      </c>
      <c r="G5106" s="1">
        <v>45555</v>
      </c>
      <c r="H5106" s="1">
        <v>45558</v>
      </c>
      <c r="I5106" s="1">
        <v>45560</v>
      </c>
      <c r="J5106">
        <v>200</v>
      </c>
      <c r="K5106">
        <v>8.27</v>
      </c>
      <c r="L5106">
        <v>0</v>
      </c>
      <c r="M5106">
        <v>0.16530600000000001</v>
      </c>
      <c r="N5106">
        <v>33.06</v>
      </c>
      <c r="O5106">
        <v>24.79</v>
      </c>
      <c r="P5106" t="s">
        <v>291</v>
      </c>
    </row>
    <row r="5107" spans="1:16" customFormat="1" x14ac:dyDescent="0.3">
      <c r="A5107" s="31" t="s">
        <v>770</v>
      </c>
      <c r="B5107" t="s">
        <v>159</v>
      </c>
      <c r="C5107" t="s">
        <v>123</v>
      </c>
      <c r="D5107" t="s">
        <v>110</v>
      </c>
      <c r="E5107" t="s">
        <v>114</v>
      </c>
      <c r="F5107" t="s">
        <v>62</v>
      </c>
      <c r="G5107" s="1">
        <v>45560</v>
      </c>
      <c r="H5107" s="1">
        <v>45558</v>
      </c>
      <c r="I5107" s="1">
        <v>45560</v>
      </c>
      <c r="J5107">
        <v>200</v>
      </c>
      <c r="K5107">
        <v>-8.27</v>
      </c>
      <c r="L5107">
        <v>0</v>
      </c>
      <c r="M5107">
        <v>0.16530600000000001</v>
      </c>
      <c r="N5107">
        <v>-33.06</v>
      </c>
      <c r="O5107">
        <v>-24.79</v>
      </c>
      <c r="P5107" t="s">
        <v>292</v>
      </c>
    </row>
    <row r="5108" spans="1:16" customFormat="1" x14ac:dyDescent="0.3">
      <c r="A5108" s="31" t="s">
        <v>770</v>
      </c>
      <c r="B5108" t="s">
        <v>159</v>
      </c>
      <c r="C5108" t="s">
        <v>123</v>
      </c>
      <c r="D5108" t="s">
        <v>110</v>
      </c>
      <c r="E5108" t="s">
        <v>114</v>
      </c>
      <c r="F5108" t="s">
        <v>41</v>
      </c>
      <c r="G5108" s="1">
        <v>45555</v>
      </c>
      <c r="H5108" s="1">
        <v>45558</v>
      </c>
      <c r="I5108" s="1">
        <v>45562</v>
      </c>
      <c r="J5108">
        <v>1099</v>
      </c>
      <c r="K5108">
        <v>23.71</v>
      </c>
      <c r="L5108">
        <v>0</v>
      </c>
      <c r="M5108">
        <v>8.6269999999999999E-2</v>
      </c>
      <c r="N5108">
        <v>94.81</v>
      </c>
      <c r="O5108">
        <v>71.099999999999994</v>
      </c>
      <c r="P5108" t="s">
        <v>291</v>
      </c>
    </row>
    <row r="5109" spans="1:16" customFormat="1" x14ac:dyDescent="0.3">
      <c r="A5109" s="31" t="s">
        <v>770</v>
      </c>
      <c r="B5109" t="s">
        <v>159</v>
      </c>
      <c r="C5109" t="s">
        <v>123</v>
      </c>
      <c r="D5109" t="s">
        <v>110</v>
      </c>
      <c r="E5109" t="s">
        <v>114</v>
      </c>
      <c r="F5109" t="s">
        <v>41</v>
      </c>
      <c r="G5109" s="1">
        <v>45555</v>
      </c>
      <c r="H5109" s="1">
        <v>45558</v>
      </c>
      <c r="I5109" s="1">
        <v>45562</v>
      </c>
      <c r="J5109">
        <v>1099</v>
      </c>
      <c r="K5109">
        <v>23.7</v>
      </c>
      <c r="L5109">
        <v>0</v>
      </c>
      <c r="M5109">
        <v>8.6269999999999999E-2</v>
      </c>
      <c r="N5109">
        <v>94.81</v>
      </c>
      <c r="O5109">
        <v>71.11</v>
      </c>
      <c r="P5109" t="s">
        <v>291</v>
      </c>
    </row>
    <row r="5110" spans="1:16" customFormat="1" x14ac:dyDescent="0.3">
      <c r="A5110" s="31" t="s">
        <v>770</v>
      </c>
      <c r="B5110" t="s">
        <v>159</v>
      </c>
      <c r="C5110" t="s">
        <v>123</v>
      </c>
      <c r="D5110" t="s">
        <v>110</v>
      </c>
      <c r="E5110" t="s">
        <v>114</v>
      </c>
      <c r="F5110" t="s">
        <v>41</v>
      </c>
      <c r="G5110" s="1">
        <v>45555</v>
      </c>
      <c r="H5110" s="1">
        <v>45558</v>
      </c>
      <c r="I5110" s="1">
        <v>45562</v>
      </c>
      <c r="J5110">
        <v>1099</v>
      </c>
      <c r="K5110">
        <v>-23.71</v>
      </c>
      <c r="L5110">
        <v>0</v>
      </c>
      <c r="M5110">
        <v>8.6269999999999999E-2</v>
      </c>
      <c r="N5110">
        <v>-94.81</v>
      </c>
      <c r="O5110">
        <v>-71.099999999999994</v>
      </c>
      <c r="P5110" t="s">
        <v>292</v>
      </c>
    </row>
    <row r="5111" spans="1:16" customFormat="1" x14ac:dyDescent="0.3">
      <c r="A5111" s="31" t="s">
        <v>770</v>
      </c>
      <c r="B5111" t="s">
        <v>159</v>
      </c>
      <c r="C5111" t="s">
        <v>123</v>
      </c>
      <c r="D5111" t="s">
        <v>110</v>
      </c>
      <c r="E5111" t="s">
        <v>114</v>
      </c>
      <c r="F5111" t="s">
        <v>41</v>
      </c>
      <c r="G5111" s="1">
        <v>45562</v>
      </c>
      <c r="H5111" s="1">
        <v>45558</v>
      </c>
      <c r="I5111" s="1">
        <v>45562</v>
      </c>
      <c r="J5111">
        <v>1099</v>
      </c>
      <c r="K5111">
        <v>-23.7</v>
      </c>
      <c r="L5111">
        <v>0</v>
      </c>
      <c r="M5111">
        <v>8.6269999999999999E-2</v>
      </c>
      <c r="N5111">
        <v>-94.81</v>
      </c>
      <c r="O5111">
        <v>-71.11</v>
      </c>
      <c r="P5111" t="s">
        <v>292</v>
      </c>
    </row>
    <row r="5112" spans="1:16" customFormat="1" x14ac:dyDescent="0.3">
      <c r="A5112" s="31" t="s">
        <v>770</v>
      </c>
      <c r="B5112" t="s">
        <v>159</v>
      </c>
      <c r="C5112" t="s">
        <v>123</v>
      </c>
      <c r="D5112" t="s">
        <v>110</v>
      </c>
      <c r="E5112" t="s">
        <v>114</v>
      </c>
      <c r="F5112" t="s">
        <v>79</v>
      </c>
      <c r="G5112" s="1">
        <v>45555</v>
      </c>
      <c r="H5112" s="1">
        <v>45558</v>
      </c>
      <c r="I5112" s="1">
        <v>45560</v>
      </c>
      <c r="J5112">
        <v>80</v>
      </c>
      <c r="K5112">
        <v>8.6199999999999992</v>
      </c>
      <c r="L5112">
        <v>0</v>
      </c>
      <c r="M5112">
        <v>0.43102200000000002</v>
      </c>
      <c r="N5112">
        <v>34.479999999999997</v>
      </c>
      <c r="O5112">
        <v>25.86</v>
      </c>
      <c r="P5112" t="s">
        <v>291</v>
      </c>
    </row>
    <row r="5113" spans="1:16" customFormat="1" x14ac:dyDescent="0.3">
      <c r="A5113" s="31" t="s">
        <v>770</v>
      </c>
      <c r="B5113" t="s">
        <v>159</v>
      </c>
      <c r="C5113" t="s">
        <v>123</v>
      </c>
      <c r="D5113" t="s">
        <v>110</v>
      </c>
      <c r="E5113" t="s">
        <v>114</v>
      </c>
      <c r="F5113" t="s">
        <v>79</v>
      </c>
      <c r="G5113" s="1">
        <v>45560</v>
      </c>
      <c r="H5113" s="1">
        <v>45558</v>
      </c>
      <c r="I5113" s="1">
        <v>45560</v>
      </c>
      <c r="J5113">
        <v>80</v>
      </c>
      <c r="K5113">
        <v>-8.6199999999999992</v>
      </c>
      <c r="L5113">
        <v>0</v>
      </c>
      <c r="M5113">
        <v>0.43102200000000002</v>
      </c>
      <c r="N5113">
        <v>-34.479999999999997</v>
      </c>
      <c r="O5113">
        <v>-25.86</v>
      </c>
      <c r="P5113" t="s">
        <v>292</v>
      </c>
    </row>
    <row r="5114" spans="1:16" customFormat="1" x14ac:dyDescent="0.3">
      <c r="A5114" s="31" t="s">
        <v>770</v>
      </c>
      <c r="B5114" t="s">
        <v>159</v>
      </c>
      <c r="C5114" t="s">
        <v>123</v>
      </c>
      <c r="D5114" t="s">
        <v>110</v>
      </c>
      <c r="E5114" t="s">
        <v>114</v>
      </c>
      <c r="F5114" t="s">
        <v>42</v>
      </c>
      <c r="G5114" s="1">
        <v>45555</v>
      </c>
      <c r="H5114" s="1">
        <v>45558</v>
      </c>
      <c r="I5114" s="1">
        <v>45560</v>
      </c>
      <c r="J5114">
        <v>150</v>
      </c>
      <c r="K5114">
        <v>14.95</v>
      </c>
      <c r="L5114">
        <v>0</v>
      </c>
      <c r="M5114">
        <v>0.39851399999999998</v>
      </c>
      <c r="N5114">
        <v>59.78</v>
      </c>
      <c r="O5114">
        <v>44.83</v>
      </c>
      <c r="P5114" t="s">
        <v>291</v>
      </c>
    </row>
    <row r="5115" spans="1:16" customFormat="1" x14ac:dyDescent="0.3">
      <c r="A5115" s="31" t="s">
        <v>770</v>
      </c>
      <c r="B5115" t="s">
        <v>159</v>
      </c>
      <c r="C5115" t="s">
        <v>123</v>
      </c>
      <c r="D5115" t="s">
        <v>110</v>
      </c>
      <c r="E5115" t="s">
        <v>114</v>
      </c>
      <c r="F5115" t="s">
        <v>42</v>
      </c>
      <c r="G5115" s="1">
        <v>45560</v>
      </c>
      <c r="H5115" s="1">
        <v>45558</v>
      </c>
      <c r="I5115" s="1">
        <v>45560</v>
      </c>
      <c r="J5115">
        <v>150</v>
      </c>
      <c r="K5115">
        <v>-14.95</v>
      </c>
      <c r="L5115">
        <v>0</v>
      </c>
      <c r="M5115">
        <v>0.39851399999999998</v>
      </c>
      <c r="N5115">
        <v>-59.78</v>
      </c>
      <c r="O5115">
        <v>-44.83</v>
      </c>
      <c r="P5115" t="s">
        <v>292</v>
      </c>
    </row>
    <row r="5116" spans="1:16" customFormat="1" x14ac:dyDescent="0.3">
      <c r="A5116" s="31" t="s">
        <v>770</v>
      </c>
      <c r="B5116" t="s">
        <v>159</v>
      </c>
      <c r="C5116" t="s">
        <v>123</v>
      </c>
      <c r="D5116" t="s">
        <v>110</v>
      </c>
      <c r="E5116" t="s">
        <v>114</v>
      </c>
      <c r="F5116" t="s">
        <v>43</v>
      </c>
      <c r="G5116" s="1">
        <v>45555</v>
      </c>
      <c r="H5116" s="1">
        <v>45558</v>
      </c>
      <c r="I5116" s="1">
        <v>45560</v>
      </c>
      <c r="J5116">
        <v>330</v>
      </c>
      <c r="K5116">
        <v>44.51</v>
      </c>
      <c r="L5116">
        <v>0</v>
      </c>
      <c r="M5116">
        <v>0.53948600000000002</v>
      </c>
      <c r="N5116">
        <v>178.03</v>
      </c>
      <c r="O5116">
        <v>133.52000000000001</v>
      </c>
      <c r="P5116" t="s">
        <v>291</v>
      </c>
    </row>
    <row r="5117" spans="1:16" customFormat="1" x14ac:dyDescent="0.3">
      <c r="A5117" s="31" t="s">
        <v>770</v>
      </c>
      <c r="B5117" t="s">
        <v>159</v>
      </c>
      <c r="C5117" t="s">
        <v>123</v>
      </c>
      <c r="D5117" t="s">
        <v>110</v>
      </c>
      <c r="E5117" t="s">
        <v>114</v>
      </c>
      <c r="F5117" t="s">
        <v>43</v>
      </c>
      <c r="G5117" s="1">
        <v>45560</v>
      </c>
      <c r="H5117" s="1">
        <v>45558</v>
      </c>
      <c r="I5117" s="1">
        <v>45560</v>
      </c>
      <c r="J5117">
        <v>330</v>
      </c>
      <c r="K5117">
        <v>-44.51</v>
      </c>
      <c r="L5117">
        <v>0</v>
      </c>
      <c r="M5117">
        <v>0.53948600000000002</v>
      </c>
      <c r="N5117">
        <v>-178.03</v>
      </c>
      <c r="O5117">
        <v>-133.52000000000001</v>
      </c>
      <c r="P5117" t="s">
        <v>292</v>
      </c>
    </row>
    <row r="5118" spans="1:16" customFormat="1" x14ac:dyDescent="0.3">
      <c r="A5118" s="31" t="s">
        <v>770</v>
      </c>
      <c r="B5118" t="s">
        <v>159</v>
      </c>
      <c r="C5118" t="s">
        <v>123</v>
      </c>
      <c r="D5118" t="s">
        <v>110</v>
      </c>
      <c r="E5118" t="s">
        <v>114</v>
      </c>
      <c r="F5118" t="s">
        <v>44</v>
      </c>
      <c r="G5118" s="1">
        <v>45555</v>
      </c>
      <c r="H5118" s="1">
        <v>45558</v>
      </c>
      <c r="I5118" s="1">
        <v>45560</v>
      </c>
      <c r="J5118">
        <v>60</v>
      </c>
      <c r="K5118">
        <v>8.66</v>
      </c>
      <c r="L5118">
        <v>0</v>
      </c>
      <c r="M5118">
        <v>0.57723400000000002</v>
      </c>
      <c r="N5118">
        <v>34.630000000000003</v>
      </c>
      <c r="O5118">
        <v>25.97</v>
      </c>
      <c r="P5118" t="s">
        <v>291</v>
      </c>
    </row>
    <row r="5119" spans="1:16" customFormat="1" x14ac:dyDescent="0.3">
      <c r="A5119" s="31" t="s">
        <v>770</v>
      </c>
      <c r="B5119" t="s">
        <v>159</v>
      </c>
      <c r="C5119" t="s">
        <v>123</v>
      </c>
      <c r="D5119" t="s">
        <v>110</v>
      </c>
      <c r="E5119" t="s">
        <v>114</v>
      </c>
      <c r="F5119" t="s">
        <v>44</v>
      </c>
      <c r="G5119" s="1">
        <v>45560</v>
      </c>
      <c r="H5119" s="1">
        <v>45558</v>
      </c>
      <c r="I5119" s="1">
        <v>45560</v>
      </c>
      <c r="J5119">
        <v>60</v>
      </c>
      <c r="K5119">
        <v>-8.66</v>
      </c>
      <c r="L5119">
        <v>0</v>
      </c>
      <c r="M5119">
        <v>0.57723400000000002</v>
      </c>
      <c r="N5119">
        <v>-34.630000000000003</v>
      </c>
      <c r="O5119">
        <v>-25.97</v>
      </c>
      <c r="P5119" t="s">
        <v>292</v>
      </c>
    </row>
    <row r="5120" spans="1:16" customFormat="1" x14ac:dyDescent="0.3">
      <c r="A5120" s="31" t="s">
        <v>770</v>
      </c>
      <c r="B5120" t="s">
        <v>159</v>
      </c>
      <c r="C5120" t="s">
        <v>123</v>
      </c>
      <c r="D5120" t="s">
        <v>110</v>
      </c>
      <c r="E5120" t="s">
        <v>114</v>
      </c>
      <c r="F5120" t="s">
        <v>84</v>
      </c>
      <c r="G5120" s="1">
        <v>45555</v>
      </c>
      <c r="H5120" s="1">
        <v>45558</v>
      </c>
      <c r="I5120" s="1">
        <v>45560</v>
      </c>
      <c r="J5120">
        <v>50</v>
      </c>
      <c r="K5120">
        <v>5.0599999999999996</v>
      </c>
      <c r="L5120">
        <v>0</v>
      </c>
      <c r="M5120">
        <v>0.40466800000000003</v>
      </c>
      <c r="N5120">
        <v>20.23</v>
      </c>
      <c r="O5120">
        <v>15.17</v>
      </c>
      <c r="P5120" t="s">
        <v>291</v>
      </c>
    </row>
    <row r="5121" spans="1:16" customFormat="1" x14ac:dyDescent="0.3">
      <c r="A5121" s="31" t="s">
        <v>770</v>
      </c>
      <c r="B5121" t="s">
        <v>159</v>
      </c>
      <c r="C5121" t="s">
        <v>123</v>
      </c>
      <c r="D5121" t="s">
        <v>110</v>
      </c>
      <c r="E5121" t="s">
        <v>114</v>
      </c>
      <c r="F5121" t="s">
        <v>84</v>
      </c>
      <c r="G5121" s="1">
        <v>45560</v>
      </c>
      <c r="H5121" s="1">
        <v>45558</v>
      </c>
      <c r="I5121" s="1">
        <v>45560</v>
      </c>
      <c r="J5121">
        <v>50</v>
      </c>
      <c r="K5121">
        <v>-5.0599999999999996</v>
      </c>
      <c r="L5121">
        <v>0</v>
      </c>
      <c r="M5121">
        <v>0.40466800000000003</v>
      </c>
      <c r="N5121">
        <v>-20.23</v>
      </c>
      <c r="O5121">
        <v>-15.17</v>
      </c>
      <c r="P5121" t="s">
        <v>292</v>
      </c>
    </row>
    <row r="5122" spans="1:16" customFormat="1" x14ac:dyDescent="0.3">
      <c r="A5122" s="31" t="s">
        <v>770</v>
      </c>
      <c r="B5122" t="s">
        <v>159</v>
      </c>
      <c r="C5122" t="s">
        <v>123</v>
      </c>
      <c r="D5122" t="s">
        <v>97</v>
      </c>
      <c r="K5122">
        <v>29.84</v>
      </c>
      <c r="L5122">
        <v>-0.57999999999999996</v>
      </c>
      <c r="N5122">
        <v>119.32</v>
      </c>
      <c r="O5122">
        <v>90.06</v>
      </c>
    </row>
    <row r="5123" spans="1:16" customFormat="1" x14ac:dyDescent="0.3">
      <c r="A5123" s="31" t="s">
        <v>770</v>
      </c>
      <c r="B5123" t="s">
        <v>159</v>
      </c>
      <c r="C5123" t="s">
        <v>123</v>
      </c>
      <c r="D5123" t="s">
        <v>293</v>
      </c>
      <c r="O5123">
        <v>140.66</v>
      </c>
    </row>
    <row r="5124" spans="1:16" customFormat="1" x14ac:dyDescent="0.3">
      <c r="A5124" s="31" t="s">
        <v>770</v>
      </c>
      <c r="B5124" t="s">
        <v>294</v>
      </c>
      <c r="C5124" t="s">
        <v>120</v>
      </c>
      <c r="D5124" t="s">
        <v>100</v>
      </c>
      <c r="E5124" t="s">
        <v>0</v>
      </c>
      <c r="F5124" t="s">
        <v>269</v>
      </c>
      <c r="G5124" t="s">
        <v>295</v>
      </c>
      <c r="H5124" t="s">
        <v>296</v>
      </c>
      <c r="I5124" t="s">
        <v>1235</v>
      </c>
      <c r="J5124" t="s">
        <v>297</v>
      </c>
      <c r="K5124" t="s">
        <v>298</v>
      </c>
      <c r="L5124" t="s">
        <v>299</v>
      </c>
      <c r="M5124" t="s">
        <v>165</v>
      </c>
    </row>
    <row r="5125" spans="1:16" customFormat="1" x14ac:dyDescent="0.3">
      <c r="A5125" s="31" t="s">
        <v>770</v>
      </c>
      <c r="B5125" t="s">
        <v>294</v>
      </c>
      <c r="C5125" t="s">
        <v>123</v>
      </c>
      <c r="D5125" t="s">
        <v>110</v>
      </c>
      <c r="E5125" t="s">
        <v>2</v>
      </c>
      <c r="F5125" t="s">
        <v>300</v>
      </c>
      <c r="G5125">
        <v>265598</v>
      </c>
      <c r="H5125" t="s">
        <v>301</v>
      </c>
      <c r="I5125" t="s">
        <v>2</v>
      </c>
      <c r="J5125" t="s">
        <v>302</v>
      </c>
      <c r="K5125">
        <v>1</v>
      </c>
      <c r="L5125" t="s">
        <v>303</v>
      </c>
    </row>
    <row r="5126" spans="1:16" customFormat="1" x14ac:dyDescent="0.3">
      <c r="A5126" s="31" t="s">
        <v>770</v>
      </c>
      <c r="B5126" t="s">
        <v>294</v>
      </c>
      <c r="C5126" t="s">
        <v>123</v>
      </c>
      <c r="D5126" t="s">
        <v>110</v>
      </c>
      <c r="E5126" t="s">
        <v>45</v>
      </c>
      <c r="F5126" t="s">
        <v>692</v>
      </c>
      <c r="G5126">
        <v>4391</v>
      </c>
      <c r="H5126" t="s">
        <v>693</v>
      </c>
      <c r="I5126" t="s">
        <v>45</v>
      </c>
      <c r="J5126" t="s">
        <v>302</v>
      </c>
      <c r="K5126">
        <v>1</v>
      </c>
      <c r="L5126" t="s">
        <v>303</v>
      </c>
    </row>
    <row r="5127" spans="1:16" customFormat="1" x14ac:dyDescent="0.3">
      <c r="A5127" s="31" t="s">
        <v>770</v>
      </c>
      <c r="B5127" t="s">
        <v>294</v>
      </c>
      <c r="C5127" t="s">
        <v>123</v>
      </c>
      <c r="D5127" t="s">
        <v>110</v>
      </c>
      <c r="E5127" t="s">
        <v>5</v>
      </c>
      <c r="F5127" t="s">
        <v>308</v>
      </c>
      <c r="G5127">
        <v>3691937</v>
      </c>
      <c r="H5127" t="s">
        <v>309</v>
      </c>
      <c r="I5127" t="s">
        <v>5</v>
      </c>
      <c r="J5127" t="s">
        <v>302</v>
      </c>
      <c r="K5127">
        <v>1</v>
      </c>
      <c r="L5127" t="s">
        <v>303</v>
      </c>
    </row>
    <row r="5128" spans="1:16" customFormat="1" x14ac:dyDescent="0.3">
      <c r="A5128" s="31" t="s">
        <v>770</v>
      </c>
      <c r="B5128" t="s">
        <v>294</v>
      </c>
      <c r="C5128" t="s">
        <v>123</v>
      </c>
      <c r="D5128" t="s">
        <v>110</v>
      </c>
      <c r="E5128" t="s">
        <v>65</v>
      </c>
      <c r="F5128" t="s">
        <v>944</v>
      </c>
      <c r="G5128">
        <v>4493</v>
      </c>
      <c r="H5128" t="s">
        <v>945</v>
      </c>
      <c r="I5128" t="s">
        <v>65</v>
      </c>
      <c r="J5128" t="s">
        <v>306</v>
      </c>
      <c r="K5128">
        <v>1</v>
      </c>
      <c r="L5128" t="s">
        <v>303</v>
      </c>
    </row>
    <row r="5129" spans="1:16" customFormat="1" x14ac:dyDescent="0.3">
      <c r="A5129" s="31" t="s">
        <v>770</v>
      </c>
      <c r="B5129" t="s">
        <v>294</v>
      </c>
      <c r="C5129" t="s">
        <v>123</v>
      </c>
      <c r="D5129" t="s">
        <v>110</v>
      </c>
      <c r="E5129" t="s">
        <v>58</v>
      </c>
      <c r="F5129" t="s">
        <v>834</v>
      </c>
      <c r="G5129">
        <v>653400472</v>
      </c>
      <c r="H5129" t="s">
        <v>835</v>
      </c>
      <c r="I5129" t="s">
        <v>58</v>
      </c>
      <c r="J5129" t="s">
        <v>302</v>
      </c>
      <c r="K5129">
        <v>1</v>
      </c>
      <c r="L5129" t="s">
        <v>382</v>
      </c>
    </row>
    <row r="5130" spans="1:16" customFormat="1" x14ac:dyDescent="0.3">
      <c r="A5130" s="31" t="s">
        <v>770</v>
      </c>
      <c r="B5130" t="s">
        <v>294</v>
      </c>
      <c r="C5130" t="s">
        <v>123</v>
      </c>
      <c r="D5130" t="s">
        <v>110</v>
      </c>
      <c r="E5130" t="s">
        <v>7</v>
      </c>
      <c r="F5130" t="s">
        <v>312</v>
      </c>
      <c r="G5130">
        <v>313130367</v>
      </c>
      <c r="H5130" t="s">
        <v>313</v>
      </c>
      <c r="I5130" t="s">
        <v>7</v>
      </c>
      <c r="J5130" t="s">
        <v>302</v>
      </c>
      <c r="K5130">
        <v>1</v>
      </c>
      <c r="L5130" t="s">
        <v>303</v>
      </c>
    </row>
    <row r="5131" spans="1:16" customFormat="1" x14ac:dyDescent="0.3">
      <c r="A5131" s="31" t="s">
        <v>770</v>
      </c>
      <c r="B5131" t="s">
        <v>294</v>
      </c>
      <c r="C5131" t="s">
        <v>123</v>
      </c>
      <c r="D5131" t="s">
        <v>110</v>
      </c>
      <c r="E5131" t="s">
        <v>8</v>
      </c>
      <c r="F5131" t="s">
        <v>314</v>
      </c>
      <c r="G5131">
        <v>10098</v>
      </c>
      <c r="H5131" t="s">
        <v>315</v>
      </c>
      <c r="I5131" t="s">
        <v>8</v>
      </c>
      <c r="J5131" t="s">
        <v>306</v>
      </c>
      <c r="K5131">
        <v>1</v>
      </c>
      <c r="L5131" t="s">
        <v>303</v>
      </c>
    </row>
    <row r="5132" spans="1:16" customFormat="1" x14ac:dyDescent="0.3">
      <c r="A5132" s="31" t="s">
        <v>770</v>
      </c>
      <c r="B5132" t="s">
        <v>294</v>
      </c>
      <c r="C5132" t="s">
        <v>123</v>
      </c>
      <c r="D5132" t="s">
        <v>110</v>
      </c>
      <c r="E5132" t="s">
        <v>9</v>
      </c>
      <c r="F5132" t="s">
        <v>316</v>
      </c>
      <c r="G5132">
        <v>308728373</v>
      </c>
      <c r="H5132" t="s">
        <v>317</v>
      </c>
      <c r="I5132" t="s">
        <v>9</v>
      </c>
      <c r="J5132" t="s">
        <v>302</v>
      </c>
      <c r="K5132">
        <v>1</v>
      </c>
      <c r="L5132" t="s">
        <v>303</v>
      </c>
    </row>
    <row r="5133" spans="1:16" customFormat="1" x14ac:dyDescent="0.3">
      <c r="A5133" s="31" t="s">
        <v>770</v>
      </c>
      <c r="B5133" t="s">
        <v>294</v>
      </c>
      <c r="C5133" t="s">
        <v>123</v>
      </c>
      <c r="D5133" t="s">
        <v>110</v>
      </c>
      <c r="E5133" t="s">
        <v>3</v>
      </c>
      <c r="F5133" t="s">
        <v>318</v>
      </c>
      <c r="G5133">
        <v>87335484</v>
      </c>
      <c r="H5133" t="s">
        <v>319</v>
      </c>
      <c r="I5133" t="s">
        <v>3</v>
      </c>
      <c r="J5133" t="s">
        <v>306</v>
      </c>
      <c r="K5133">
        <v>1</v>
      </c>
      <c r="L5133" t="s">
        <v>303</v>
      </c>
    </row>
    <row r="5134" spans="1:16" customFormat="1" x14ac:dyDescent="0.3">
      <c r="A5134" s="31" t="s">
        <v>770</v>
      </c>
      <c r="B5134" t="s">
        <v>294</v>
      </c>
      <c r="C5134" t="s">
        <v>123</v>
      </c>
      <c r="D5134" t="s">
        <v>110</v>
      </c>
      <c r="E5134" t="s">
        <v>11</v>
      </c>
      <c r="F5134" t="s">
        <v>322</v>
      </c>
      <c r="G5134">
        <v>272997</v>
      </c>
      <c r="H5134" t="s">
        <v>323</v>
      </c>
      <c r="I5134" t="s">
        <v>11</v>
      </c>
      <c r="J5134" t="s">
        <v>302</v>
      </c>
      <c r="K5134">
        <v>1</v>
      </c>
      <c r="L5134" t="s">
        <v>303</v>
      </c>
    </row>
    <row r="5135" spans="1:16" customFormat="1" x14ac:dyDescent="0.3">
      <c r="A5135" s="31" t="s">
        <v>770</v>
      </c>
      <c r="B5135" t="s">
        <v>294</v>
      </c>
      <c r="C5135" t="s">
        <v>123</v>
      </c>
      <c r="D5135" t="s">
        <v>110</v>
      </c>
      <c r="E5135" t="s">
        <v>85</v>
      </c>
      <c r="F5135" t="s">
        <v>1118</v>
      </c>
      <c r="G5135">
        <v>29624264</v>
      </c>
      <c r="H5135" t="s">
        <v>1119</v>
      </c>
      <c r="I5135" t="s">
        <v>85</v>
      </c>
      <c r="J5135" t="s">
        <v>306</v>
      </c>
      <c r="K5135">
        <v>1</v>
      </c>
      <c r="L5135" t="s">
        <v>303</v>
      </c>
    </row>
    <row r="5136" spans="1:16" customFormat="1" x14ac:dyDescent="0.3">
      <c r="A5136" s="31" t="s">
        <v>770</v>
      </c>
      <c r="B5136" t="s">
        <v>294</v>
      </c>
      <c r="C5136" t="s">
        <v>123</v>
      </c>
      <c r="D5136" t="s">
        <v>110</v>
      </c>
      <c r="E5136" t="s">
        <v>1155</v>
      </c>
      <c r="F5136" t="s">
        <v>1236</v>
      </c>
      <c r="G5136">
        <v>346218218</v>
      </c>
      <c r="H5136" t="s">
        <v>1237</v>
      </c>
      <c r="I5136" t="s">
        <v>1155</v>
      </c>
      <c r="J5136" t="s">
        <v>306</v>
      </c>
      <c r="K5136">
        <v>1</v>
      </c>
      <c r="L5136" t="s">
        <v>303</v>
      </c>
    </row>
    <row r="5137" spans="1:12" customFormat="1" x14ac:dyDescent="0.3">
      <c r="A5137" s="31" t="s">
        <v>770</v>
      </c>
      <c r="B5137" t="s">
        <v>294</v>
      </c>
      <c r="C5137" t="s">
        <v>123</v>
      </c>
      <c r="D5137" t="s">
        <v>110</v>
      </c>
      <c r="E5137" t="s">
        <v>18</v>
      </c>
      <c r="F5137" t="s">
        <v>336</v>
      </c>
      <c r="G5137">
        <v>7496</v>
      </c>
      <c r="H5137" t="s">
        <v>337</v>
      </c>
      <c r="I5137" t="s">
        <v>18</v>
      </c>
      <c r="J5137" t="s">
        <v>306</v>
      </c>
      <c r="K5137">
        <v>1</v>
      </c>
      <c r="L5137" t="s">
        <v>303</v>
      </c>
    </row>
    <row r="5138" spans="1:12" customFormat="1" x14ac:dyDescent="0.3">
      <c r="A5138" s="31" t="s">
        <v>770</v>
      </c>
      <c r="B5138" t="s">
        <v>294</v>
      </c>
      <c r="C5138" t="s">
        <v>123</v>
      </c>
      <c r="D5138" t="s">
        <v>110</v>
      </c>
      <c r="E5138" t="s">
        <v>48</v>
      </c>
      <c r="F5138" t="s">
        <v>1238</v>
      </c>
      <c r="G5138">
        <v>498843743</v>
      </c>
      <c r="H5138" t="s">
        <v>699</v>
      </c>
      <c r="I5138" t="s">
        <v>48</v>
      </c>
      <c r="J5138" t="s">
        <v>306</v>
      </c>
      <c r="K5138">
        <v>1</v>
      </c>
      <c r="L5138" t="s">
        <v>303</v>
      </c>
    </row>
    <row r="5139" spans="1:12" customFormat="1" x14ac:dyDescent="0.3">
      <c r="A5139" s="31" t="s">
        <v>770</v>
      </c>
      <c r="B5139" t="s">
        <v>294</v>
      </c>
      <c r="C5139" t="s">
        <v>123</v>
      </c>
      <c r="D5139" t="s">
        <v>110</v>
      </c>
      <c r="E5139" t="s">
        <v>54</v>
      </c>
      <c r="F5139" t="s">
        <v>761</v>
      </c>
      <c r="G5139">
        <v>691984365</v>
      </c>
      <c r="H5139" t="s">
        <v>762</v>
      </c>
      <c r="I5139" t="s">
        <v>54</v>
      </c>
      <c r="J5139" t="s">
        <v>306</v>
      </c>
      <c r="K5139">
        <v>1</v>
      </c>
      <c r="L5139" t="s">
        <v>303</v>
      </c>
    </row>
    <row r="5140" spans="1:12" customFormat="1" x14ac:dyDescent="0.3">
      <c r="A5140" s="31" t="s">
        <v>770</v>
      </c>
      <c r="B5140" t="s">
        <v>294</v>
      </c>
      <c r="C5140" t="s">
        <v>123</v>
      </c>
      <c r="D5140" t="s">
        <v>110</v>
      </c>
      <c r="E5140" t="s">
        <v>19</v>
      </c>
      <c r="F5140" t="s">
        <v>338</v>
      </c>
      <c r="G5140">
        <v>208813719</v>
      </c>
      <c r="H5140" t="s">
        <v>339</v>
      </c>
      <c r="I5140" t="s">
        <v>19</v>
      </c>
      <c r="J5140" t="s">
        <v>302</v>
      </c>
      <c r="K5140">
        <v>1</v>
      </c>
      <c r="L5140" t="s">
        <v>303</v>
      </c>
    </row>
    <row r="5141" spans="1:12" customFormat="1" x14ac:dyDescent="0.3">
      <c r="A5141" s="31" t="s">
        <v>770</v>
      </c>
      <c r="B5141" t="s">
        <v>294</v>
      </c>
      <c r="C5141" t="s">
        <v>123</v>
      </c>
      <c r="D5141" t="s">
        <v>110</v>
      </c>
      <c r="E5141" t="s">
        <v>22</v>
      </c>
      <c r="F5141" t="s">
        <v>344</v>
      </c>
      <c r="G5141">
        <v>403121976</v>
      </c>
      <c r="H5141" t="s">
        <v>345</v>
      </c>
      <c r="I5141" t="s">
        <v>22</v>
      </c>
      <c r="J5141" t="s">
        <v>306</v>
      </c>
      <c r="K5141">
        <v>1</v>
      </c>
      <c r="L5141" t="s">
        <v>303</v>
      </c>
    </row>
    <row r="5142" spans="1:12" customFormat="1" x14ac:dyDescent="0.3">
      <c r="A5142" s="31" t="s">
        <v>770</v>
      </c>
      <c r="B5142" t="s">
        <v>294</v>
      </c>
      <c r="C5142" t="s">
        <v>123</v>
      </c>
      <c r="D5142" t="s">
        <v>110</v>
      </c>
      <c r="E5142" t="s">
        <v>24</v>
      </c>
      <c r="F5142" t="s">
        <v>348</v>
      </c>
      <c r="G5142">
        <v>404509190</v>
      </c>
      <c r="H5142" t="s">
        <v>349</v>
      </c>
      <c r="I5142" t="s">
        <v>24</v>
      </c>
      <c r="J5142" t="s">
        <v>306</v>
      </c>
      <c r="K5142">
        <v>1</v>
      </c>
      <c r="L5142" t="s">
        <v>303</v>
      </c>
    </row>
    <row r="5143" spans="1:12" customFormat="1" x14ac:dyDescent="0.3">
      <c r="A5143" s="31" t="s">
        <v>770</v>
      </c>
      <c r="B5143" t="s">
        <v>294</v>
      </c>
      <c r="C5143" t="s">
        <v>123</v>
      </c>
      <c r="D5143" t="s">
        <v>110</v>
      </c>
      <c r="E5143" t="s">
        <v>70</v>
      </c>
      <c r="F5143" t="s">
        <v>954</v>
      </c>
      <c r="G5143">
        <v>1520593</v>
      </c>
      <c r="H5143" t="s">
        <v>955</v>
      </c>
      <c r="I5143" t="s">
        <v>70</v>
      </c>
      <c r="J5143" t="s">
        <v>306</v>
      </c>
      <c r="K5143">
        <v>1</v>
      </c>
      <c r="L5143" t="s">
        <v>303</v>
      </c>
    </row>
    <row r="5144" spans="1:12" customFormat="1" x14ac:dyDescent="0.3">
      <c r="A5144" s="31" t="s">
        <v>770</v>
      </c>
      <c r="B5144" t="s">
        <v>294</v>
      </c>
      <c r="C5144" t="s">
        <v>123</v>
      </c>
      <c r="D5144" t="s">
        <v>110</v>
      </c>
      <c r="E5144" t="s">
        <v>49</v>
      </c>
      <c r="F5144" t="s">
        <v>700</v>
      </c>
      <c r="G5144">
        <v>9160</v>
      </c>
      <c r="H5144" t="s">
        <v>701</v>
      </c>
      <c r="I5144" t="s">
        <v>49</v>
      </c>
      <c r="J5144" t="s">
        <v>306</v>
      </c>
      <c r="K5144">
        <v>1</v>
      </c>
      <c r="L5144" t="s">
        <v>303</v>
      </c>
    </row>
    <row r="5145" spans="1:12" customFormat="1" x14ac:dyDescent="0.3">
      <c r="A5145" s="31" t="s">
        <v>770</v>
      </c>
      <c r="B5145" t="s">
        <v>294</v>
      </c>
      <c r="C5145" t="s">
        <v>123</v>
      </c>
      <c r="D5145" t="s">
        <v>110</v>
      </c>
      <c r="E5145" t="s">
        <v>26</v>
      </c>
      <c r="F5145" t="s">
        <v>352</v>
      </c>
      <c r="G5145">
        <v>6497</v>
      </c>
      <c r="H5145" t="s">
        <v>353</v>
      </c>
      <c r="I5145" t="s">
        <v>26</v>
      </c>
      <c r="J5145" t="s">
        <v>306</v>
      </c>
      <c r="K5145">
        <v>1</v>
      </c>
      <c r="L5145" t="s">
        <v>303</v>
      </c>
    </row>
    <row r="5146" spans="1:12" customFormat="1" x14ac:dyDescent="0.3">
      <c r="A5146" s="31" t="s">
        <v>770</v>
      </c>
      <c r="B5146" t="s">
        <v>294</v>
      </c>
      <c r="C5146" t="s">
        <v>123</v>
      </c>
      <c r="D5146" t="s">
        <v>110</v>
      </c>
      <c r="E5146" t="s">
        <v>27</v>
      </c>
      <c r="F5146" t="s">
        <v>354</v>
      </c>
      <c r="G5146">
        <v>107113386</v>
      </c>
      <c r="H5146" t="s">
        <v>355</v>
      </c>
      <c r="I5146" t="s">
        <v>27</v>
      </c>
      <c r="J5146" t="s">
        <v>302</v>
      </c>
      <c r="K5146">
        <v>1</v>
      </c>
      <c r="L5146" t="s">
        <v>303</v>
      </c>
    </row>
    <row r="5147" spans="1:12" customFormat="1" x14ac:dyDescent="0.3">
      <c r="A5147" s="31" t="s">
        <v>770</v>
      </c>
      <c r="B5147" t="s">
        <v>294</v>
      </c>
      <c r="C5147" t="s">
        <v>123</v>
      </c>
      <c r="D5147" t="s">
        <v>110</v>
      </c>
      <c r="E5147" t="s">
        <v>28</v>
      </c>
      <c r="F5147" t="s">
        <v>356</v>
      </c>
      <c r="G5147">
        <v>272093</v>
      </c>
      <c r="H5147" t="s">
        <v>357</v>
      </c>
      <c r="I5147" t="s">
        <v>28</v>
      </c>
      <c r="J5147" t="s">
        <v>302</v>
      </c>
      <c r="K5147">
        <v>1</v>
      </c>
      <c r="L5147" t="s">
        <v>303</v>
      </c>
    </row>
    <row r="5148" spans="1:12" customFormat="1" x14ac:dyDescent="0.3">
      <c r="A5148" s="31" t="s">
        <v>770</v>
      </c>
      <c r="B5148" t="s">
        <v>294</v>
      </c>
      <c r="C5148" t="s">
        <v>123</v>
      </c>
      <c r="D5148" t="s">
        <v>110</v>
      </c>
      <c r="E5148" t="s">
        <v>55</v>
      </c>
      <c r="F5148" t="s">
        <v>763</v>
      </c>
      <c r="G5148">
        <v>9939</v>
      </c>
      <c r="H5148" t="s">
        <v>764</v>
      </c>
      <c r="I5148" t="s">
        <v>55</v>
      </c>
      <c r="J5148" t="s">
        <v>302</v>
      </c>
      <c r="K5148">
        <v>1</v>
      </c>
      <c r="L5148" t="s">
        <v>303</v>
      </c>
    </row>
    <row r="5149" spans="1:12" customFormat="1" x14ac:dyDescent="0.3">
      <c r="A5149" s="31" t="s">
        <v>770</v>
      </c>
      <c r="B5149" t="s">
        <v>294</v>
      </c>
      <c r="C5149" t="s">
        <v>123</v>
      </c>
      <c r="D5149" t="s">
        <v>110</v>
      </c>
      <c r="E5149" t="s">
        <v>29</v>
      </c>
      <c r="F5149" t="s">
        <v>358</v>
      </c>
      <c r="G5149">
        <v>110619459</v>
      </c>
      <c r="H5149" t="s">
        <v>359</v>
      </c>
      <c r="I5149" t="s">
        <v>29</v>
      </c>
      <c r="J5149" t="s">
        <v>302</v>
      </c>
      <c r="K5149">
        <v>1</v>
      </c>
      <c r="L5149" t="s">
        <v>303</v>
      </c>
    </row>
    <row r="5150" spans="1:12" customFormat="1" x14ac:dyDescent="0.3">
      <c r="A5150" s="31" t="s">
        <v>770</v>
      </c>
      <c r="B5150" t="s">
        <v>294</v>
      </c>
      <c r="C5150" t="s">
        <v>123</v>
      </c>
      <c r="D5150" t="s">
        <v>110</v>
      </c>
      <c r="E5150" t="s">
        <v>39</v>
      </c>
      <c r="F5150" t="s">
        <v>617</v>
      </c>
      <c r="G5150">
        <v>273544</v>
      </c>
      <c r="H5150" t="s">
        <v>618</v>
      </c>
      <c r="I5150" t="s">
        <v>39</v>
      </c>
      <c r="J5150" t="s">
        <v>302</v>
      </c>
      <c r="K5150">
        <v>1</v>
      </c>
      <c r="L5150" t="s">
        <v>303</v>
      </c>
    </row>
    <row r="5151" spans="1:12" customFormat="1" x14ac:dyDescent="0.3">
      <c r="A5151" s="31" t="s">
        <v>770</v>
      </c>
      <c r="B5151" t="s">
        <v>294</v>
      </c>
      <c r="C5151" t="s">
        <v>123</v>
      </c>
      <c r="D5151" t="s">
        <v>110</v>
      </c>
      <c r="E5151" t="s">
        <v>82</v>
      </c>
      <c r="F5151" t="s">
        <v>1058</v>
      </c>
      <c r="G5151">
        <v>320227571</v>
      </c>
      <c r="H5151" t="s">
        <v>1059</v>
      </c>
      <c r="I5151" t="s">
        <v>82</v>
      </c>
      <c r="J5151" t="s">
        <v>302</v>
      </c>
      <c r="K5151">
        <v>1</v>
      </c>
      <c r="L5151" t="s">
        <v>413</v>
      </c>
    </row>
    <row r="5152" spans="1:12" customFormat="1" x14ac:dyDescent="0.3">
      <c r="A5152" s="31" t="s">
        <v>770</v>
      </c>
      <c r="B5152" t="s">
        <v>294</v>
      </c>
      <c r="C5152" t="s">
        <v>123</v>
      </c>
      <c r="D5152" t="s">
        <v>110</v>
      </c>
      <c r="E5152" t="s">
        <v>83</v>
      </c>
      <c r="F5152" t="s">
        <v>1060</v>
      </c>
      <c r="G5152">
        <v>12658194</v>
      </c>
      <c r="H5152" t="s">
        <v>1061</v>
      </c>
      <c r="I5152" t="s">
        <v>83</v>
      </c>
      <c r="J5152" t="s">
        <v>302</v>
      </c>
      <c r="K5152">
        <v>1</v>
      </c>
      <c r="L5152" t="s">
        <v>413</v>
      </c>
    </row>
    <row r="5153" spans="1:13" customFormat="1" x14ac:dyDescent="0.3">
      <c r="A5153" s="31" t="s">
        <v>770</v>
      </c>
      <c r="B5153" t="s">
        <v>294</v>
      </c>
      <c r="C5153" t="s">
        <v>123</v>
      </c>
      <c r="D5153" t="s">
        <v>110</v>
      </c>
      <c r="E5153" t="s">
        <v>86</v>
      </c>
      <c r="F5153" t="s">
        <v>1120</v>
      </c>
      <c r="G5153">
        <v>756733</v>
      </c>
      <c r="H5153" t="s">
        <v>1121</v>
      </c>
      <c r="I5153" t="s">
        <v>86</v>
      </c>
      <c r="J5153" t="s">
        <v>623</v>
      </c>
      <c r="K5153">
        <v>1</v>
      </c>
      <c r="L5153" t="s">
        <v>413</v>
      </c>
    </row>
    <row r="5154" spans="1:13" customFormat="1" x14ac:dyDescent="0.3">
      <c r="A5154" s="31" t="s">
        <v>770</v>
      </c>
      <c r="B5154" t="s">
        <v>294</v>
      </c>
      <c r="C5154" t="s">
        <v>123</v>
      </c>
      <c r="D5154" t="s">
        <v>110</v>
      </c>
      <c r="E5154" t="s">
        <v>77</v>
      </c>
      <c r="F5154" t="s">
        <v>968</v>
      </c>
      <c r="G5154">
        <v>76792991</v>
      </c>
      <c r="H5154" t="s">
        <v>969</v>
      </c>
      <c r="I5154" t="s">
        <v>77</v>
      </c>
      <c r="J5154" t="s">
        <v>302</v>
      </c>
      <c r="K5154">
        <v>1</v>
      </c>
      <c r="L5154" t="s">
        <v>303</v>
      </c>
    </row>
    <row r="5155" spans="1:13" customFormat="1" x14ac:dyDescent="0.3">
      <c r="A5155" s="31" t="s">
        <v>770</v>
      </c>
      <c r="B5155" t="s">
        <v>294</v>
      </c>
      <c r="C5155" t="s">
        <v>123</v>
      </c>
      <c r="D5155" t="s">
        <v>110</v>
      </c>
      <c r="E5155" t="s">
        <v>87</v>
      </c>
      <c r="F5155" t="s">
        <v>1122</v>
      </c>
      <c r="G5155">
        <v>406709270</v>
      </c>
      <c r="H5155" t="s">
        <v>1123</v>
      </c>
      <c r="I5155" t="s">
        <v>87</v>
      </c>
      <c r="J5155" t="s">
        <v>306</v>
      </c>
      <c r="K5155">
        <v>1</v>
      </c>
      <c r="L5155" t="s">
        <v>303</v>
      </c>
    </row>
    <row r="5156" spans="1:13" customFormat="1" x14ac:dyDescent="0.3">
      <c r="A5156" s="31" t="s">
        <v>770</v>
      </c>
      <c r="B5156" t="s">
        <v>294</v>
      </c>
      <c r="C5156" t="s">
        <v>123</v>
      </c>
      <c r="D5156" t="s">
        <v>110</v>
      </c>
      <c r="E5156" t="s">
        <v>78</v>
      </c>
      <c r="F5156" t="s">
        <v>970</v>
      </c>
      <c r="G5156">
        <v>13096</v>
      </c>
      <c r="H5156" t="s">
        <v>971</v>
      </c>
      <c r="I5156" t="s">
        <v>78</v>
      </c>
      <c r="J5156" t="s">
        <v>302</v>
      </c>
      <c r="K5156">
        <v>1</v>
      </c>
      <c r="L5156" t="s">
        <v>303</v>
      </c>
    </row>
    <row r="5157" spans="1:13" customFormat="1" x14ac:dyDescent="0.3">
      <c r="A5157" s="31" t="s">
        <v>770</v>
      </c>
      <c r="B5157" t="s">
        <v>294</v>
      </c>
      <c r="C5157" t="s">
        <v>123</v>
      </c>
      <c r="D5157" t="s">
        <v>110</v>
      </c>
      <c r="E5157" t="s">
        <v>32</v>
      </c>
      <c r="F5157" t="s">
        <v>364</v>
      </c>
      <c r="G5157">
        <v>365207014</v>
      </c>
      <c r="H5157" t="s">
        <v>365</v>
      </c>
      <c r="I5157" t="s">
        <v>32</v>
      </c>
      <c r="J5157" t="s">
        <v>306</v>
      </c>
      <c r="K5157">
        <v>1</v>
      </c>
      <c r="L5157" t="s">
        <v>303</v>
      </c>
    </row>
    <row r="5158" spans="1:13" customFormat="1" x14ac:dyDescent="0.3">
      <c r="A5158" s="31" t="s">
        <v>770</v>
      </c>
      <c r="B5158" t="s">
        <v>294</v>
      </c>
      <c r="C5158" t="s">
        <v>123</v>
      </c>
      <c r="D5158" t="s">
        <v>110</v>
      </c>
      <c r="E5158" t="s">
        <v>1156</v>
      </c>
      <c r="F5158" t="s">
        <v>1239</v>
      </c>
      <c r="G5158">
        <v>4215200</v>
      </c>
      <c r="H5158" t="s">
        <v>1240</v>
      </c>
      <c r="I5158" t="s">
        <v>1156</v>
      </c>
      <c r="J5158" t="s">
        <v>623</v>
      </c>
      <c r="K5158">
        <v>1</v>
      </c>
      <c r="L5158" t="s">
        <v>413</v>
      </c>
    </row>
    <row r="5159" spans="1:13" customFormat="1" x14ac:dyDescent="0.3">
      <c r="A5159" s="31" t="s">
        <v>770</v>
      </c>
      <c r="B5159" t="s">
        <v>294</v>
      </c>
      <c r="C5159" t="s">
        <v>123</v>
      </c>
      <c r="D5159" t="s">
        <v>110</v>
      </c>
      <c r="E5159" t="s">
        <v>61</v>
      </c>
      <c r="F5159" t="s">
        <v>840</v>
      </c>
      <c r="G5159">
        <v>4215217</v>
      </c>
      <c r="H5159" t="s">
        <v>841</v>
      </c>
      <c r="I5159" t="s">
        <v>61</v>
      </c>
      <c r="J5159" t="s">
        <v>623</v>
      </c>
      <c r="K5159">
        <v>1</v>
      </c>
      <c r="L5159" t="s">
        <v>413</v>
      </c>
    </row>
    <row r="5160" spans="1:13" customFormat="1" x14ac:dyDescent="0.3">
      <c r="A5160" s="31" t="s">
        <v>770</v>
      </c>
      <c r="B5160" t="s">
        <v>294</v>
      </c>
      <c r="C5160" t="s">
        <v>123</v>
      </c>
      <c r="D5160" t="s">
        <v>110</v>
      </c>
      <c r="E5160" t="s">
        <v>62</v>
      </c>
      <c r="F5160" t="s">
        <v>842</v>
      </c>
      <c r="G5160">
        <v>4215220</v>
      </c>
      <c r="H5160" t="s">
        <v>843</v>
      </c>
      <c r="I5160" t="s">
        <v>62</v>
      </c>
      <c r="J5160" t="s">
        <v>623</v>
      </c>
      <c r="K5160">
        <v>1</v>
      </c>
      <c r="L5160" t="s">
        <v>413</v>
      </c>
    </row>
    <row r="5161" spans="1:13" customFormat="1" x14ac:dyDescent="0.3">
      <c r="A5161" s="31" t="s">
        <v>770</v>
      </c>
      <c r="B5161" t="s">
        <v>294</v>
      </c>
      <c r="C5161" t="s">
        <v>123</v>
      </c>
      <c r="D5161" t="s">
        <v>110</v>
      </c>
      <c r="E5161" t="s">
        <v>41</v>
      </c>
      <c r="F5161" t="s">
        <v>621</v>
      </c>
      <c r="G5161">
        <v>319359438</v>
      </c>
      <c r="H5161" t="s">
        <v>622</v>
      </c>
      <c r="I5161" t="s">
        <v>41</v>
      </c>
      <c r="J5161" t="s">
        <v>623</v>
      </c>
      <c r="K5161">
        <v>1</v>
      </c>
      <c r="L5161" t="s">
        <v>413</v>
      </c>
    </row>
    <row r="5162" spans="1:13" customFormat="1" x14ac:dyDescent="0.3">
      <c r="A5162" s="31" t="s">
        <v>770</v>
      </c>
      <c r="B5162" t="s">
        <v>294</v>
      </c>
      <c r="C5162" t="s">
        <v>123</v>
      </c>
      <c r="D5162" t="s">
        <v>110</v>
      </c>
      <c r="E5162" t="s">
        <v>79</v>
      </c>
      <c r="F5162" t="s">
        <v>972</v>
      </c>
      <c r="G5162">
        <v>4215227</v>
      </c>
      <c r="H5162" t="s">
        <v>973</v>
      </c>
      <c r="I5162" t="s">
        <v>79</v>
      </c>
      <c r="J5162" t="s">
        <v>623</v>
      </c>
      <c r="K5162">
        <v>1</v>
      </c>
      <c r="L5162" t="s">
        <v>413</v>
      </c>
    </row>
    <row r="5163" spans="1:13" customFormat="1" x14ac:dyDescent="0.3">
      <c r="A5163" s="31" t="s">
        <v>770</v>
      </c>
      <c r="B5163" t="s">
        <v>294</v>
      </c>
      <c r="C5163" t="s">
        <v>123</v>
      </c>
      <c r="D5163" t="s">
        <v>110</v>
      </c>
      <c r="E5163" t="s">
        <v>42</v>
      </c>
      <c r="F5163" t="s">
        <v>624</v>
      </c>
      <c r="G5163">
        <v>4215230</v>
      </c>
      <c r="H5163" t="s">
        <v>625</v>
      </c>
      <c r="I5163" t="s">
        <v>42</v>
      </c>
      <c r="J5163" t="s">
        <v>623</v>
      </c>
      <c r="K5163">
        <v>1</v>
      </c>
      <c r="L5163" t="s">
        <v>413</v>
      </c>
    </row>
    <row r="5164" spans="1:13" customFormat="1" x14ac:dyDescent="0.3">
      <c r="A5164" s="31" t="s">
        <v>770</v>
      </c>
      <c r="B5164" t="s">
        <v>294</v>
      </c>
      <c r="C5164" t="s">
        <v>123</v>
      </c>
      <c r="D5164" t="s">
        <v>110</v>
      </c>
      <c r="E5164" t="s">
        <v>43</v>
      </c>
      <c r="F5164" t="s">
        <v>626</v>
      </c>
      <c r="G5164">
        <v>4215235</v>
      </c>
      <c r="H5164" t="s">
        <v>627</v>
      </c>
      <c r="I5164" t="s">
        <v>43</v>
      </c>
      <c r="J5164" t="s">
        <v>623</v>
      </c>
      <c r="K5164">
        <v>1</v>
      </c>
      <c r="L5164" t="s">
        <v>413</v>
      </c>
    </row>
    <row r="5165" spans="1:13" customFormat="1" x14ac:dyDescent="0.3">
      <c r="A5165" s="31" t="s">
        <v>770</v>
      </c>
      <c r="B5165" t="s">
        <v>294</v>
      </c>
      <c r="C5165" t="s">
        <v>123</v>
      </c>
      <c r="D5165" t="s">
        <v>110</v>
      </c>
      <c r="E5165" t="s">
        <v>44</v>
      </c>
      <c r="F5165" t="s">
        <v>628</v>
      </c>
      <c r="G5165">
        <v>4215205</v>
      </c>
      <c r="H5165" t="s">
        <v>629</v>
      </c>
      <c r="I5165" t="s">
        <v>44</v>
      </c>
      <c r="J5165" t="s">
        <v>623</v>
      </c>
      <c r="K5165">
        <v>1</v>
      </c>
      <c r="L5165" t="s">
        <v>413</v>
      </c>
    </row>
    <row r="5166" spans="1:13" customFormat="1" x14ac:dyDescent="0.3">
      <c r="A5166" s="31" t="s">
        <v>770</v>
      </c>
      <c r="B5166" t="s">
        <v>294</v>
      </c>
      <c r="C5166" t="s">
        <v>123</v>
      </c>
      <c r="D5166" t="s">
        <v>110</v>
      </c>
      <c r="E5166" t="s">
        <v>84</v>
      </c>
      <c r="F5166" t="s">
        <v>1062</v>
      </c>
      <c r="G5166">
        <v>4215215</v>
      </c>
      <c r="H5166" t="s">
        <v>1063</v>
      </c>
      <c r="I5166" t="s">
        <v>84</v>
      </c>
      <c r="J5166" t="s">
        <v>623</v>
      </c>
      <c r="K5166">
        <v>1</v>
      </c>
      <c r="L5166" t="s">
        <v>413</v>
      </c>
    </row>
    <row r="5167" spans="1:13" customFormat="1" x14ac:dyDescent="0.3">
      <c r="A5167" s="31" t="s">
        <v>770</v>
      </c>
      <c r="B5167" t="s">
        <v>294</v>
      </c>
      <c r="C5167" t="s">
        <v>120</v>
      </c>
      <c r="D5167" t="s">
        <v>100</v>
      </c>
      <c r="E5167" t="s">
        <v>0</v>
      </c>
      <c r="F5167" t="s">
        <v>269</v>
      </c>
      <c r="G5167" t="s">
        <v>295</v>
      </c>
      <c r="H5167" t="s">
        <v>1235</v>
      </c>
      <c r="I5167" t="s">
        <v>297</v>
      </c>
      <c r="J5167" t="s">
        <v>298</v>
      </c>
      <c r="K5167" t="s">
        <v>372</v>
      </c>
      <c r="L5167" t="s">
        <v>373</v>
      </c>
      <c r="M5167" t="s">
        <v>165</v>
      </c>
    </row>
    <row r="5168" spans="1:13" customFormat="1" x14ac:dyDescent="0.3">
      <c r="A5168" s="31" t="s">
        <v>770</v>
      </c>
      <c r="B5168" t="s">
        <v>294</v>
      </c>
      <c r="C5168" t="s">
        <v>123</v>
      </c>
      <c r="D5168" t="s">
        <v>112</v>
      </c>
      <c r="E5168" t="s">
        <v>80</v>
      </c>
      <c r="F5168" t="s">
        <v>974</v>
      </c>
      <c r="G5168">
        <v>637533398</v>
      </c>
      <c r="H5168" t="s">
        <v>1241</v>
      </c>
      <c r="I5168" t="s">
        <v>375</v>
      </c>
      <c r="J5168">
        <v>5</v>
      </c>
      <c r="K5168" s="1">
        <v>45555</v>
      </c>
      <c r="L5168" t="s">
        <v>770</v>
      </c>
    </row>
    <row r="5169" spans="1:12" customFormat="1" x14ac:dyDescent="0.3">
      <c r="A5169" s="31" t="s">
        <v>770</v>
      </c>
      <c r="B5169" t="s">
        <v>294</v>
      </c>
      <c r="C5169" t="s">
        <v>123</v>
      </c>
      <c r="D5169" t="s">
        <v>112</v>
      </c>
      <c r="E5169" t="s">
        <v>1157</v>
      </c>
      <c r="F5169" t="s">
        <v>1242</v>
      </c>
      <c r="G5169">
        <v>654503314</v>
      </c>
      <c r="H5169" t="s">
        <v>1241</v>
      </c>
      <c r="I5169" t="s">
        <v>375</v>
      </c>
      <c r="J5169">
        <v>5</v>
      </c>
      <c r="K5169" s="1">
        <v>45646</v>
      </c>
      <c r="L5169" t="s">
        <v>1243</v>
      </c>
    </row>
    <row r="5170" spans="1:12" customFormat="1" x14ac:dyDescent="0.3">
      <c r="A5170" s="31" t="s">
        <v>770</v>
      </c>
      <c r="B5170" t="s">
        <v>294</v>
      </c>
      <c r="C5170" t="s">
        <v>123</v>
      </c>
      <c r="D5170" t="s">
        <v>112</v>
      </c>
      <c r="E5170" t="s">
        <v>81</v>
      </c>
      <c r="F5170" t="s">
        <v>975</v>
      </c>
      <c r="G5170">
        <v>637533593</v>
      </c>
      <c r="H5170" t="s">
        <v>1244</v>
      </c>
      <c r="I5170" t="s">
        <v>375</v>
      </c>
      <c r="J5170">
        <v>2</v>
      </c>
      <c r="K5170" s="1">
        <v>45555</v>
      </c>
      <c r="L5170" t="s">
        <v>770</v>
      </c>
    </row>
    <row r="5171" spans="1:12" customFormat="1" x14ac:dyDescent="0.3">
      <c r="A5171" s="31" t="s">
        <v>770</v>
      </c>
      <c r="B5171" t="s">
        <v>294</v>
      </c>
      <c r="C5171" t="s">
        <v>123</v>
      </c>
      <c r="D5171" t="s">
        <v>112</v>
      </c>
      <c r="E5171" t="s">
        <v>1158</v>
      </c>
      <c r="F5171" t="s">
        <v>1245</v>
      </c>
      <c r="G5171">
        <v>654503320</v>
      </c>
      <c r="H5171" t="s">
        <v>1244</v>
      </c>
      <c r="I5171" t="s">
        <v>375</v>
      </c>
      <c r="J5171">
        <v>2</v>
      </c>
      <c r="K5171" s="1">
        <v>45646</v>
      </c>
      <c r="L5171" t="s">
        <v>1243</v>
      </c>
    </row>
    <row r="5172" spans="1:12" customFormat="1" x14ac:dyDescent="0.3">
      <c r="A5172" s="31" t="s">
        <v>770</v>
      </c>
      <c r="B5172" t="s">
        <v>376</v>
      </c>
      <c r="C5172" t="s">
        <v>120</v>
      </c>
      <c r="D5172" t="s">
        <v>165</v>
      </c>
      <c r="E5172" t="s">
        <v>377</v>
      </c>
      <c r="F5172" t="s">
        <v>378</v>
      </c>
      <c r="G5172" t="s">
        <v>379</v>
      </c>
    </row>
    <row r="5173" spans="1:12" customFormat="1" x14ac:dyDescent="0.3">
      <c r="A5173" s="31" t="s">
        <v>770</v>
      </c>
      <c r="B5173" t="s">
        <v>376</v>
      </c>
      <c r="C5173" t="s">
        <v>123</v>
      </c>
      <c r="D5173" t="s">
        <v>380</v>
      </c>
      <c r="E5173" t="s">
        <v>381</v>
      </c>
    </row>
    <row r="5174" spans="1:12" customFormat="1" x14ac:dyDescent="0.3">
      <c r="A5174" s="31" t="s">
        <v>770</v>
      </c>
      <c r="B5174" t="s">
        <v>376</v>
      </c>
      <c r="C5174" t="s">
        <v>123</v>
      </c>
      <c r="D5174" t="s">
        <v>382</v>
      </c>
      <c r="E5174" t="s">
        <v>383</v>
      </c>
    </row>
    <row r="5175" spans="1:12" customFormat="1" x14ac:dyDescent="0.3">
      <c r="A5175" s="31" t="s">
        <v>770</v>
      </c>
      <c r="B5175" t="s">
        <v>376</v>
      </c>
      <c r="C5175" t="s">
        <v>123</v>
      </c>
      <c r="D5175" t="s">
        <v>384</v>
      </c>
      <c r="E5175" t="s">
        <v>385</v>
      </c>
    </row>
    <row r="5176" spans="1:12" customFormat="1" x14ac:dyDescent="0.3">
      <c r="A5176" s="31" t="s">
        <v>770</v>
      </c>
      <c r="B5176" t="s">
        <v>376</v>
      </c>
      <c r="C5176" t="s">
        <v>123</v>
      </c>
      <c r="D5176" t="s">
        <v>386</v>
      </c>
      <c r="E5176" t="s">
        <v>387</v>
      </c>
    </row>
    <row r="5177" spans="1:12" customFormat="1" x14ac:dyDescent="0.3">
      <c r="A5177" s="31" t="s">
        <v>770</v>
      </c>
      <c r="B5177" t="s">
        <v>376</v>
      </c>
      <c r="C5177" t="s">
        <v>123</v>
      </c>
      <c r="D5177" t="s">
        <v>388</v>
      </c>
      <c r="E5177" t="s">
        <v>389</v>
      </c>
    </row>
    <row r="5178" spans="1:12" customFormat="1" x14ac:dyDescent="0.3">
      <c r="A5178" s="31" t="s">
        <v>770</v>
      </c>
      <c r="B5178" t="s">
        <v>376</v>
      </c>
      <c r="C5178" t="s">
        <v>123</v>
      </c>
      <c r="D5178" t="s">
        <v>390</v>
      </c>
      <c r="E5178" t="s">
        <v>391</v>
      </c>
    </row>
    <row r="5179" spans="1:12" customFormat="1" x14ac:dyDescent="0.3">
      <c r="A5179" s="31" t="s">
        <v>770</v>
      </c>
      <c r="B5179" t="s">
        <v>376</v>
      </c>
      <c r="C5179" t="s">
        <v>123</v>
      </c>
      <c r="D5179" t="s">
        <v>392</v>
      </c>
      <c r="E5179" t="s">
        <v>393</v>
      </c>
    </row>
    <row r="5180" spans="1:12" customFormat="1" x14ac:dyDescent="0.3">
      <c r="A5180" s="31" t="s">
        <v>770</v>
      </c>
      <c r="B5180" t="s">
        <v>376</v>
      </c>
      <c r="C5180" t="s">
        <v>123</v>
      </c>
      <c r="D5180" t="s">
        <v>394</v>
      </c>
      <c r="E5180" t="s">
        <v>395</v>
      </c>
    </row>
    <row r="5181" spans="1:12" customFormat="1" x14ac:dyDescent="0.3">
      <c r="A5181" s="31" t="s">
        <v>770</v>
      </c>
      <c r="B5181" t="s">
        <v>376</v>
      </c>
      <c r="C5181" t="s">
        <v>123</v>
      </c>
      <c r="D5181" t="s">
        <v>396</v>
      </c>
      <c r="E5181" t="s">
        <v>397</v>
      </c>
    </row>
    <row r="5182" spans="1:12" customFormat="1" x14ac:dyDescent="0.3">
      <c r="A5182" s="31" t="s">
        <v>770</v>
      </c>
      <c r="B5182" t="s">
        <v>376</v>
      </c>
      <c r="C5182" t="s">
        <v>123</v>
      </c>
      <c r="D5182" t="s">
        <v>3</v>
      </c>
      <c r="E5182" t="s">
        <v>398</v>
      </c>
    </row>
    <row r="5183" spans="1:12" customFormat="1" x14ac:dyDescent="0.3">
      <c r="A5183" s="31" t="s">
        <v>770</v>
      </c>
      <c r="B5183" t="s">
        <v>376</v>
      </c>
      <c r="C5183" t="s">
        <v>123</v>
      </c>
      <c r="D5183" t="s">
        <v>399</v>
      </c>
      <c r="E5183" t="s">
        <v>400</v>
      </c>
    </row>
    <row r="5184" spans="1:12" customFormat="1" x14ac:dyDescent="0.3">
      <c r="A5184" s="31" t="s">
        <v>770</v>
      </c>
      <c r="B5184" t="s">
        <v>376</v>
      </c>
      <c r="C5184" t="s">
        <v>123</v>
      </c>
      <c r="D5184" t="s">
        <v>401</v>
      </c>
      <c r="E5184" t="s">
        <v>402</v>
      </c>
    </row>
    <row r="5185" spans="1:5" customFormat="1" x14ac:dyDescent="0.3">
      <c r="A5185" s="31" t="s">
        <v>770</v>
      </c>
      <c r="B5185" t="s">
        <v>376</v>
      </c>
      <c r="C5185" t="s">
        <v>123</v>
      </c>
      <c r="D5185" t="s">
        <v>403</v>
      </c>
      <c r="E5185" t="s">
        <v>404</v>
      </c>
    </row>
    <row r="5186" spans="1:5" customFormat="1" x14ac:dyDescent="0.3">
      <c r="A5186" s="31" t="s">
        <v>770</v>
      </c>
      <c r="B5186" t="s">
        <v>376</v>
      </c>
      <c r="C5186" t="s">
        <v>123</v>
      </c>
      <c r="D5186" t="s">
        <v>405</v>
      </c>
      <c r="E5186" t="s">
        <v>406</v>
      </c>
    </row>
    <row r="5187" spans="1:5" customFormat="1" x14ac:dyDescent="0.3">
      <c r="A5187" s="31" t="s">
        <v>770</v>
      </c>
      <c r="B5187" t="s">
        <v>376</v>
      </c>
      <c r="C5187" t="s">
        <v>123</v>
      </c>
      <c r="D5187" t="s">
        <v>407</v>
      </c>
      <c r="E5187" t="s">
        <v>408</v>
      </c>
    </row>
    <row r="5188" spans="1:5" customFormat="1" x14ac:dyDescent="0.3">
      <c r="A5188" s="31" t="s">
        <v>770</v>
      </c>
      <c r="B5188" t="s">
        <v>376</v>
      </c>
      <c r="C5188" t="s">
        <v>123</v>
      </c>
      <c r="D5188" t="s">
        <v>409</v>
      </c>
      <c r="E5188" t="s">
        <v>410</v>
      </c>
    </row>
    <row r="5189" spans="1:5" customFormat="1" x14ac:dyDescent="0.3">
      <c r="A5189" s="31" t="s">
        <v>770</v>
      </c>
      <c r="B5189" t="s">
        <v>376</v>
      </c>
      <c r="C5189" t="s">
        <v>123</v>
      </c>
      <c r="D5189" t="s">
        <v>411</v>
      </c>
      <c r="E5189" t="s">
        <v>412</v>
      </c>
    </row>
    <row r="5190" spans="1:5" customFormat="1" x14ac:dyDescent="0.3">
      <c r="A5190" s="31" t="s">
        <v>770</v>
      </c>
      <c r="B5190" t="s">
        <v>376</v>
      </c>
      <c r="C5190" t="s">
        <v>123</v>
      </c>
      <c r="D5190" t="s">
        <v>413</v>
      </c>
      <c r="E5190" t="s">
        <v>414</v>
      </c>
    </row>
    <row r="5191" spans="1:5" customFormat="1" x14ac:dyDescent="0.3">
      <c r="A5191" s="31" t="s">
        <v>770</v>
      </c>
      <c r="B5191" t="s">
        <v>376</v>
      </c>
      <c r="C5191" t="s">
        <v>123</v>
      </c>
      <c r="D5191" t="s">
        <v>415</v>
      </c>
      <c r="E5191" t="s">
        <v>416</v>
      </c>
    </row>
    <row r="5192" spans="1:5" customFormat="1" x14ac:dyDescent="0.3">
      <c r="A5192" s="31" t="s">
        <v>770</v>
      </c>
      <c r="B5192" t="s">
        <v>376</v>
      </c>
      <c r="C5192" t="s">
        <v>123</v>
      </c>
      <c r="D5192" t="s">
        <v>417</v>
      </c>
      <c r="E5192" t="s">
        <v>418</v>
      </c>
    </row>
    <row r="5193" spans="1:5" customFormat="1" x14ac:dyDescent="0.3">
      <c r="A5193" s="31" t="s">
        <v>770</v>
      </c>
      <c r="B5193" t="s">
        <v>376</v>
      </c>
      <c r="C5193" t="s">
        <v>123</v>
      </c>
      <c r="D5193" t="s">
        <v>419</v>
      </c>
      <c r="E5193" t="s">
        <v>420</v>
      </c>
    </row>
    <row r="5194" spans="1:5" customFormat="1" x14ac:dyDescent="0.3">
      <c r="A5194" s="31" t="s">
        <v>770</v>
      </c>
      <c r="B5194" t="s">
        <v>376</v>
      </c>
      <c r="C5194" t="s">
        <v>123</v>
      </c>
      <c r="D5194" t="s">
        <v>421</v>
      </c>
      <c r="E5194" t="s">
        <v>422</v>
      </c>
    </row>
    <row r="5195" spans="1:5" customFormat="1" x14ac:dyDescent="0.3">
      <c r="A5195" s="31" t="s">
        <v>770</v>
      </c>
      <c r="B5195" t="s">
        <v>376</v>
      </c>
      <c r="C5195" t="s">
        <v>123</v>
      </c>
      <c r="D5195" t="s">
        <v>423</v>
      </c>
      <c r="E5195" t="s">
        <v>424</v>
      </c>
    </row>
    <row r="5196" spans="1:5" customFormat="1" x14ac:dyDescent="0.3">
      <c r="A5196" s="31" t="s">
        <v>770</v>
      </c>
      <c r="B5196" t="s">
        <v>376</v>
      </c>
      <c r="C5196" t="s">
        <v>123</v>
      </c>
      <c r="D5196" t="s">
        <v>425</v>
      </c>
      <c r="E5196" t="s">
        <v>426</v>
      </c>
    </row>
    <row r="5197" spans="1:5" customFormat="1" x14ac:dyDescent="0.3">
      <c r="A5197" s="31" t="s">
        <v>770</v>
      </c>
      <c r="B5197" t="s">
        <v>376</v>
      </c>
      <c r="C5197" t="s">
        <v>123</v>
      </c>
      <c r="D5197" t="s">
        <v>427</v>
      </c>
      <c r="E5197" t="s">
        <v>428</v>
      </c>
    </row>
    <row r="5198" spans="1:5" customFormat="1" x14ac:dyDescent="0.3">
      <c r="A5198" s="31" t="s">
        <v>770</v>
      </c>
      <c r="B5198" t="s">
        <v>376</v>
      </c>
      <c r="C5198" t="s">
        <v>123</v>
      </c>
      <c r="D5198" t="s">
        <v>429</v>
      </c>
      <c r="E5198" t="s">
        <v>430</v>
      </c>
    </row>
    <row r="5199" spans="1:5" customFormat="1" x14ac:dyDescent="0.3">
      <c r="A5199" s="31" t="s">
        <v>770</v>
      </c>
      <c r="B5199" t="s">
        <v>376</v>
      </c>
      <c r="C5199" t="s">
        <v>123</v>
      </c>
      <c r="D5199" t="s">
        <v>431</v>
      </c>
      <c r="E5199" t="s">
        <v>432</v>
      </c>
    </row>
    <row r="5200" spans="1:5" customFormat="1" x14ac:dyDescent="0.3">
      <c r="A5200" s="31" t="s">
        <v>770</v>
      </c>
      <c r="B5200" t="s">
        <v>376</v>
      </c>
      <c r="C5200" t="s">
        <v>123</v>
      </c>
      <c r="D5200" t="s">
        <v>433</v>
      </c>
      <c r="E5200" t="s">
        <v>434</v>
      </c>
    </row>
    <row r="5201" spans="1:5" customFormat="1" x14ac:dyDescent="0.3">
      <c r="A5201" s="31" t="s">
        <v>770</v>
      </c>
      <c r="B5201" t="s">
        <v>376</v>
      </c>
      <c r="C5201" t="s">
        <v>123</v>
      </c>
      <c r="D5201" t="s">
        <v>435</v>
      </c>
      <c r="E5201" t="s">
        <v>436</v>
      </c>
    </row>
    <row r="5202" spans="1:5" customFormat="1" x14ac:dyDescent="0.3">
      <c r="A5202" s="31" t="s">
        <v>770</v>
      </c>
      <c r="B5202" t="s">
        <v>376</v>
      </c>
      <c r="C5202" t="s">
        <v>123</v>
      </c>
      <c r="D5202" t="s">
        <v>437</v>
      </c>
      <c r="E5202" t="s">
        <v>438</v>
      </c>
    </row>
    <row r="5203" spans="1:5" customFormat="1" x14ac:dyDescent="0.3">
      <c r="A5203" s="31" t="s">
        <v>770</v>
      </c>
      <c r="B5203" t="s">
        <v>376</v>
      </c>
      <c r="C5203" t="s">
        <v>123</v>
      </c>
      <c r="D5203" t="s">
        <v>439</v>
      </c>
      <c r="E5203" t="s">
        <v>440</v>
      </c>
    </row>
    <row r="5204" spans="1:5" customFormat="1" x14ac:dyDescent="0.3">
      <c r="A5204" s="31" t="s">
        <v>770</v>
      </c>
      <c r="B5204" t="s">
        <v>376</v>
      </c>
      <c r="C5204" t="s">
        <v>123</v>
      </c>
      <c r="D5204" t="s">
        <v>441</v>
      </c>
      <c r="E5204" t="s">
        <v>442</v>
      </c>
    </row>
    <row r="5205" spans="1:5" customFormat="1" x14ac:dyDescent="0.3">
      <c r="A5205" s="31" t="s">
        <v>770</v>
      </c>
      <c r="B5205" t="s">
        <v>376</v>
      </c>
      <c r="C5205" t="s">
        <v>123</v>
      </c>
      <c r="D5205" t="s">
        <v>443</v>
      </c>
      <c r="E5205" t="s">
        <v>444</v>
      </c>
    </row>
    <row r="5206" spans="1:5" customFormat="1" x14ac:dyDescent="0.3">
      <c r="A5206" s="31" t="s">
        <v>770</v>
      </c>
      <c r="B5206" t="s">
        <v>376</v>
      </c>
      <c r="C5206" t="s">
        <v>123</v>
      </c>
      <c r="D5206" t="s">
        <v>445</v>
      </c>
      <c r="E5206" t="s">
        <v>446</v>
      </c>
    </row>
    <row r="5207" spans="1:5" customFormat="1" x14ac:dyDescent="0.3">
      <c r="A5207" s="31" t="s">
        <v>770</v>
      </c>
      <c r="B5207" t="s">
        <v>376</v>
      </c>
      <c r="C5207" t="s">
        <v>123</v>
      </c>
      <c r="D5207" t="s">
        <v>447</v>
      </c>
      <c r="E5207" t="s">
        <v>448</v>
      </c>
    </row>
    <row r="5208" spans="1:5" customFormat="1" x14ac:dyDescent="0.3">
      <c r="A5208" s="31" t="s">
        <v>770</v>
      </c>
      <c r="B5208" t="s">
        <v>376</v>
      </c>
      <c r="C5208" t="s">
        <v>123</v>
      </c>
      <c r="D5208" t="s">
        <v>449</v>
      </c>
      <c r="E5208" t="s">
        <v>450</v>
      </c>
    </row>
    <row r="5209" spans="1:5" customFormat="1" x14ac:dyDescent="0.3">
      <c r="A5209" s="31" t="s">
        <v>770</v>
      </c>
      <c r="B5209" t="s">
        <v>376</v>
      </c>
      <c r="C5209" t="s">
        <v>123</v>
      </c>
      <c r="D5209" t="s">
        <v>451</v>
      </c>
      <c r="E5209" t="s">
        <v>452</v>
      </c>
    </row>
    <row r="5210" spans="1:5" customFormat="1" x14ac:dyDescent="0.3">
      <c r="A5210" s="31" t="s">
        <v>770</v>
      </c>
      <c r="B5210" t="s">
        <v>376</v>
      </c>
      <c r="C5210" t="s">
        <v>123</v>
      </c>
      <c r="D5210" t="s">
        <v>453</v>
      </c>
      <c r="E5210" t="s">
        <v>454</v>
      </c>
    </row>
    <row r="5211" spans="1:5" customFormat="1" x14ac:dyDescent="0.3">
      <c r="A5211" s="31" t="s">
        <v>770</v>
      </c>
      <c r="B5211" t="s">
        <v>376</v>
      </c>
      <c r="C5211" t="s">
        <v>123</v>
      </c>
      <c r="D5211" t="s">
        <v>455</v>
      </c>
      <c r="E5211" t="s">
        <v>456</v>
      </c>
    </row>
    <row r="5212" spans="1:5" customFormat="1" x14ac:dyDescent="0.3">
      <c r="A5212" s="31" t="s">
        <v>770</v>
      </c>
      <c r="B5212" t="s">
        <v>376</v>
      </c>
      <c r="C5212" t="s">
        <v>123</v>
      </c>
      <c r="D5212" t="s">
        <v>457</v>
      </c>
      <c r="E5212" t="s">
        <v>458</v>
      </c>
    </row>
    <row r="5213" spans="1:5" customFormat="1" x14ac:dyDescent="0.3">
      <c r="A5213" s="31" t="s">
        <v>770</v>
      </c>
      <c r="B5213" t="s">
        <v>376</v>
      </c>
      <c r="C5213" t="s">
        <v>123</v>
      </c>
      <c r="D5213" t="s">
        <v>459</v>
      </c>
      <c r="E5213" t="s">
        <v>460</v>
      </c>
    </row>
    <row r="5214" spans="1:5" customFormat="1" x14ac:dyDescent="0.3">
      <c r="A5214" s="31" t="s">
        <v>770</v>
      </c>
      <c r="B5214" t="s">
        <v>376</v>
      </c>
      <c r="C5214" t="s">
        <v>123</v>
      </c>
      <c r="D5214" t="s">
        <v>461</v>
      </c>
      <c r="E5214" t="s">
        <v>462</v>
      </c>
    </row>
    <row r="5215" spans="1:5" customFormat="1" x14ac:dyDescent="0.3">
      <c r="A5215" s="31" t="s">
        <v>770</v>
      </c>
      <c r="B5215" t="s">
        <v>376</v>
      </c>
      <c r="C5215" t="s">
        <v>123</v>
      </c>
      <c r="D5215" t="s">
        <v>463</v>
      </c>
      <c r="E5215" t="s">
        <v>464</v>
      </c>
    </row>
    <row r="5216" spans="1:5" customFormat="1" x14ac:dyDescent="0.3">
      <c r="A5216" s="31" t="s">
        <v>770</v>
      </c>
      <c r="B5216" t="s">
        <v>376</v>
      </c>
      <c r="C5216" t="s">
        <v>123</v>
      </c>
      <c r="D5216" t="s">
        <v>465</v>
      </c>
      <c r="E5216" t="s">
        <v>466</v>
      </c>
    </row>
    <row r="5217" spans="1:5" customFormat="1" x14ac:dyDescent="0.3">
      <c r="A5217" s="31" t="s">
        <v>770</v>
      </c>
      <c r="B5217" t="s">
        <v>376</v>
      </c>
      <c r="C5217" t="s">
        <v>123</v>
      </c>
      <c r="D5217" t="s">
        <v>215</v>
      </c>
      <c r="E5217" t="s">
        <v>467</v>
      </c>
    </row>
    <row r="5218" spans="1:5" customFormat="1" x14ac:dyDescent="0.3">
      <c r="A5218" s="31" t="s">
        <v>770</v>
      </c>
      <c r="B5218" t="s">
        <v>376</v>
      </c>
      <c r="C5218" t="s">
        <v>123</v>
      </c>
      <c r="D5218" t="s">
        <v>468</v>
      </c>
      <c r="E5218" t="s">
        <v>469</v>
      </c>
    </row>
    <row r="5219" spans="1:5" customFormat="1" x14ac:dyDescent="0.3">
      <c r="A5219" s="31" t="s">
        <v>770</v>
      </c>
      <c r="B5219" t="s">
        <v>376</v>
      </c>
      <c r="C5219" t="s">
        <v>123</v>
      </c>
      <c r="D5219" t="s">
        <v>470</v>
      </c>
      <c r="E5219" t="s">
        <v>471</v>
      </c>
    </row>
    <row r="5220" spans="1:5" customFormat="1" x14ac:dyDescent="0.3">
      <c r="A5220" s="31" t="s">
        <v>770</v>
      </c>
      <c r="B5220" t="s">
        <v>376</v>
      </c>
      <c r="C5220" t="s">
        <v>123</v>
      </c>
      <c r="D5220" t="s">
        <v>472</v>
      </c>
      <c r="E5220" t="s">
        <v>473</v>
      </c>
    </row>
    <row r="5221" spans="1:5" customFormat="1" x14ac:dyDescent="0.3">
      <c r="A5221" s="31" t="s">
        <v>770</v>
      </c>
      <c r="B5221" t="s">
        <v>376</v>
      </c>
      <c r="C5221" t="s">
        <v>123</v>
      </c>
      <c r="D5221" t="s">
        <v>474</v>
      </c>
      <c r="E5221" t="s">
        <v>475</v>
      </c>
    </row>
    <row r="5222" spans="1:5" customFormat="1" x14ac:dyDescent="0.3">
      <c r="A5222" s="31" t="s">
        <v>770</v>
      </c>
      <c r="B5222" t="s">
        <v>376</v>
      </c>
      <c r="C5222" t="s">
        <v>123</v>
      </c>
      <c r="D5222" t="s">
        <v>476</v>
      </c>
      <c r="E5222" t="s">
        <v>477</v>
      </c>
    </row>
    <row r="5223" spans="1:5" customFormat="1" x14ac:dyDescent="0.3">
      <c r="A5223" s="31" t="s">
        <v>770</v>
      </c>
      <c r="B5223" t="s">
        <v>376</v>
      </c>
      <c r="C5223" t="s">
        <v>123</v>
      </c>
      <c r="D5223" t="s">
        <v>291</v>
      </c>
      <c r="E5223" t="s">
        <v>478</v>
      </c>
    </row>
    <row r="5224" spans="1:5" customFormat="1" x14ac:dyDescent="0.3">
      <c r="A5224" s="31" t="s">
        <v>770</v>
      </c>
      <c r="B5224" t="s">
        <v>376</v>
      </c>
      <c r="C5224" t="s">
        <v>123</v>
      </c>
      <c r="D5224" t="s">
        <v>479</v>
      </c>
      <c r="E5224" t="s">
        <v>480</v>
      </c>
    </row>
    <row r="5225" spans="1:5" customFormat="1" x14ac:dyDescent="0.3">
      <c r="A5225" s="31" t="s">
        <v>770</v>
      </c>
      <c r="B5225" t="s">
        <v>376</v>
      </c>
      <c r="C5225" t="s">
        <v>123</v>
      </c>
      <c r="D5225" t="s">
        <v>481</v>
      </c>
      <c r="E5225" t="s">
        <v>482</v>
      </c>
    </row>
    <row r="5226" spans="1:5" customFormat="1" x14ac:dyDescent="0.3">
      <c r="A5226" s="31" t="s">
        <v>770</v>
      </c>
      <c r="B5226" t="s">
        <v>376</v>
      </c>
      <c r="C5226" t="s">
        <v>123</v>
      </c>
      <c r="D5226" t="s">
        <v>483</v>
      </c>
      <c r="E5226" t="s">
        <v>484</v>
      </c>
    </row>
    <row r="5227" spans="1:5" customFormat="1" x14ac:dyDescent="0.3">
      <c r="A5227" s="31" t="s">
        <v>770</v>
      </c>
      <c r="B5227" t="s">
        <v>376</v>
      </c>
      <c r="C5227" t="s">
        <v>123</v>
      </c>
      <c r="D5227" t="s">
        <v>485</v>
      </c>
      <c r="E5227" t="s">
        <v>486</v>
      </c>
    </row>
    <row r="5228" spans="1:5" customFormat="1" x14ac:dyDescent="0.3">
      <c r="A5228" s="31" t="s">
        <v>770</v>
      </c>
      <c r="B5228" t="s">
        <v>376</v>
      </c>
      <c r="C5228" t="s">
        <v>123</v>
      </c>
      <c r="D5228" t="s">
        <v>487</v>
      </c>
      <c r="E5228" t="s">
        <v>488</v>
      </c>
    </row>
    <row r="5229" spans="1:5" customFormat="1" x14ac:dyDescent="0.3">
      <c r="A5229" s="31" t="s">
        <v>770</v>
      </c>
      <c r="B5229" t="s">
        <v>376</v>
      </c>
      <c r="C5229" t="s">
        <v>123</v>
      </c>
      <c r="D5229" t="s">
        <v>489</v>
      </c>
      <c r="E5229" t="s">
        <v>490</v>
      </c>
    </row>
    <row r="5230" spans="1:5" customFormat="1" x14ac:dyDescent="0.3">
      <c r="A5230" s="31" t="s">
        <v>770</v>
      </c>
      <c r="B5230" t="s">
        <v>376</v>
      </c>
      <c r="C5230" t="s">
        <v>123</v>
      </c>
      <c r="D5230" t="s">
        <v>491</v>
      </c>
      <c r="E5230" t="s">
        <v>492</v>
      </c>
    </row>
    <row r="5231" spans="1:5" customFormat="1" x14ac:dyDescent="0.3">
      <c r="A5231" s="31" t="s">
        <v>770</v>
      </c>
      <c r="B5231" t="s">
        <v>376</v>
      </c>
      <c r="C5231" t="s">
        <v>123</v>
      </c>
      <c r="D5231" t="s">
        <v>292</v>
      </c>
      <c r="E5231" t="s">
        <v>493</v>
      </c>
    </row>
    <row r="5232" spans="1:5" customFormat="1" x14ac:dyDescent="0.3">
      <c r="A5232" s="31" t="s">
        <v>770</v>
      </c>
      <c r="B5232" t="s">
        <v>376</v>
      </c>
      <c r="C5232" t="s">
        <v>123</v>
      </c>
      <c r="D5232" t="s">
        <v>494</v>
      </c>
      <c r="E5232" t="s">
        <v>495</v>
      </c>
    </row>
    <row r="5233" spans="1:5" customFormat="1" x14ac:dyDescent="0.3">
      <c r="A5233" s="31" t="s">
        <v>770</v>
      </c>
      <c r="B5233" t="s">
        <v>376</v>
      </c>
      <c r="C5233" t="s">
        <v>123</v>
      </c>
      <c r="D5233" t="s">
        <v>496</v>
      </c>
      <c r="E5233" t="s">
        <v>497</v>
      </c>
    </row>
    <row r="5234" spans="1:5" customFormat="1" x14ac:dyDescent="0.3">
      <c r="A5234" s="31" t="s">
        <v>770</v>
      </c>
      <c r="B5234" t="s">
        <v>376</v>
      </c>
      <c r="C5234" t="s">
        <v>123</v>
      </c>
      <c r="D5234" t="s">
        <v>498</v>
      </c>
      <c r="E5234" t="s">
        <v>499</v>
      </c>
    </row>
    <row r="5235" spans="1:5" customFormat="1" x14ac:dyDescent="0.3">
      <c r="A5235" s="31" t="s">
        <v>770</v>
      </c>
      <c r="B5235" t="s">
        <v>376</v>
      </c>
      <c r="C5235" t="s">
        <v>123</v>
      </c>
      <c r="D5235" t="s">
        <v>500</v>
      </c>
      <c r="E5235" t="s">
        <v>501</v>
      </c>
    </row>
    <row r="5236" spans="1:5" customFormat="1" x14ac:dyDescent="0.3">
      <c r="A5236" s="31" t="s">
        <v>770</v>
      </c>
      <c r="B5236" t="s">
        <v>376</v>
      </c>
      <c r="C5236" t="s">
        <v>123</v>
      </c>
      <c r="D5236" t="s">
        <v>502</v>
      </c>
      <c r="E5236" t="s">
        <v>503</v>
      </c>
    </row>
    <row r="5237" spans="1:5" customFormat="1" x14ac:dyDescent="0.3">
      <c r="A5237" s="31" t="s">
        <v>770</v>
      </c>
      <c r="B5237" t="s">
        <v>376</v>
      </c>
      <c r="C5237" t="s">
        <v>123</v>
      </c>
      <c r="D5237" t="s">
        <v>504</v>
      </c>
      <c r="E5237" t="s">
        <v>505</v>
      </c>
    </row>
    <row r="5238" spans="1:5" customFormat="1" x14ac:dyDescent="0.3">
      <c r="A5238" s="31" t="s">
        <v>770</v>
      </c>
      <c r="B5238" t="s">
        <v>376</v>
      </c>
      <c r="C5238" t="s">
        <v>123</v>
      </c>
      <c r="D5238" t="s">
        <v>506</v>
      </c>
      <c r="E5238" t="s">
        <v>507</v>
      </c>
    </row>
    <row r="5239" spans="1:5" customFormat="1" x14ac:dyDescent="0.3">
      <c r="A5239" s="31" t="s">
        <v>770</v>
      </c>
      <c r="B5239" t="s">
        <v>376</v>
      </c>
      <c r="C5239" t="s">
        <v>123</v>
      </c>
      <c r="D5239" t="s">
        <v>508</v>
      </c>
      <c r="E5239" t="s">
        <v>509</v>
      </c>
    </row>
    <row r="5240" spans="1:5" customFormat="1" x14ac:dyDescent="0.3">
      <c r="A5240" s="31" t="s">
        <v>770</v>
      </c>
      <c r="B5240" t="s">
        <v>376</v>
      </c>
      <c r="C5240" t="s">
        <v>123</v>
      </c>
      <c r="D5240" t="s">
        <v>510</v>
      </c>
      <c r="E5240" t="s">
        <v>511</v>
      </c>
    </row>
    <row r="5241" spans="1:5" customFormat="1" x14ac:dyDescent="0.3">
      <c r="A5241" s="31" t="s">
        <v>770</v>
      </c>
      <c r="B5241" t="s">
        <v>376</v>
      </c>
      <c r="C5241" t="s">
        <v>123</v>
      </c>
      <c r="D5241" t="s">
        <v>555</v>
      </c>
      <c r="E5241" t="s">
        <v>1246</v>
      </c>
    </row>
    <row r="5242" spans="1:5" customFormat="1" x14ac:dyDescent="0.3">
      <c r="A5242" s="31" t="s">
        <v>770</v>
      </c>
      <c r="B5242" t="s">
        <v>376</v>
      </c>
      <c r="C5242" t="s">
        <v>123</v>
      </c>
      <c r="D5242" t="s">
        <v>512</v>
      </c>
      <c r="E5242" t="s">
        <v>513</v>
      </c>
    </row>
    <row r="5243" spans="1:5" customFormat="1" x14ac:dyDescent="0.3">
      <c r="A5243" s="31" t="s">
        <v>770</v>
      </c>
      <c r="B5243" t="s">
        <v>376</v>
      </c>
      <c r="C5243" t="s">
        <v>123</v>
      </c>
      <c r="D5243" t="s">
        <v>514</v>
      </c>
      <c r="E5243" t="s">
        <v>515</v>
      </c>
    </row>
    <row r="5244" spans="1:5" customFormat="1" x14ac:dyDescent="0.3">
      <c r="A5244" s="31" t="s">
        <v>770</v>
      </c>
      <c r="B5244" t="s">
        <v>376</v>
      </c>
      <c r="C5244" t="s">
        <v>123</v>
      </c>
      <c r="D5244" t="s">
        <v>516</v>
      </c>
      <c r="E5244" t="s">
        <v>517</v>
      </c>
    </row>
    <row r="5245" spans="1:5" customFormat="1" x14ac:dyDescent="0.3">
      <c r="A5245" s="31" t="s">
        <v>770</v>
      </c>
      <c r="B5245" t="s">
        <v>518</v>
      </c>
      <c r="C5245" t="s">
        <v>120</v>
      </c>
      <c r="D5245" t="s">
        <v>299</v>
      </c>
      <c r="E5245" t="s">
        <v>519</v>
      </c>
    </row>
    <row r="5246" spans="1:5" customFormat="1" x14ac:dyDescent="0.3">
      <c r="A5246" s="31" t="s">
        <v>770</v>
      </c>
      <c r="B5246" t="s">
        <v>518</v>
      </c>
      <c r="C5246" t="s">
        <v>123</v>
      </c>
      <c r="D5246" t="s">
        <v>520</v>
      </c>
      <c r="E5246" t="s">
        <v>521</v>
      </c>
    </row>
    <row r="5247" spans="1:5" customFormat="1" x14ac:dyDescent="0.3">
      <c r="A5247" s="31" t="s">
        <v>770</v>
      </c>
      <c r="B5247" t="s">
        <v>518</v>
      </c>
      <c r="C5247" t="s">
        <v>123</v>
      </c>
      <c r="D5247" t="s">
        <v>520</v>
      </c>
      <c r="E5247" t="s">
        <v>522</v>
      </c>
    </row>
    <row r="5248" spans="1:5" customFormat="1" x14ac:dyDescent="0.3">
      <c r="A5248" s="31" t="s">
        <v>770</v>
      </c>
      <c r="B5248" t="s">
        <v>518</v>
      </c>
      <c r="C5248" t="s">
        <v>123</v>
      </c>
      <c r="D5248" t="s">
        <v>520</v>
      </c>
      <c r="E5248" t="s">
        <v>523</v>
      </c>
    </row>
    <row r="5249" spans="1:5" customFormat="1" x14ac:dyDescent="0.3">
      <c r="A5249" s="31" t="s">
        <v>770</v>
      </c>
      <c r="B5249" t="s">
        <v>518</v>
      </c>
      <c r="C5249" t="s">
        <v>123</v>
      </c>
      <c r="D5249" t="s">
        <v>520</v>
      </c>
      <c r="E5249" t="s">
        <v>524</v>
      </c>
    </row>
    <row r="5250" spans="1:5" customFormat="1" x14ac:dyDescent="0.3">
      <c r="A5250" s="31" t="s">
        <v>770</v>
      </c>
      <c r="B5250" t="s">
        <v>518</v>
      </c>
      <c r="C5250" t="s">
        <v>123</v>
      </c>
      <c r="D5250" t="s">
        <v>520</v>
      </c>
      <c r="E5250" t="s">
        <v>525</v>
      </c>
    </row>
    <row r="5251" spans="1:5" customFormat="1" x14ac:dyDescent="0.3">
      <c r="A5251" s="31" t="s">
        <v>770</v>
      </c>
      <c r="B5251" t="s">
        <v>518</v>
      </c>
      <c r="C5251" t="s">
        <v>123</v>
      </c>
      <c r="D5251" t="s">
        <v>520</v>
      </c>
      <c r="E5251" t="s">
        <v>526</v>
      </c>
    </row>
    <row r="5252" spans="1:5" customFormat="1" x14ac:dyDescent="0.3">
      <c r="A5252" s="31" t="s">
        <v>770</v>
      </c>
      <c r="B5252" t="s">
        <v>518</v>
      </c>
      <c r="C5252" t="s">
        <v>123</v>
      </c>
      <c r="D5252" t="s">
        <v>520</v>
      </c>
      <c r="E5252" t="s">
        <v>527</v>
      </c>
    </row>
    <row r="5253" spans="1:5" customFormat="1" x14ac:dyDescent="0.3">
      <c r="A5253" s="31" t="s">
        <v>770</v>
      </c>
      <c r="B5253" t="s">
        <v>518</v>
      </c>
      <c r="C5253" t="s">
        <v>123</v>
      </c>
      <c r="D5253" t="s">
        <v>520</v>
      </c>
      <c r="E5253" t="s">
        <v>528</v>
      </c>
    </row>
    <row r="5254" spans="1:5" customFormat="1" x14ac:dyDescent="0.3">
      <c r="A5254" s="31" t="s">
        <v>770</v>
      </c>
      <c r="B5254" t="s">
        <v>518</v>
      </c>
      <c r="C5254" t="s">
        <v>123</v>
      </c>
      <c r="D5254" t="s">
        <v>520</v>
      </c>
      <c r="E5254" t="s">
        <v>529</v>
      </c>
    </row>
    <row r="5255" spans="1:5" customFormat="1" x14ac:dyDescent="0.3">
      <c r="A5255" s="31" t="s">
        <v>770</v>
      </c>
      <c r="B5255" t="s">
        <v>518</v>
      </c>
      <c r="C5255" t="s">
        <v>123</v>
      </c>
      <c r="D5255" t="s">
        <v>520</v>
      </c>
      <c r="E5255" t="s">
        <v>530</v>
      </c>
    </row>
    <row r="5256" spans="1:5" customFormat="1" x14ac:dyDescent="0.3">
      <c r="A5256" s="31" t="s">
        <v>770</v>
      </c>
      <c r="B5256" t="s">
        <v>518</v>
      </c>
      <c r="C5256" t="s">
        <v>123</v>
      </c>
      <c r="D5256" t="s">
        <v>520</v>
      </c>
      <c r="E5256" t="s">
        <v>531</v>
      </c>
    </row>
    <row r="5257" spans="1:5" customFormat="1" x14ac:dyDescent="0.3">
      <c r="A5257" s="31" t="s">
        <v>770</v>
      </c>
      <c r="B5257" t="s">
        <v>518</v>
      </c>
      <c r="C5257" t="s">
        <v>123</v>
      </c>
      <c r="D5257" t="s">
        <v>520</v>
      </c>
      <c r="E5257" t="s">
        <v>532</v>
      </c>
    </row>
    <row r="5258" spans="1:5" customFormat="1" x14ac:dyDescent="0.3">
      <c r="A5258" s="31" t="s">
        <v>770</v>
      </c>
      <c r="B5258" t="s">
        <v>518</v>
      </c>
      <c r="C5258" t="s">
        <v>123</v>
      </c>
      <c r="D5258" t="s">
        <v>520</v>
      </c>
      <c r="E5258" t="s">
        <v>533</v>
      </c>
    </row>
    <row r="5259" spans="1:5" customFormat="1" x14ac:dyDescent="0.3">
      <c r="A5259" s="31" t="s">
        <v>770</v>
      </c>
      <c r="B5259" t="s">
        <v>518</v>
      </c>
      <c r="C5259" t="s">
        <v>123</v>
      </c>
      <c r="D5259" t="s">
        <v>520</v>
      </c>
      <c r="E5259" t="s">
        <v>534</v>
      </c>
    </row>
    <row r="5260" spans="1:5" customFormat="1" x14ac:dyDescent="0.3">
      <c r="A5260" s="31" t="s">
        <v>770</v>
      </c>
      <c r="B5260" t="s">
        <v>518</v>
      </c>
      <c r="C5260" t="s">
        <v>123</v>
      </c>
      <c r="D5260" t="s">
        <v>520</v>
      </c>
      <c r="E5260" t="s">
        <v>535</v>
      </c>
    </row>
    <row r="5261" spans="1:5" customFormat="1" x14ac:dyDescent="0.3">
      <c r="A5261" s="31" t="s">
        <v>770</v>
      </c>
      <c r="B5261" t="s">
        <v>518</v>
      </c>
      <c r="C5261" t="s">
        <v>123</v>
      </c>
      <c r="D5261" t="s">
        <v>520</v>
      </c>
      <c r="E5261" t="s">
        <v>536</v>
      </c>
    </row>
    <row r="5262" spans="1:5" customFormat="1" x14ac:dyDescent="0.3">
      <c r="A5262" s="31" t="s">
        <v>770</v>
      </c>
      <c r="B5262" t="s">
        <v>518</v>
      </c>
      <c r="C5262" t="s">
        <v>123</v>
      </c>
      <c r="D5262" t="s">
        <v>520</v>
      </c>
      <c r="E5262" t="s">
        <v>537</v>
      </c>
    </row>
    <row r="5263" spans="1:5" customFormat="1" x14ac:dyDescent="0.3">
      <c r="A5263" s="31" t="s">
        <v>770</v>
      </c>
      <c r="B5263" t="s">
        <v>518</v>
      </c>
      <c r="C5263" t="s">
        <v>123</v>
      </c>
      <c r="D5263" t="s">
        <v>538</v>
      </c>
      <c r="E5263" t="s">
        <v>539</v>
      </c>
    </row>
    <row r="5264" spans="1:5" customFormat="1" x14ac:dyDescent="0.3">
      <c r="A5264" s="31" t="s">
        <v>770</v>
      </c>
      <c r="B5264" t="s">
        <v>518</v>
      </c>
      <c r="C5264" t="s">
        <v>123</v>
      </c>
      <c r="D5264" t="s">
        <v>540</v>
      </c>
      <c r="E5264" t="s">
        <v>1247</v>
      </c>
    </row>
    <row r="5265" spans="1:5" customFormat="1" x14ac:dyDescent="0.3">
      <c r="A5265" s="31" t="s">
        <v>770</v>
      </c>
      <c r="B5265" t="s">
        <v>518</v>
      </c>
      <c r="C5265" t="s">
        <v>123</v>
      </c>
      <c r="D5265" t="s">
        <v>542</v>
      </c>
      <c r="E5265" t="s">
        <v>1506</v>
      </c>
    </row>
    <row r="5266" spans="1:5" customFormat="1" x14ac:dyDescent="0.3">
      <c r="A5266" s="31" t="s">
        <v>770</v>
      </c>
      <c r="B5266" t="s">
        <v>518</v>
      </c>
      <c r="C5266" t="s">
        <v>123</v>
      </c>
      <c r="D5266" t="s">
        <v>542</v>
      </c>
      <c r="E5266" t="s">
        <v>1248</v>
      </c>
    </row>
    <row r="5267" spans="1:5" customFormat="1" x14ac:dyDescent="0.3">
      <c r="A5267" s="31" t="s">
        <v>770</v>
      </c>
      <c r="B5267" t="s">
        <v>518</v>
      </c>
      <c r="C5267" t="s">
        <v>123</v>
      </c>
      <c r="D5267" t="s">
        <v>542</v>
      </c>
      <c r="E5267" t="s">
        <v>544</v>
      </c>
    </row>
    <row r="5268" spans="1:5" customFormat="1" x14ac:dyDescent="0.3">
      <c r="A5268" s="31" t="s">
        <v>770</v>
      </c>
      <c r="B5268" t="s">
        <v>518</v>
      </c>
      <c r="C5268" t="s">
        <v>123</v>
      </c>
      <c r="D5268" t="s">
        <v>542</v>
      </c>
      <c r="E5268" t="s">
        <v>545</v>
      </c>
    </row>
    <row r="5269" spans="1:5" customFormat="1" x14ac:dyDescent="0.3">
      <c r="A5269" s="31" t="s">
        <v>770</v>
      </c>
      <c r="B5269" t="s">
        <v>518</v>
      </c>
      <c r="C5269" t="s">
        <v>123</v>
      </c>
      <c r="D5269" t="s">
        <v>542</v>
      </c>
      <c r="E5269" t="s">
        <v>1249</v>
      </c>
    </row>
    <row r="5270" spans="1:5" customFormat="1" x14ac:dyDescent="0.3">
      <c r="A5270" s="31" t="s">
        <v>770</v>
      </c>
      <c r="B5270" t="s">
        <v>518</v>
      </c>
      <c r="C5270" t="s">
        <v>123</v>
      </c>
      <c r="D5270" t="s">
        <v>542</v>
      </c>
      <c r="E5270" t="s">
        <v>547</v>
      </c>
    </row>
    <row r="5271" spans="1:5" customFormat="1" x14ac:dyDescent="0.3">
      <c r="A5271" s="31" t="s">
        <v>770</v>
      </c>
      <c r="B5271" t="s">
        <v>518</v>
      </c>
      <c r="C5271" t="s">
        <v>123</v>
      </c>
      <c r="D5271" t="s">
        <v>542</v>
      </c>
      <c r="E5271" t="s">
        <v>1507</v>
      </c>
    </row>
    <row r="5272" spans="1:5" customFormat="1" x14ac:dyDescent="0.3">
      <c r="A5272" s="31" t="s">
        <v>770</v>
      </c>
      <c r="B5272" t="s">
        <v>518</v>
      </c>
      <c r="C5272" t="s">
        <v>123</v>
      </c>
      <c r="D5272" t="s">
        <v>542</v>
      </c>
      <c r="E5272" t="s">
        <v>1508</v>
      </c>
    </row>
    <row r="5273" spans="1:5" customFormat="1" x14ac:dyDescent="0.3">
      <c r="A5273" s="31" t="s">
        <v>770</v>
      </c>
      <c r="B5273" t="s">
        <v>518</v>
      </c>
      <c r="C5273" t="s">
        <v>123</v>
      </c>
      <c r="D5273" t="s">
        <v>542</v>
      </c>
      <c r="E5273" t="s">
        <v>548</v>
      </c>
    </row>
    <row r="5274" spans="1:5" customFormat="1" x14ac:dyDescent="0.3">
      <c r="A5274" s="31" t="s">
        <v>770</v>
      </c>
      <c r="B5274" t="s">
        <v>518</v>
      </c>
      <c r="C5274" t="s">
        <v>123</v>
      </c>
      <c r="D5274" t="s">
        <v>542</v>
      </c>
      <c r="E5274" t="s">
        <v>549</v>
      </c>
    </row>
    <row r="5275" spans="1:5" customFormat="1" x14ac:dyDescent="0.3">
      <c r="A5275" s="31" t="s">
        <v>770</v>
      </c>
      <c r="B5275" t="s">
        <v>518</v>
      </c>
      <c r="C5275" t="s">
        <v>123</v>
      </c>
      <c r="D5275" t="s">
        <v>542</v>
      </c>
      <c r="E5275" t="s">
        <v>550</v>
      </c>
    </row>
    <row r="5276" spans="1:5" customFormat="1" x14ac:dyDescent="0.3">
      <c r="A5276" s="31" t="s">
        <v>770</v>
      </c>
      <c r="B5276" t="s">
        <v>518</v>
      </c>
      <c r="C5276" t="s">
        <v>123</v>
      </c>
      <c r="D5276" t="s">
        <v>542</v>
      </c>
      <c r="E5276" t="s">
        <v>551</v>
      </c>
    </row>
    <row r="5277" spans="1:5" customFormat="1" x14ac:dyDescent="0.3">
      <c r="A5277" s="31" t="s">
        <v>770</v>
      </c>
      <c r="B5277" t="s">
        <v>518</v>
      </c>
      <c r="C5277" t="s">
        <v>123</v>
      </c>
      <c r="E5277" t="s">
        <v>552</v>
      </c>
    </row>
    <row r="5278" spans="1:5" customFormat="1" x14ac:dyDescent="0.3">
      <c r="A5278" s="12" t="s">
        <v>1250</v>
      </c>
      <c r="B5278" t="s">
        <v>119</v>
      </c>
      <c r="C5278" t="s">
        <v>123</v>
      </c>
      <c r="D5278" t="s">
        <v>124</v>
      </c>
      <c r="E5278" t="s">
        <v>125</v>
      </c>
    </row>
    <row r="5279" spans="1:5" customFormat="1" x14ac:dyDescent="0.3">
      <c r="A5279" s="12" t="s">
        <v>1250</v>
      </c>
      <c r="B5279" t="s">
        <v>119</v>
      </c>
      <c r="C5279" t="s">
        <v>123</v>
      </c>
      <c r="D5279" t="s">
        <v>126</v>
      </c>
    </row>
    <row r="5280" spans="1:5" customFormat="1" x14ac:dyDescent="0.3">
      <c r="A5280" s="12" t="s">
        <v>1250</v>
      </c>
      <c r="B5280" t="s">
        <v>119</v>
      </c>
      <c r="C5280" t="s">
        <v>123</v>
      </c>
      <c r="D5280" t="s">
        <v>127</v>
      </c>
      <c r="E5280" t="s">
        <v>128</v>
      </c>
    </row>
    <row r="5281" spans="1:9" customFormat="1" x14ac:dyDescent="0.3">
      <c r="A5281" s="12" t="s">
        <v>1250</v>
      </c>
      <c r="B5281" t="s">
        <v>119</v>
      </c>
      <c r="C5281" t="s">
        <v>123</v>
      </c>
      <c r="D5281" t="s">
        <v>129</v>
      </c>
      <c r="E5281" t="s">
        <v>1251</v>
      </c>
    </row>
    <row r="5282" spans="1:9" customFormat="1" x14ac:dyDescent="0.3">
      <c r="A5282" s="12" t="s">
        <v>1250</v>
      </c>
      <c r="B5282" t="s">
        <v>119</v>
      </c>
      <c r="C5282" t="s">
        <v>123</v>
      </c>
      <c r="D5282" t="s">
        <v>131</v>
      </c>
      <c r="E5282" t="s">
        <v>1252</v>
      </c>
    </row>
    <row r="5283" spans="1:9" customFormat="1" x14ac:dyDescent="0.3">
      <c r="A5283" s="12" t="s">
        <v>1250</v>
      </c>
      <c r="B5283" t="s">
        <v>133</v>
      </c>
      <c r="C5283" t="s">
        <v>120</v>
      </c>
      <c r="D5283" t="s">
        <v>121</v>
      </c>
      <c r="E5283" t="s">
        <v>122</v>
      </c>
    </row>
    <row r="5284" spans="1:9" customFormat="1" x14ac:dyDescent="0.3">
      <c r="A5284" s="12" t="s">
        <v>1250</v>
      </c>
      <c r="B5284" t="s">
        <v>133</v>
      </c>
      <c r="C5284" t="s">
        <v>123</v>
      </c>
      <c r="D5284" t="s">
        <v>134</v>
      </c>
    </row>
    <row r="5285" spans="1:9" customFormat="1" x14ac:dyDescent="0.3">
      <c r="A5285" s="12" t="s">
        <v>1250</v>
      </c>
      <c r="B5285" t="s">
        <v>133</v>
      </c>
      <c r="C5285" t="s">
        <v>123</v>
      </c>
      <c r="D5285" t="s">
        <v>135</v>
      </c>
    </row>
    <row r="5286" spans="1:9" customFormat="1" x14ac:dyDescent="0.3">
      <c r="A5286" s="12" t="s">
        <v>1250</v>
      </c>
      <c r="B5286" t="s">
        <v>133</v>
      </c>
      <c r="C5286" t="s">
        <v>123</v>
      </c>
      <c r="D5286" t="s">
        <v>136</v>
      </c>
    </row>
    <row r="5287" spans="1:9" customFormat="1" x14ac:dyDescent="0.3">
      <c r="A5287" s="12" t="s">
        <v>1250</v>
      </c>
      <c r="B5287" t="s">
        <v>133</v>
      </c>
      <c r="C5287" t="s">
        <v>123</v>
      </c>
      <c r="D5287" t="s">
        <v>137</v>
      </c>
    </row>
    <row r="5288" spans="1:9" customFormat="1" x14ac:dyDescent="0.3">
      <c r="A5288" s="12" t="s">
        <v>1250</v>
      </c>
      <c r="B5288" t="s">
        <v>133</v>
      </c>
      <c r="C5288" t="s">
        <v>123</v>
      </c>
      <c r="D5288" t="s">
        <v>138</v>
      </c>
      <c r="E5288" t="s">
        <v>139</v>
      </c>
    </row>
    <row r="5289" spans="1:9" customFormat="1" x14ac:dyDescent="0.3">
      <c r="A5289" s="12" t="s">
        <v>1250</v>
      </c>
      <c r="B5289" t="s">
        <v>133</v>
      </c>
      <c r="C5289" t="s">
        <v>123</v>
      </c>
      <c r="D5289" t="s">
        <v>140</v>
      </c>
      <c r="E5289" t="s">
        <v>141</v>
      </c>
    </row>
    <row r="5290" spans="1:9" customFormat="1" x14ac:dyDescent="0.3">
      <c r="A5290" s="12" t="s">
        <v>1250</v>
      </c>
      <c r="B5290" t="s">
        <v>133</v>
      </c>
      <c r="C5290" t="s">
        <v>123</v>
      </c>
      <c r="D5290" t="s">
        <v>142</v>
      </c>
      <c r="E5290" t="s">
        <v>114</v>
      </c>
    </row>
    <row r="5291" spans="1:9" customFormat="1" x14ac:dyDescent="0.3">
      <c r="A5291" s="12" t="s">
        <v>1250</v>
      </c>
      <c r="B5291" t="s">
        <v>143</v>
      </c>
      <c r="C5291" t="s">
        <v>120</v>
      </c>
      <c r="D5291" t="s">
        <v>144</v>
      </c>
      <c r="E5291" t="s">
        <v>145</v>
      </c>
      <c r="F5291" t="s">
        <v>146</v>
      </c>
      <c r="G5291" t="s">
        <v>147</v>
      </c>
      <c r="H5291" t="s">
        <v>148</v>
      </c>
      <c r="I5291" t="s">
        <v>99</v>
      </c>
    </row>
    <row r="5292" spans="1:9" customFormat="1" x14ac:dyDescent="0.3">
      <c r="A5292" s="12" t="s">
        <v>1250</v>
      </c>
      <c r="B5292" t="s">
        <v>143</v>
      </c>
      <c r="C5292" t="s">
        <v>123</v>
      </c>
      <c r="D5292" t="s">
        <v>149</v>
      </c>
      <c r="E5292">
        <v>11188.421125000001</v>
      </c>
      <c r="F5292">
        <v>71547.261125000005</v>
      </c>
      <c r="G5292">
        <v>0</v>
      </c>
      <c r="H5292">
        <v>71547.261125000005</v>
      </c>
      <c r="I5292">
        <v>60358.84</v>
      </c>
    </row>
    <row r="5293" spans="1:9" customFormat="1" x14ac:dyDescent="0.3">
      <c r="A5293" s="12" t="s">
        <v>1250</v>
      </c>
      <c r="B5293" t="s">
        <v>143</v>
      </c>
      <c r="C5293" t="s">
        <v>123</v>
      </c>
      <c r="D5293" t="s">
        <v>150</v>
      </c>
      <c r="E5293">
        <v>501385.9</v>
      </c>
      <c r="F5293">
        <v>436128.83</v>
      </c>
      <c r="G5293">
        <v>0</v>
      </c>
      <c r="H5293">
        <v>436128.83</v>
      </c>
      <c r="I5293">
        <v>-65257.07</v>
      </c>
    </row>
    <row r="5294" spans="1:9" customFormat="1" x14ac:dyDescent="0.3">
      <c r="A5294" s="12" t="s">
        <v>1250</v>
      </c>
      <c r="B5294" t="s">
        <v>143</v>
      </c>
      <c r="C5294" t="s">
        <v>123</v>
      </c>
      <c r="D5294" t="s">
        <v>151</v>
      </c>
      <c r="E5294">
        <v>-51.91</v>
      </c>
      <c r="F5294">
        <v>67</v>
      </c>
      <c r="G5294">
        <v>-14.22</v>
      </c>
      <c r="H5294">
        <v>52.78</v>
      </c>
      <c r="I5294">
        <v>104.69</v>
      </c>
    </row>
    <row r="5295" spans="1:9" customFormat="1" x14ac:dyDescent="0.3">
      <c r="A5295" s="12" t="s">
        <v>1250</v>
      </c>
      <c r="B5295" t="s">
        <v>143</v>
      </c>
      <c r="C5295" t="s">
        <v>123</v>
      </c>
      <c r="D5295" t="s">
        <v>152</v>
      </c>
      <c r="E5295">
        <v>140.66</v>
      </c>
      <c r="F5295">
        <v>45.3</v>
      </c>
      <c r="G5295">
        <v>0</v>
      </c>
      <c r="H5295">
        <v>45.3</v>
      </c>
      <c r="I5295">
        <v>-95.36</v>
      </c>
    </row>
    <row r="5296" spans="1:9" customFormat="1" x14ac:dyDescent="0.3">
      <c r="A5296" s="12" t="s">
        <v>1250</v>
      </c>
      <c r="B5296" t="s">
        <v>143</v>
      </c>
      <c r="C5296" t="s">
        <v>123</v>
      </c>
      <c r="D5296" t="s">
        <v>97</v>
      </c>
      <c r="E5296">
        <v>512663.07112500002</v>
      </c>
      <c r="F5296">
        <v>507788.39112500002</v>
      </c>
      <c r="G5296">
        <v>-14.22</v>
      </c>
      <c r="H5296">
        <v>507774.17112499999</v>
      </c>
      <c r="I5296">
        <v>-4888.8999999999996</v>
      </c>
    </row>
    <row r="5297" spans="1:15" customFormat="1" x14ac:dyDescent="0.3">
      <c r="A5297" s="12" t="s">
        <v>1250</v>
      </c>
      <c r="B5297" t="s">
        <v>143</v>
      </c>
      <c r="C5297" t="s">
        <v>120</v>
      </c>
      <c r="D5297" t="s">
        <v>153</v>
      </c>
    </row>
    <row r="5298" spans="1:15" customFormat="1" x14ac:dyDescent="0.3">
      <c r="A5298" s="12" t="s">
        <v>1250</v>
      </c>
      <c r="B5298" t="s">
        <v>143</v>
      </c>
      <c r="C5298" t="s">
        <v>123</v>
      </c>
      <c r="D5298" s="32">
        <v>-9.5362827499999997E-3</v>
      </c>
    </row>
    <row r="5299" spans="1:15" customFormat="1" x14ac:dyDescent="0.3">
      <c r="A5299" s="12" t="s">
        <v>1250</v>
      </c>
      <c r="B5299" t="s">
        <v>154</v>
      </c>
      <c r="C5299" t="s">
        <v>120</v>
      </c>
      <c r="D5299" t="s">
        <v>121</v>
      </c>
      <c r="E5299" t="s">
        <v>122</v>
      </c>
    </row>
    <row r="5300" spans="1:15" customFormat="1" x14ac:dyDescent="0.3">
      <c r="A5300" s="12" t="s">
        <v>1250</v>
      </c>
      <c r="B5300" t="s">
        <v>154</v>
      </c>
      <c r="C5300" t="s">
        <v>123</v>
      </c>
      <c r="D5300" t="s">
        <v>155</v>
      </c>
      <c r="E5300">
        <v>512663.07112500002</v>
      </c>
    </row>
    <row r="5301" spans="1:15" customFormat="1" x14ac:dyDescent="0.3">
      <c r="A5301" s="12" t="s">
        <v>1250</v>
      </c>
      <c r="B5301" t="s">
        <v>154</v>
      </c>
      <c r="C5301" t="s">
        <v>123</v>
      </c>
      <c r="D5301" t="s">
        <v>156</v>
      </c>
      <c r="E5301">
        <v>-4905.91</v>
      </c>
    </row>
    <row r="5302" spans="1:15" customFormat="1" x14ac:dyDescent="0.3">
      <c r="A5302" s="12" t="s">
        <v>1250</v>
      </c>
      <c r="B5302" t="s">
        <v>154</v>
      </c>
      <c r="C5302" t="s">
        <v>123</v>
      </c>
      <c r="D5302" t="s">
        <v>157</v>
      </c>
      <c r="E5302">
        <v>225.06</v>
      </c>
    </row>
    <row r="5303" spans="1:15" customFormat="1" x14ac:dyDescent="0.3">
      <c r="A5303" s="12" t="s">
        <v>1250</v>
      </c>
      <c r="B5303" t="s">
        <v>154</v>
      </c>
      <c r="C5303" t="s">
        <v>123</v>
      </c>
      <c r="D5303" t="s">
        <v>158</v>
      </c>
      <c r="E5303">
        <v>-56.28</v>
      </c>
    </row>
    <row r="5304" spans="1:15" customFormat="1" x14ac:dyDescent="0.3">
      <c r="A5304" s="12" t="s">
        <v>1250</v>
      </c>
      <c r="B5304" t="s">
        <v>154</v>
      </c>
      <c r="C5304" t="s">
        <v>123</v>
      </c>
      <c r="D5304" t="s">
        <v>159</v>
      </c>
      <c r="E5304">
        <v>-95.36</v>
      </c>
    </row>
    <row r="5305" spans="1:15" customFormat="1" x14ac:dyDescent="0.3">
      <c r="A5305" s="12" t="s">
        <v>1250</v>
      </c>
      <c r="B5305" t="s">
        <v>154</v>
      </c>
      <c r="C5305" t="s">
        <v>123</v>
      </c>
      <c r="D5305" t="s">
        <v>160</v>
      </c>
      <c r="E5305">
        <v>-53</v>
      </c>
    </row>
    <row r="5306" spans="1:15" customFormat="1" x14ac:dyDescent="0.3">
      <c r="A5306" s="12" t="s">
        <v>1250</v>
      </c>
      <c r="B5306" t="s">
        <v>154</v>
      </c>
      <c r="C5306" t="s">
        <v>123</v>
      </c>
      <c r="D5306" t="s">
        <v>161</v>
      </c>
      <c r="E5306">
        <v>104.69</v>
      </c>
    </row>
    <row r="5307" spans="1:15" customFormat="1" x14ac:dyDescent="0.3">
      <c r="A5307" s="12" t="s">
        <v>1250</v>
      </c>
      <c r="B5307" t="s">
        <v>154</v>
      </c>
      <c r="C5307" t="s">
        <v>123</v>
      </c>
      <c r="D5307" t="s">
        <v>162</v>
      </c>
      <c r="E5307">
        <v>-108.1</v>
      </c>
    </row>
    <row r="5308" spans="1:15" customFormat="1" x14ac:dyDescent="0.3">
      <c r="A5308" s="12" t="s">
        <v>1250</v>
      </c>
      <c r="B5308" t="s">
        <v>154</v>
      </c>
      <c r="C5308" t="s">
        <v>123</v>
      </c>
      <c r="D5308" t="s">
        <v>163</v>
      </c>
      <c r="E5308">
        <v>507774.17112499999</v>
      </c>
    </row>
    <row r="5309" spans="1:15" customFormat="1" x14ac:dyDescent="0.3">
      <c r="A5309" s="12" t="s">
        <v>1250</v>
      </c>
      <c r="B5309" t="s">
        <v>164</v>
      </c>
      <c r="C5309" t="s">
        <v>120</v>
      </c>
      <c r="D5309" t="s">
        <v>100</v>
      </c>
      <c r="E5309" t="s">
        <v>0</v>
      </c>
      <c r="F5309" t="s">
        <v>101</v>
      </c>
      <c r="G5309" t="s">
        <v>102</v>
      </c>
      <c r="H5309" t="s">
        <v>103</v>
      </c>
      <c r="I5309" t="s">
        <v>104</v>
      </c>
      <c r="J5309" t="s">
        <v>105</v>
      </c>
      <c r="K5309" t="s">
        <v>106</v>
      </c>
      <c r="L5309" t="s">
        <v>107</v>
      </c>
      <c r="M5309" t="s">
        <v>108</v>
      </c>
      <c r="N5309" t="s">
        <v>109</v>
      </c>
      <c r="O5309" t="s">
        <v>165</v>
      </c>
    </row>
    <row r="5310" spans="1:15" customFormat="1" x14ac:dyDescent="0.3">
      <c r="A5310" s="12" t="s">
        <v>1250</v>
      </c>
      <c r="B5310" t="s">
        <v>164</v>
      </c>
      <c r="C5310" t="s">
        <v>123</v>
      </c>
      <c r="D5310" t="s">
        <v>110</v>
      </c>
      <c r="E5310" t="s">
        <v>2</v>
      </c>
      <c r="F5310">
        <v>72</v>
      </c>
      <c r="G5310">
        <v>0</v>
      </c>
      <c r="H5310">
        <v>233</v>
      </c>
      <c r="I5310" t="s">
        <v>111</v>
      </c>
      <c r="J5310">
        <v>-321.83</v>
      </c>
      <c r="K5310">
        <v>68.564999999999998</v>
      </c>
      <c r="L5310">
        <v>-2.6</v>
      </c>
      <c r="M5310">
        <v>0</v>
      </c>
      <c r="N5310">
        <v>-255.86500000000001</v>
      </c>
    </row>
    <row r="5311" spans="1:15" customFormat="1" x14ac:dyDescent="0.3">
      <c r="A5311" s="12" t="s">
        <v>1250</v>
      </c>
      <c r="B5311" t="s">
        <v>164</v>
      </c>
      <c r="C5311" t="s">
        <v>123</v>
      </c>
      <c r="D5311" t="s">
        <v>110</v>
      </c>
      <c r="E5311" t="s">
        <v>45</v>
      </c>
      <c r="F5311">
        <v>75</v>
      </c>
      <c r="G5311">
        <v>50</v>
      </c>
      <c r="H5311">
        <v>164.08</v>
      </c>
      <c r="I5311">
        <v>144.07</v>
      </c>
      <c r="J5311">
        <v>294</v>
      </c>
      <c r="K5311">
        <v>-4</v>
      </c>
      <c r="L5311">
        <v>-1.3</v>
      </c>
      <c r="M5311">
        <v>0</v>
      </c>
      <c r="N5311">
        <v>288.7</v>
      </c>
    </row>
    <row r="5312" spans="1:15" customFormat="1" x14ac:dyDescent="0.3">
      <c r="A5312" s="12" t="s">
        <v>1250</v>
      </c>
      <c r="B5312" t="s">
        <v>164</v>
      </c>
      <c r="C5312" t="s">
        <v>123</v>
      </c>
      <c r="D5312" t="s">
        <v>110</v>
      </c>
      <c r="E5312" t="s">
        <v>5</v>
      </c>
      <c r="F5312">
        <v>78</v>
      </c>
      <c r="G5312">
        <v>0</v>
      </c>
      <c r="H5312">
        <v>186.33</v>
      </c>
      <c r="I5312" t="s">
        <v>111</v>
      </c>
      <c r="J5312">
        <v>-90.48</v>
      </c>
      <c r="K5312">
        <v>-2.34</v>
      </c>
      <c r="L5312">
        <v>0</v>
      </c>
      <c r="M5312">
        <v>0</v>
      </c>
      <c r="N5312">
        <v>-92.82</v>
      </c>
    </row>
    <row r="5313" spans="1:14" customFormat="1" x14ac:dyDescent="0.3">
      <c r="A5313" s="12" t="s">
        <v>1250</v>
      </c>
      <c r="B5313" t="s">
        <v>164</v>
      </c>
      <c r="C5313" t="s">
        <v>123</v>
      </c>
      <c r="D5313" t="s">
        <v>110</v>
      </c>
      <c r="E5313" t="s">
        <v>65</v>
      </c>
      <c r="F5313">
        <v>70</v>
      </c>
      <c r="G5313">
        <v>0</v>
      </c>
      <c r="H5313">
        <v>65.16</v>
      </c>
      <c r="I5313" t="s">
        <v>111</v>
      </c>
      <c r="J5313">
        <v>-15.4</v>
      </c>
      <c r="K5313">
        <v>0</v>
      </c>
      <c r="L5313">
        <v>0</v>
      </c>
      <c r="M5313">
        <v>8.66</v>
      </c>
      <c r="N5313">
        <v>-6.74</v>
      </c>
    </row>
    <row r="5314" spans="1:14" customFormat="1" x14ac:dyDescent="0.3">
      <c r="A5314" s="12" t="s">
        <v>1250</v>
      </c>
      <c r="B5314" t="s">
        <v>164</v>
      </c>
      <c r="C5314" t="s">
        <v>123</v>
      </c>
      <c r="D5314" t="s">
        <v>110</v>
      </c>
      <c r="E5314" t="s">
        <v>58</v>
      </c>
      <c r="F5314">
        <v>70</v>
      </c>
      <c r="G5314">
        <v>0</v>
      </c>
      <c r="H5314">
        <v>143.01</v>
      </c>
      <c r="I5314" t="s">
        <v>111</v>
      </c>
      <c r="J5314">
        <v>-119.7</v>
      </c>
      <c r="K5314">
        <v>441.7</v>
      </c>
      <c r="L5314">
        <v>-1.3</v>
      </c>
      <c r="M5314">
        <v>0</v>
      </c>
      <c r="N5314">
        <v>320.7</v>
      </c>
    </row>
    <row r="5315" spans="1:14" customFormat="1" x14ac:dyDescent="0.3">
      <c r="A5315" s="12" t="s">
        <v>1250</v>
      </c>
      <c r="B5315" t="s">
        <v>164</v>
      </c>
      <c r="C5315" t="s">
        <v>123</v>
      </c>
      <c r="D5315" t="s">
        <v>110</v>
      </c>
      <c r="E5315" t="s">
        <v>7</v>
      </c>
      <c r="F5315">
        <v>35</v>
      </c>
      <c r="G5315">
        <v>35</v>
      </c>
      <c r="H5315">
        <v>172.5</v>
      </c>
      <c r="I5315">
        <v>169.77</v>
      </c>
      <c r="J5315">
        <v>-95.55</v>
      </c>
      <c r="K5315">
        <v>0</v>
      </c>
      <c r="L5315">
        <v>0</v>
      </c>
      <c r="M5315">
        <v>0</v>
      </c>
      <c r="N5315">
        <v>-95.55</v>
      </c>
    </row>
    <row r="5316" spans="1:14" customFormat="1" x14ac:dyDescent="0.3">
      <c r="A5316" s="12" t="s">
        <v>1250</v>
      </c>
      <c r="B5316" t="s">
        <v>164</v>
      </c>
      <c r="C5316" t="s">
        <v>123</v>
      </c>
      <c r="D5316" t="s">
        <v>110</v>
      </c>
      <c r="E5316" t="s">
        <v>8</v>
      </c>
      <c r="F5316">
        <v>100</v>
      </c>
      <c r="G5316">
        <v>0</v>
      </c>
      <c r="H5316">
        <v>39.68</v>
      </c>
      <c r="I5316" t="s">
        <v>111</v>
      </c>
      <c r="J5316">
        <v>51</v>
      </c>
      <c r="K5316">
        <v>3.5</v>
      </c>
      <c r="L5316">
        <v>0</v>
      </c>
      <c r="M5316">
        <v>0</v>
      </c>
      <c r="N5316">
        <v>54.5</v>
      </c>
    </row>
    <row r="5317" spans="1:14" customFormat="1" x14ac:dyDescent="0.3">
      <c r="A5317" s="12" t="s">
        <v>1250</v>
      </c>
      <c r="B5317" t="s">
        <v>164</v>
      </c>
      <c r="C5317" t="s">
        <v>123</v>
      </c>
      <c r="D5317" t="s">
        <v>110</v>
      </c>
      <c r="E5317" t="s">
        <v>9</v>
      </c>
      <c r="F5317">
        <v>2</v>
      </c>
      <c r="G5317">
        <v>0</v>
      </c>
      <c r="H5317" s="33">
        <v>4212.12</v>
      </c>
      <c r="I5317" t="s">
        <v>111</v>
      </c>
      <c r="J5317">
        <v>270.94</v>
      </c>
      <c r="K5317">
        <v>-25.34</v>
      </c>
      <c r="L5317">
        <v>-1.3</v>
      </c>
      <c r="M5317">
        <v>0</v>
      </c>
      <c r="N5317">
        <v>244.3</v>
      </c>
    </row>
    <row r="5318" spans="1:14" customFormat="1" x14ac:dyDescent="0.3">
      <c r="A5318" s="12" t="s">
        <v>1250</v>
      </c>
      <c r="B5318" t="s">
        <v>164</v>
      </c>
      <c r="C5318" t="s">
        <v>123</v>
      </c>
      <c r="D5318" t="s">
        <v>110</v>
      </c>
      <c r="E5318" t="s">
        <v>3</v>
      </c>
      <c r="F5318">
        <v>140</v>
      </c>
      <c r="G5318">
        <v>0</v>
      </c>
      <c r="H5318">
        <v>62.6</v>
      </c>
      <c r="I5318" t="s">
        <v>111</v>
      </c>
      <c r="J5318">
        <v>212.8</v>
      </c>
      <c r="K5318">
        <v>-7.7</v>
      </c>
      <c r="L5318">
        <v>0</v>
      </c>
      <c r="M5318">
        <v>0</v>
      </c>
      <c r="N5318">
        <v>205.1</v>
      </c>
    </row>
    <row r="5319" spans="1:14" customFormat="1" x14ac:dyDescent="0.3">
      <c r="A5319" s="12" t="s">
        <v>1250</v>
      </c>
      <c r="B5319" t="s">
        <v>164</v>
      </c>
      <c r="C5319" t="s">
        <v>123</v>
      </c>
      <c r="D5319" t="s">
        <v>110</v>
      </c>
      <c r="E5319" t="s">
        <v>11</v>
      </c>
      <c r="F5319">
        <v>5</v>
      </c>
      <c r="G5319">
        <v>0</v>
      </c>
      <c r="H5319">
        <v>886.52</v>
      </c>
      <c r="I5319" t="s">
        <v>111</v>
      </c>
      <c r="J5319">
        <v>112.9</v>
      </c>
      <c r="K5319">
        <v>-35.75</v>
      </c>
      <c r="L5319">
        <v>0</v>
      </c>
      <c r="M5319">
        <v>0</v>
      </c>
      <c r="N5319">
        <v>77.150000000000006</v>
      </c>
    </row>
    <row r="5320" spans="1:14" customFormat="1" x14ac:dyDescent="0.3">
      <c r="A5320" s="12" t="s">
        <v>1250</v>
      </c>
      <c r="B5320" t="s">
        <v>164</v>
      </c>
      <c r="C5320" t="s">
        <v>123</v>
      </c>
      <c r="D5320" t="s">
        <v>110</v>
      </c>
      <c r="E5320" t="s">
        <v>1155</v>
      </c>
      <c r="F5320">
        <v>40</v>
      </c>
      <c r="G5320">
        <v>40</v>
      </c>
      <c r="H5320">
        <v>118.54</v>
      </c>
      <c r="I5320">
        <v>123.63</v>
      </c>
      <c r="J5320">
        <v>203.6</v>
      </c>
      <c r="K5320">
        <v>0</v>
      </c>
      <c r="L5320">
        <v>0</v>
      </c>
      <c r="M5320">
        <v>0</v>
      </c>
      <c r="N5320">
        <v>203.6</v>
      </c>
    </row>
    <row r="5321" spans="1:14" customFormat="1" x14ac:dyDescent="0.3">
      <c r="A5321" s="12" t="s">
        <v>1250</v>
      </c>
      <c r="B5321" t="s">
        <v>164</v>
      </c>
      <c r="C5321" t="s">
        <v>123</v>
      </c>
      <c r="D5321" t="s">
        <v>110</v>
      </c>
      <c r="E5321" t="s">
        <v>18</v>
      </c>
      <c r="F5321">
        <v>30</v>
      </c>
      <c r="G5321">
        <v>0</v>
      </c>
      <c r="H5321">
        <v>302.2</v>
      </c>
      <c r="I5321" t="s">
        <v>111</v>
      </c>
      <c r="J5321">
        <v>113.7</v>
      </c>
      <c r="K5321">
        <v>69.900000000000006</v>
      </c>
      <c r="L5321">
        <v>-1.3</v>
      </c>
      <c r="M5321">
        <v>0</v>
      </c>
      <c r="N5321">
        <v>182.3</v>
      </c>
    </row>
    <row r="5322" spans="1:14" customFormat="1" x14ac:dyDescent="0.3">
      <c r="A5322" s="12" t="s">
        <v>1250</v>
      </c>
      <c r="B5322" t="s">
        <v>164</v>
      </c>
      <c r="C5322" t="s">
        <v>123</v>
      </c>
      <c r="D5322" t="s">
        <v>110</v>
      </c>
      <c r="E5322" t="s">
        <v>48</v>
      </c>
      <c r="F5322">
        <v>65</v>
      </c>
      <c r="G5322">
        <v>35</v>
      </c>
      <c r="H5322">
        <v>188.58</v>
      </c>
      <c r="I5322">
        <v>171.78</v>
      </c>
      <c r="J5322">
        <v>-467.1</v>
      </c>
      <c r="K5322">
        <v>-2.1</v>
      </c>
      <c r="L5322">
        <v>-1.3</v>
      </c>
      <c r="M5322">
        <v>13.65</v>
      </c>
      <c r="N5322">
        <v>-456.85</v>
      </c>
    </row>
    <row r="5323" spans="1:14" customFormat="1" x14ac:dyDescent="0.3">
      <c r="A5323" s="12" t="s">
        <v>1250</v>
      </c>
      <c r="B5323" t="s">
        <v>164</v>
      </c>
      <c r="C5323" t="s">
        <v>123</v>
      </c>
      <c r="D5323" t="s">
        <v>110</v>
      </c>
      <c r="E5323" t="s">
        <v>54</v>
      </c>
      <c r="F5323">
        <v>30</v>
      </c>
      <c r="G5323">
        <v>30</v>
      </c>
      <c r="H5323">
        <v>254.98</v>
      </c>
      <c r="I5323">
        <v>301.66000000000003</v>
      </c>
      <c r="J5323">
        <v>1400.4</v>
      </c>
      <c r="K5323">
        <v>0</v>
      </c>
      <c r="L5323">
        <v>0</v>
      </c>
      <c r="M5323">
        <v>0</v>
      </c>
      <c r="N5323">
        <v>1400.4</v>
      </c>
    </row>
    <row r="5324" spans="1:14" customFormat="1" x14ac:dyDescent="0.3">
      <c r="A5324" s="12" t="s">
        <v>1250</v>
      </c>
      <c r="B5324" t="s">
        <v>164</v>
      </c>
      <c r="C5324" t="s">
        <v>123</v>
      </c>
      <c r="D5324" t="s">
        <v>110</v>
      </c>
      <c r="E5324" t="s">
        <v>19</v>
      </c>
      <c r="F5324">
        <v>100</v>
      </c>
      <c r="G5324">
        <v>0</v>
      </c>
      <c r="H5324">
        <v>165.85</v>
      </c>
      <c r="I5324" t="s">
        <v>111</v>
      </c>
      <c r="J5324">
        <v>-147</v>
      </c>
      <c r="K5324">
        <v>-117.32</v>
      </c>
      <c r="L5324">
        <v>0</v>
      </c>
      <c r="M5324">
        <v>0</v>
      </c>
      <c r="N5324">
        <v>-264.32</v>
      </c>
    </row>
    <row r="5325" spans="1:14" customFormat="1" x14ac:dyDescent="0.3">
      <c r="A5325" s="12" t="s">
        <v>1250</v>
      </c>
      <c r="B5325" t="s">
        <v>164</v>
      </c>
      <c r="C5325" t="s">
        <v>123</v>
      </c>
      <c r="D5325" t="s">
        <v>110</v>
      </c>
      <c r="E5325" t="s">
        <v>22</v>
      </c>
      <c r="F5325">
        <v>43</v>
      </c>
      <c r="G5325">
        <v>0</v>
      </c>
      <c r="H5325">
        <v>100.25</v>
      </c>
      <c r="I5325" t="s">
        <v>111</v>
      </c>
      <c r="J5325">
        <v>148.35</v>
      </c>
      <c r="K5325">
        <v>8.6</v>
      </c>
      <c r="L5325">
        <v>0</v>
      </c>
      <c r="M5325">
        <v>0</v>
      </c>
      <c r="N5325">
        <v>156.94999999999999</v>
      </c>
    </row>
    <row r="5326" spans="1:14" customFormat="1" x14ac:dyDescent="0.3">
      <c r="A5326" s="12" t="s">
        <v>1250</v>
      </c>
      <c r="B5326" t="s">
        <v>164</v>
      </c>
      <c r="C5326" t="s">
        <v>123</v>
      </c>
      <c r="D5326" t="s">
        <v>110</v>
      </c>
      <c r="E5326" t="s">
        <v>24</v>
      </c>
      <c r="F5326">
        <v>50</v>
      </c>
      <c r="G5326">
        <v>0</v>
      </c>
      <c r="H5326">
        <v>98.16</v>
      </c>
      <c r="I5326" t="s">
        <v>111</v>
      </c>
      <c r="J5326">
        <v>-108</v>
      </c>
      <c r="K5326">
        <v>-5.25</v>
      </c>
      <c r="L5326">
        <v>-3.9</v>
      </c>
      <c r="M5326">
        <v>0</v>
      </c>
      <c r="N5326">
        <v>-117.15</v>
      </c>
    </row>
    <row r="5327" spans="1:14" customFormat="1" x14ac:dyDescent="0.3">
      <c r="A5327" s="12" t="s">
        <v>1250</v>
      </c>
      <c r="B5327" t="s">
        <v>164</v>
      </c>
      <c r="C5327" t="s">
        <v>123</v>
      </c>
      <c r="D5327" t="s">
        <v>110</v>
      </c>
      <c r="E5327" t="s">
        <v>1253</v>
      </c>
      <c r="F5327">
        <v>0</v>
      </c>
      <c r="G5327">
        <v>30</v>
      </c>
      <c r="H5327" t="s">
        <v>111</v>
      </c>
      <c r="I5327">
        <v>144.43</v>
      </c>
      <c r="J5327">
        <v>-93</v>
      </c>
      <c r="K5327">
        <v>5.0999999999999996</v>
      </c>
      <c r="L5327">
        <v>-1.3</v>
      </c>
      <c r="M5327">
        <v>0</v>
      </c>
      <c r="N5327">
        <v>-89.2</v>
      </c>
    </row>
    <row r="5328" spans="1:14" customFormat="1" x14ac:dyDescent="0.3">
      <c r="A5328" s="12" t="s">
        <v>1250</v>
      </c>
      <c r="B5328" t="s">
        <v>164</v>
      </c>
      <c r="C5328" t="s">
        <v>123</v>
      </c>
      <c r="D5328" t="s">
        <v>110</v>
      </c>
      <c r="E5328" t="s">
        <v>1254</v>
      </c>
      <c r="F5328">
        <v>0</v>
      </c>
      <c r="G5328">
        <v>50</v>
      </c>
      <c r="H5328" t="s">
        <v>111</v>
      </c>
      <c r="I5328">
        <v>217.76</v>
      </c>
      <c r="J5328">
        <v>0</v>
      </c>
      <c r="K5328">
        <v>-16</v>
      </c>
      <c r="L5328">
        <v>-1.3</v>
      </c>
      <c r="M5328">
        <v>0</v>
      </c>
      <c r="N5328">
        <v>-17.3</v>
      </c>
    </row>
    <row r="5329" spans="1:14" customFormat="1" x14ac:dyDescent="0.3">
      <c r="A5329" s="12" t="s">
        <v>1250</v>
      </c>
      <c r="B5329" t="s">
        <v>164</v>
      </c>
      <c r="C5329" t="s">
        <v>123</v>
      </c>
      <c r="D5329" t="s">
        <v>110</v>
      </c>
      <c r="E5329" t="s">
        <v>70</v>
      </c>
      <c r="F5329">
        <v>30</v>
      </c>
      <c r="G5329">
        <v>20</v>
      </c>
      <c r="H5329">
        <v>210.86</v>
      </c>
      <c r="I5329">
        <v>221.92</v>
      </c>
      <c r="J5329">
        <v>69.400000000000006</v>
      </c>
      <c r="K5329">
        <v>242.5</v>
      </c>
      <c r="L5329">
        <v>-1.3</v>
      </c>
      <c r="M5329">
        <v>28.12</v>
      </c>
      <c r="N5329">
        <v>338.72</v>
      </c>
    </row>
    <row r="5330" spans="1:14" customFormat="1" x14ac:dyDescent="0.3">
      <c r="A5330" s="12" t="s">
        <v>1250</v>
      </c>
      <c r="B5330" t="s">
        <v>164</v>
      </c>
      <c r="C5330" t="s">
        <v>123</v>
      </c>
      <c r="D5330" t="s">
        <v>110</v>
      </c>
      <c r="E5330" t="s">
        <v>49</v>
      </c>
      <c r="F5330">
        <v>10</v>
      </c>
      <c r="G5330">
        <v>5</v>
      </c>
      <c r="H5330">
        <v>885.94</v>
      </c>
      <c r="I5330">
        <v>829.74</v>
      </c>
      <c r="J5330">
        <v>-476.55</v>
      </c>
      <c r="K5330">
        <v>-85.05</v>
      </c>
      <c r="L5330">
        <v>-1.3</v>
      </c>
      <c r="M5330">
        <v>0</v>
      </c>
      <c r="N5330">
        <v>-562.9</v>
      </c>
    </row>
    <row r="5331" spans="1:14" customFormat="1" x14ac:dyDescent="0.3">
      <c r="A5331" s="12" t="s">
        <v>1250</v>
      </c>
      <c r="B5331" t="s">
        <v>164</v>
      </c>
      <c r="C5331" t="s">
        <v>123</v>
      </c>
      <c r="D5331" t="s">
        <v>110</v>
      </c>
      <c r="E5331" t="s">
        <v>26</v>
      </c>
      <c r="F5331">
        <v>5</v>
      </c>
      <c r="G5331">
        <v>0</v>
      </c>
      <c r="H5331">
        <v>474.59</v>
      </c>
      <c r="I5331" t="s">
        <v>111</v>
      </c>
      <c r="J5331">
        <v>34.4</v>
      </c>
      <c r="K5331">
        <v>-62.65</v>
      </c>
      <c r="L5331">
        <v>0</v>
      </c>
      <c r="M5331">
        <v>0</v>
      </c>
      <c r="N5331">
        <v>-28.25</v>
      </c>
    </row>
    <row r="5332" spans="1:14" customFormat="1" x14ac:dyDescent="0.3">
      <c r="A5332" s="12" t="s">
        <v>1250</v>
      </c>
      <c r="B5332" t="s">
        <v>164</v>
      </c>
      <c r="C5332" t="s">
        <v>123</v>
      </c>
      <c r="D5332" t="s">
        <v>110</v>
      </c>
      <c r="E5332" t="s">
        <v>27</v>
      </c>
      <c r="F5332">
        <v>15</v>
      </c>
      <c r="G5332">
        <v>0</v>
      </c>
      <c r="H5332">
        <v>572.44000000000005</v>
      </c>
      <c r="I5332" t="s">
        <v>111</v>
      </c>
      <c r="J5332">
        <v>271.05</v>
      </c>
      <c r="K5332">
        <v>-22.65</v>
      </c>
      <c r="L5332">
        <v>0</v>
      </c>
      <c r="M5332">
        <v>0</v>
      </c>
      <c r="N5332">
        <v>248.4</v>
      </c>
    </row>
    <row r="5333" spans="1:14" customFormat="1" x14ac:dyDescent="0.3">
      <c r="A5333" s="12" t="s">
        <v>1250</v>
      </c>
      <c r="B5333" t="s">
        <v>164</v>
      </c>
      <c r="C5333" t="s">
        <v>123</v>
      </c>
      <c r="D5333" t="s">
        <v>110</v>
      </c>
      <c r="E5333" t="s">
        <v>28</v>
      </c>
      <c r="F5333">
        <v>61</v>
      </c>
      <c r="G5333">
        <v>56</v>
      </c>
      <c r="H5333">
        <v>430.3</v>
      </c>
      <c r="I5333">
        <v>406.35</v>
      </c>
      <c r="J5333">
        <v>-1068.25</v>
      </c>
      <c r="K5333">
        <v>27.1</v>
      </c>
      <c r="L5333">
        <v>-3.9</v>
      </c>
      <c r="M5333">
        <v>0</v>
      </c>
      <c r="N5333">
        <v>-1045.05</v>
      </c>
    </row>
    <row r="5334" spans="1:14" customFormat="1" x14ac:dyDescent="0.3">
      <c r="A5334" s="12" t="s">
        <v>1250</v>
      </c>
      <c r="B5334" t="s">
        <v>164</v>
      </c>
      <c r="C5334" t="s">
        <v>123</v>
      </c>
      <c r="D5334" t="s">
        <v>110</v>
      </c>
      <c r="E5334" t="s">
        <v>71</v>
      </c>
      <c r="F5334">
        <v>0</v>
      </c>
      <c r="G5334">
        <v>100</v>
      </c>
      <c r="H5334" t="s">
        <v>111</v>
      </c>
      <c r="I5334">
        <v>132.76</v>
      </c>
      <c r="J5334">
        <v>116</v>
      </c>
      <c r="K5334">
        <v>-326</v>
      </c>
      <c r="L5334">
        <v>-1.3</v>
      </c>
      <c r="M5334">
        <v>0</v>
      </c>
      <c r="N5334">
        <v>-211.3</v>
      </c>
    </row>
    <row r="5335" spans="1:14" customFormat="1" x14ac:dyDescent="0.3">
      <c r="A5335" s="12" t="s">
        <v>1250</v>
      </c>
      <c r="B5335" t="s">
        <v>164</v>
      </c>
      <c r="C5335" t="s">
        <v>123</v>
      </c>
      <c r="D5335" t="s">
        <v>110</v>
      </c>
      <c r="E5335" t="s">
        <v>29</v>
      </c>
      <c r="F5335">
        <v>15</v>
      </c>
      <c r="G5335">
        <v>15</v>
      </c>
      <c r="H5335">
        <v>341.8</v>
      </c>
      <c r="I5335">
        <v>360.33</v>
      </c>
      <c r="J5335">
        <v>277.95</v>
      </c>
      <c r="K5335">
        <v>0</v>
      </c>
      <c r="L5335">
        <v>0</v>
      </c>
      <c r="M5335">
        <v>0</v>
      </c>
      <c r="N5335">
        <v>277.95</v>
      </c>
    </row>
    <row r="5336" spans="1:14" customFormat="1" x14ac:dyDescent="0.3">
      <c r="A5336" s="12" t="s">
        <v>1250</v>
      </c>
      <c r="B5336" t="s">
        <v>164</v>
      </c>
      <c r="C5336" t="s">
        <v>123</v>
      </c>
      <c r="D5336" t="s">
        <v>110</v>
      </c>
      <c r="E5336" t="s">
        <v>39</v>
      </c>
      <c r="F5336">
        <v>50</v>
      </c>
      <c r="G5336">
        <v>0</v>
      </c>
      <c r="H5336">
        <v>170.05</v>
      </c>
      <c r="I5336" t="s">
        <v>111</v>
      </c>
      <c r="J5336">
        <v>-102.5</v>
      </c>
      <c r="K5336">
        <v>0.39</v>
      </c>
      <c r="L5336">
        <v>0</v>
      </c>
      <c r="M5336">
        <v>0</v>
      </c>
      <c r="N5336">
        <v>-102.11</v>
      </c>
    </row>
    <row r="5337" spans="1:14" customFormat="1" x14ac:dyDescent="0.3">
      <c r="A5337" s="12" t="s">
        <v>1250</v>
      </c>
      <c r="B5337" t="s">
        <v>164</v>
      </c>
      <c r="C5337" t="s">
        <v>123</v>
      </c>
      <c r="D5337" t="s">
        <v>110</v>
      </c>
      <c r="E5337" t="s">
        <v>82</v>
      </c>
      <c r="F5337">
        <v>130</v>
      </c>
      <c r="G5337">
        <v>150</v>
      </c>
      <c r="H5337">
        <v>488.07</v>
      </c>
      <c r="I5337">
        <v>483.85</v>
      </c>
      <c r="J5337">
        <v>-638.79999999999995</v>
      </c>
      <c r="K5337">
        <v>-19.600000000000001</v>
      </c>
      <c r="L5337">
        <v>-1.3</v>
      </c>
      <c r="M5337">
        <v>65.989999999999995</v>
      </c>
      <c r="N5337">
        <v>-593.71</v>
      </c>
    </row>
    <row r="5338" spans="1:14" customFormat="1" x14ac:dyDescent="0.3">
      <c r="A5338" s="12" t="s">
        <v>1250</v>
      </c>
      <c r="B5338" t="s">
        <v>164</v>
      </c>
      <c r="C5338" t="s">
        <v>123</v>
      </c>
      <c r="D5338" t="s">
        <v>110</v>
      </c>
      <c r="E5338" t="s">
        <v>1255</v>
      </c>
      <c r="F5338">
        <v>0</v>
      </c>
      <c r="G5338">
        <v>200</v>
      </c>
      <c r="H5338" t="s">
        <v>111</v>
      </c>
      <c r="I5338">
        <v>176.29</v>
      </c>
      <c r="J5338">
        <v>-725</v>
      </c>
      <c r="K5338">
        <v>-59</v>
      </c>
      <c r="L5338">
        <v>-2.6</v>
      </c>
      <c r="M5338">
        <v>0</v>
      </c>
      <c r="N5338">
        <v>-786.6</v>
      </c>
    </row>
    <row r="5339" spans="1:14" customFormat="1" x14ac:dyDescent="0.3">
      <c r="A5339" s="12" t="s">
        <v>1250</v>
      </c>
      <c r="B5339" t="s">
        <v>164</v>
      </c>
      <c r="C5339" t="s">
        <v>123</v>
      </c>
      <c r="D5339" t="s">
        <v>110</v>
      </c>
      <c r="E5339" t="s">
        <v>51</v>
      </c>
      <c r="F5339">
        <v>0</v>
      </c>
      <c r="G5339">
        <v>25</v>
      </c>
      <c r="H5339" t="s">
        <v>111</v>
      </c>
      <c r="I5339">
        <v>29.11</v>
      </c>
      <c r="J5339">
        <v>-1173</v>
      </c>
      <c r="K5339">
        <v>-15.75</v>
      </c>
      <c r="L5339">
        <v>-2.6</v>
      </c>
      <c r="M5339">
        <v>0</v>
      </c>
      <c r="N5339">
        <v>-1191.3499999999999</v>
      </c>
    </row>
    <row r="5340" spans="1:14" customFormat="1" x14ac:dyDescent="0.3">
      <c r="A5340" s="12" t="s">
        <v>1250</v>
      </c>
      <c r="B5340" t="s">
        <v>164</v>
      </c>
      <c r="C5340" t="s">
        <v>123</v>
      </c>
      <c r="D5340" t="s">
        <v>110</v>
      </c>
      <c r="E5340" t="s">
        <v>83</v>
      </c>
      <c r="F5340">
        <v>80</v>
      </c>
      <c r="G5340">
        <v>130</v>
      </c>
      <c r="H5340">
        <v>230.59</v>
      </c>
      <c r="I5340">
        <v>218.26</v>
      </c>
      <c r="J5340">
        <v>-1748.4</v>
      </c>
      <c r="K5340">
        <v>125</v>
      </c>
      <c r="L5340">
        <v>0</v>
      </c>
      <c r="M5340">
        <v>0</v>
      </c>
      <c r="N5340">
        <v>-1623.4</v>
      </c>
    </row>
    <row r="5341" spans="1:14" customFormat="1" x14ac:dyDescent="0.3">
      <c r="A5341" s="12" t="s">
        <v>1250</v>
      </c>
      <c r="B5341" t="s">
        <v>164</v>
      </c>
      <c r="C5341" t="s">
        <v>123</v>
      </c>
      <c r="D5341" t="s">
        <v>110</v>
      </c>
      <c r="E5341" t="s">
        <v>86</v>
      </c>
      <c r="F5341">
        <v>40</v>
      </c>
      <c r="G5341">
        <v>40</v>
      </c>
      <c r="H5341">
        <v>573.76</v>
      </c>
      <c r="I5341">
        <v>568.64</v>
      </c>
      <c r="J5341">
        <v>-204.8</v>
      </c>
      <c r="K5341">
        <v>0</v>
      </c>
      <c r="L5341">
        <v>0</v>
      </c>
      <c r="M5341">
        <v>52.36</v>
      </c>
      <c r="N5341">
        <v>-152.44</v>
      </c>
    </row>
    <row r="5342" spans="1:14" customFormat="1" x14ac:dyDescent="0.3">
      <c r="A5342" s="12" t="s">
        <v>1250</v>
      </c>
      <c r="B5342" t="s">
        <v>164</v>
      </c>
      <c r="C5342" t="s">
        <v>123</v>
      </c>
      <c r="D5342" t="s">
        <v>110</v>
      </c>
      <c r="E5342" t="s">
        <v>77</v>
      </c>
      <c r="F5342">
        <v>20</v>
      </c>
      <c r="G5342">
        <v>0</v>
      </c>
      <c r="H5342">
        <v>261.63</v>
      </c>
      <c r="I5342" t="s">
        <v>111</v>
      </c>
      <c r="J5342">
        <v>-873.2</v>
      </c>
      <c r="K5342">
        <v>88</v>
      </c>
      <c r="L5342">
        <v>-2.6</v>
      </c>
      <c r="M5342">
        <v>0</v>
      </c>
      <c r="N5342">
        <v>-787.8</v>
      </c>
    </row>
    <row r="5343" spans="1:14" customFormat="1" x14ac:dyDescent="0.3">
      <c r="A5343" s="12" t="s">
        <v>1250</v>
      </c>
      <c r="B5343" t="s">
        <v>164</v>
      </c>
      <c r="C5343" t="s">
        <v>123</v>
      </c>
      <c r="D5343" t="s">
        <v>110</v>
      </c>
      <c r="E5343" t="s">
        <v>87</v>
      </c>
      <c r="F5343">
        <v>15</v>
      </c>
      <c r="G5343">
        <v>0</v>
      </c>
      <c r="H5343">
        <v>388.73</v>
      </c>
      <c r="I5343" t="s">
        <v>111</v>
      </c>
      <c r="J5343">
        <v>164.85</v>
      </c>
      <c r="K5343">
        <v>-27</v>
      </c>
      <c r="L5343">
        <v>0</v>
      </c>
      <c r="M5343">
        <v>0</v>
      </c>
      <c r="N5343">
        <v>137.85</v>
      </c>
    </row>
    <row r="5344" spans="1:14" customFormat="1" x14ac:dyDescent="0.3">
      <c r="A5344" s="12" t="s">
        <v>1250</v>
      </c>
      <c r="B5344" t="s">
        <v>164</v>
      </c>
      <c r="C5344" t="s">
        <v>123</v>
      </c>
      <c r="D5344" t="s">
        <v>110</v>
      </c>
      <c r="E5344" t="s">
        <v>78</v>
      </c>
      <c r="F5344">
        <v>30</v>
      </c>
      <c r="G5344">
        <v>0</v>
      </c>
      <c r="H5344">
        <v>206.57</v>
      </c>
      <c r="I5344" t="s">
        <v>111</v>
      </c>
      <c r="J5344">
        <v>-48</v>
      </c>
      <c r="K5344">
        <v>-12</v>
      </c>
      <c r="L5344">
        <v>0</v>
      </c>
      <c r="M5344">
        <v>0</v>
      </c>
      <c r="N5344">
        <v>-60</v>
      </c>
    </row>
    <row r="5345" spans="1:14" customFormat="1" x14ac:dyDescent="0.3">
      <c r="A5345" s="12" t="s">
        <v>1250</v>
      </c>
      <c r="B5345" t="s">
        <v>164</v>
      </c>
      <c r="C5345" t="s">
        <v>123</v>
      </c>
      <c r="D5345" t="s">
        <v>110</v>
      </c>
      <c r="E5345" t="s">
        <v>32</v>
      </c>
      <c r="F5345">
        <v>70</v>
      </c>
      <c r="G5345">
        <v>0</v>
      </c>
      <c r="H5345">
        <v>75.16</v>
      </c>
      <c r="I5345" t="s">
        <v>111</v>
      </c>
      <c r="J5345">
        <v>782.6</v>
      </c>
      <c r="K5345">
        <v>-379.4</v>
      </c>
      <c r="L5345">
        <v>-1.3</v>
      </c>
      <c r="M5345">
        <v>0</v>
      </c>
      <c r="N5345">
        <v>401.9</v>
      </c>
    </row>
    <row r="5346" spans="1:14" customFormat="1" x14ac:dyDescent="0.3">
      <c r="A5346" s="12" t="s">
        <v>1250</v>
      </c>
      <c r="B5346" t="s">
        <v>164</v>
      </c>
      <c r="C5346" t="s">
        <v>123</v>
      </c>
      <c r="D5346" t="s">
        <v>110</v>
      </c>
      <c r="E5346" t="s">
        <v>1256</v>
      </c>
      <c r="F5346">
        <v>0</v>
      </c>
      <c r="G5346">
        <v>20</v>
      </c>
      <c r="H5346" t="s">
        <v>111</v>
      </c>
      <c r="I5346">
        <v>204.31</v>
      </c>
      <c r="J5346">
        <v>-4.8</v>
      </c>
      <c r="K5346">
        <v>-9</v>
      </c>
      <c r="L5346">
        <v>-1.3</v>
      </c>
      <c r="M5346">
        <v>0</v>
      </c>
      <c r="N5346">
        <v>-15.1</v>
      </c>
    </row>
    <row r="5347" spans="1:14" customFormat="1" x14ac:dyDescent="0.3">
      <c r="A5347" s="12" t="s">
        <v>1250</v>
      </c>
      <c r="B5347" t="s">
        <v>164</v>
      </c>
      <c r="C5347" t="s">
        <v>123</v>
      </c>
      <c r="D5347" t="s">
        <v>110</v>
      </c>
      <c r="E5347" t="s">
        <v>1257</v>
      </c>
      <c r="F5347">
        <v>0</v>
      </c>
      <c r="G5347">
        <v>100</v>
      </c>
      <c r="H5347" t="s">
        <v>111</v>
      </c>
      <c r="I5347">
        <v>94.15</v>
      </c>
      <c r="J5347">
        <v>-341</v>
      </c>
      <c r="K5347">
        <v>31</v>
      </c>
      <c r="L5347">
        <v>-1.3</v>
      </c>
      <c r="M5347">
        <v>0</v>
      </c>
      <c r="N5347">
        <v>-311.3</v>
      </c>
    </row>
    <row r="5348" spans="1:14" customFormat="1" x14ac:dyDescent="0.3">
      <c r="A5348" s="12" t="s">
        <v>1250</v>
      </c>
      <c r="B5348" t="s">
        <v>164</v>
      </c>
      <c r="C5348" t="s">
        <v>123</v>
      </c>
      <c r="D5348" t="s">
        <v>110</v>
      </c>
      <c r="E5348" t="s">
        <v>1258</v>
      </c>
      <c r="F5348">
        <v>0</v>
      </c>
      <c r="G5348">
        <v>60</v>
      </c>
      <c r="H5348" t="s">
        <v>111</v>
      </c>
      <c r="I5348">
        <v>522.66999999999996</v>
      </c>
      <c r="J5348">
        <v>-567.29999999999995</v>
      </c>
      <c r="K5348">
        <v>62.7</v>
      </c>
      <c r="L5348">
        <v>-2.6</v>
      </c>
      <c r="M5348">
        <v>0</v>
      </c>
      <c r="N5348">
        <v>-507.2</v>
      </c>
    </row>
    <row r="5349" spans="1:14" customFormat="1" x14ac:dyDescent="0.3">
      <c r="A5349" s="12" t="s">
        <v>1250</v>
      </c>
      <c r="B5349" t="s">
        <v>164</v>
      </c>
      <c r="C5349" t="s">
        <v>123</v>
      </c>
      <c r="D5349" t="s">
        <v>110</v>
      </c>
      <c r="E5349" t="s">
        <v>1156</v>
      </c>
      <c r="F5349">
        <v>70</v>
      </c>
      <c r="G5349">
        <v>70</v>
      </c>
      <c r="H5349">
        <v>96.38</v>
      </c>
      <c r="I5349">
        <v>93.39</v>
      </c>
      <c r="J5349">
        <v>-209.3</v>
      </c>
      <c r="K5349">
        <v>0</v>
      </c>
      <c r="L5349">
        <v>0</v>
      </c>
      <c r="M5349">
        <v>0</v>
      </c>
      <c r="N5349">
        <v>-209.3</v>
      </c>
    </row>
    <row r="5350" spans="1:14" customFormat="1" x14ac:dyDescent="0.3">
      <c r="A5350" s="12" t="s">
        <v>1250</v>
      </c>
      <c r="B5350" t="s">
        <v>164</v>
      </c>
      <c r="C5350" t="s">
        <v>123</v>
      </c>
      <c r="D5350" t="s">
        <v>110</v>
      </c>
      <c r="E5350" t="s">
        <v>61</v>
      </c>
      <c r="F5350">
        <v>0</v>
      </c>
      <c r="G5350">
        <v>0</v>
      </c>
      <c r="H5350" t="s">
        <v>111</v>
      </c>
      <c r="I5350" t="s">
        <v>111</v>
      </c>
      <c r="J5350">
        <v>-177.1</v>
      </c>
      <c r="K5350">
        <v>9.4049999999999994</v>
      </c>
      <c r="L5350">
        <v>-2.6</v>
      </c>
      <c r="M5350">
        <v>0</v>
      </c>
      <c r="N5350">
        <v>-170.29499999999999</v>
      </c>
    </row>
    <row r="5351" spans="1:14" customFormat="1" x14ac:dyDescent="0.3">
      <c r="A5351" s="12" t="s">
        <v>1250</v>
      </c>
      <c r="B5351" t="s">
        <v>164</v>
      </c>
      <c r="C5351" t="s">
        <v>123</v>
      </c>
      <c r="D5351" t="s">
        <v>110</v>
      </c>
      <c r="E5351" t="s">
        <v>62</v>
      </c>
      <c r="F5351">
        <v>200</v>
      </c>
      <c r="G5351">
        <v>200</v>
      </c>
      <c r="H5351">
        <v>45.32</v>
      </c>
      <c r="I5351">
        <v>46.48</v>
      </c>
      <c r="J5351">
        <v>232</v>
      </c>
      <c r="K5351">
        <v>0</v>
      </c>
      <c r="L5351">
        <v>0</v>
      </c>
      <c r="M5351">
        <v>0</v>
      </c>
      <c r="N5351">
        <v>232</v>
      </c>
    </row>
    <row r="5352" spans="1:14" customFormat="1" x14ac:dyDescent="0.3">
      <c r="A5352" s="12" t="s">
        <v>1250</v>
      </c>
      <c r="B5352" t="s">
        <v>164</v>
      </c>
      <c r="C5352" t="s">
        <v>123</v>
      </c>
      <c r="D5352" t="s">
        <v>110</v>
      </c>
      <c r="E5352" t="s">
        <v>41</v>
      </c>
      <c r="F5352">
        <v>1099</v>
      </c>
      <c r="G5352">
        <v>599</v>
      </c>
      <c r="H5352">
        <v>47.53</v>
      </c>
      <c r="I5352">
        <v>47.22</v>
      </c>
      <c r="J5352">
        <v>284.31</v>
      </c>
      <c r="K5352">
        <v>106.24</v>
      </c>
      <c r="L5352">
        <v>-3.5</v>
      </c>
      <c r="M5352">
        <v>0</v>
      </c>
      <c r="N5352">
        <v>387.05</v>
      </c>
    </row>
    <row r="5353" spans="1:14" customFormat="1" x14ac:dyDescent="0.3">
      <c r="A5353" s="12" t="s">
        <v>1250</v>
      </c>
      <c r="B5353" t="s">
        <v>164</v>
      </c>
      <c r="C5353" t="s">
        <v>123</v>
      </c>
      <c r="D5353" t="s">
        <v>110</v>
      </c>
      <c r="E5353" t="s">
        <v>79</v>
      </c>
      <c r="F5353">
        <v>80</v>
      </c>
      <c r="G5353">
        <v>80</v>
      </c>
      <c r="H5353">
        <v>135.44</v>
      </c>
      <c r="I5353">
        <v>133.83000000000001</v>
      </c>
      <c r="J5353">
        <v>-128.80000000000001</v>
      </c>
      <c r="K5353">
        <v>0</v>
      </c>
      <c r="L5353">
        <v>0</v>
      </c>
      <c r="M5353">
        <v>0</v>
      </c>
      <c r="N5353">
        <v>-128.80000000000001</v>
      </c>
    </row>
    <row r="5354" spans="1:14" customFormat="1" x14ac:dyDescent="0.3">
      <c r="A5354" s="12" t="s">
        <v>1250</v>
      </c>
      <c r="B5354" t="s">
        <v>164</v>
      </c>
      <c r="C5354" t="s">
        <v>123</v>
      </c>
      <c r="D5354" t="s">
        <v>110</v>
      </c>
      <c r="E5354" t="s">
        <v>42</v>
      </c>
      <c r="F5354">
        <v>150</v>
      </c>
      <c r="G5354">
        <v>150</v>
      </c>
      <c r="H5354">
        <v>225.76</v>
      </c>
      <c r="I5354">
        <v>222.24</v>
      </c>
      <c r="J5354">
        <v>-528</v>
      </c>
      <c r="K5354">
        <v>0</v>
      </c>
      <c r="L5354">
        <v>0</v>
      </c>
      <c r="M5354">
        <v>0</v>
      </c>
      <c r="N5354">
        <v>-528</v>
      </c>
    </row>
    <row r="5355" spans="1:14" customFormat="1" x14ac:dyDescent="0.3">
      <c r="A5355" s="12" t="s">
        <v>1250</v>
      </c>
      <c r="B5355" t="s">
        <v>164</v>
      </c>
      <c r="C5355" t="s">
        <v>123</v>
      </c>
      <c r="D5355" t="s">
        <v>110</v>
      </c>
      <c r="E5355" t="s">
        <v>43</v>
      </c>
      <c r="F5355">
        <v>330</v>
      </c>
      <c r="G5355">
        <v>330</v>
      </c>
      <c r="H5355">
        <v>80.78</v>
      </c>
      <c r="I5355">
        <v>79.91</v>
      </c>
      <c r="J5355">
        <v>-287.10000000000002</v>
      </c>
      <c r="K5355">
        <v>0</v>
      </c>
      <c r="L5355">
        <v>0</v>
      </c>
      <c r="M5355">
        <v>0</v>
      </c>
      <c r="N5355">
        <v>-287.10000000000002</v>
      </c>
    </row>
    <row r="5356" spans="1:14" customFormat="1" x14ac:dyDescent="0.3">
      <c r="A5356" s="12" t="s">
        <v>1250</v>
      </c>
      <c r="B5356" t="s">
        <v>164</v>
      </c>
      <c r="C5356" t="s">
        <v>123</v>
      </c>
      <c r="D5356" t="s">
        <v>110</v>
      </c>
      <c r="E5356" t="s">
        <v>44</v>
      </c>
      <c r="F5356">
        <v>60</v>
      </c>
      <c r="G5356">
        <v>60</v>
      </c>
      <c r="H5356">
        <v>154.02000000000001</v>
      </c>
      <c r="I5356">
        <v>146.87</v>
      </c>
      <c r="J5356">
        <v>-429</v>
      </c>
      <c r="K5356">
        <v>0</v>
      </c>
      <c r="L5356">
        <v>0</v>
      </c>
      <c r="M5356">
        <v>0</v>
      </c>
      <c r="N5356">
        <v>-429</v>
      </c>
    </row>
    <row r="5357" spans="1:14" customFormat="1" x14ac:dyDescent="0.3">
      <c r="A5357" s="12" t="s">
        <v>1250</v>
      </c>
      <c r="B5357" t="s">
        <v>164</v>
      </c>
      <c r="C5357" t="s">
        <v>123</v>
      </c>
      <c r="D5357" t="s">
        <v>110</v>
      </c>
      <c r="E5357" t="s">
        <v>84</v>
      </c>
      <c r="F5357">
        <v>50</v>
      </c>
      <c r="G5357">
        <v>50</v>
      </c>
      <c r="H5357">
        <v>200.37</v>
      </c>
      <c r="I5357">
        <v>196.89</v>
      </c>
      <c r="J5357">
        <v>-174</v>
      </c>
      <c r="K5357">
        <v>0</v>
      </c>
      <c r="L5357">
        <v>0</v>
      </c>
      <c r="M5357">
        <v>0</v>
      </c>
      <c r="N5357">
        <v>-174</v>
      </c>
    </row>
    <row r="5358" spans="1:14" customFormat="1" x14ac:dyDescent="0.3">
      <c r="A5358" s="12" t="s">
        <v>1250</v>
      </c>
      <c r="B5358" t="s">
        <v>164</v>
      </c>
      <c r="C5358" t="s">
        <v>123</v>
      </c>
      <c r="D5358" t="s">
        <v>97</v>
      </c>
      <c r="J5358">
        <v>-6322.71</v>
      </c>
      <c r="K5358">
        <v>55.8</v>
      </c>
      <c r="L5358">
        <v>-45.1</v>
      </c>
      <c r="M5358">
        <v>168.78</v>
      </c>
      <c r="N5358">
        <v>-6143.23</v>
      </c>
    </row>
    <row r="5359" spans="1:14" customFormat="1" x14ac:dyDescent="0.3">
      <c r="A5359" s="12" t="s">
        <v>1250</v>
      </c>
      <c r="B5359" t="s">
        <v>164</v>
      </c>
      <c r="C5359" t="s">
        <v>123</v>
      </c>
      <c r="D5359" t="s">
        <v>112</v>
      </c>
      <c r="E5359" t="s">
        <v>1157</v>
      </c>
      <c r="F5359">
        <v>-2</v>
      </c>
      <c r="G5359">
        <v>0</v>
      </c>
      <c r="H5359" s="33">
        <v>5814.25</v>
      </c>
      <c r="I5359" t="s">
        <v>111</v>
      </c>
      <c r="J5359">
        <v>137.5</v>
      </c>
      <c r="K5359">
        <v>700</v>
      </c>
      <c r="L5359">
        <v>-12</v>
      </c>
      <c r="M5359">
        <v>0</v>
      </c>
      <c r="N5359">
        <v>825.5</v>
      </c>
    </row>
    <row r="5360" spans="1:14" customFormat="1" x14ac:dyDescent="0.3">
      <c r="A5360" s="12" t="s">
        <v>1250</v>
      </c>
      <c r="B5360" t="s">
        <v>164</v>
      </c>
      <c r="C5360" t="s">
        <v>123</v>
      </c>
      <c r="D5360" t="s">
        <v>112</v>
      </c>
      <c r="E5360" t="s">
        <v>1158</v>
      </c>
      <c r="F5360">
        <v>-8</v>
      </c>
      <c r="G5360">
        <v>-4</v>
      </c>
      <c r="H5360" s="33">
        <v>20261.25</v>
      </c>
      <c r="I5360" s="33">
        <v>20021.75</v>
      </c>
      <c r="J5360">
        <v>2119</v>
      </c>
      <c r="K5360">
        <v>-1595.5</v>
      </c>
      <c r="L5360">
        <v>-51</v>
      </c>
      <c r="M5360">
        <v>0</v>
      </c>
      <c r="N5360">
        <v>472.5</v>
      </c>
    </row>
    <row r="5361" spans="1:18" customFormat="1" x14ac:dyDescent="0.3">
      <c r="A5361" s="12" t="s">
        <v>1250</v>
      </c>
      <c r="B5361" t="s">
        <v>164</v>
      </c>
      <c r="C5361" t="s">
        <v>123</v>
      </c>
      <c r="D5361" t="s">
        <v>97</v>
      </c>
      <c r="J5361">
        <v>2256.5</v>
      </c>
      <c r="K5361">
        <v>-895.5</v>
      </c>
      <c r="L5361">
        <v>-63</v>
      </c>
      <c r="M5361">
        <v>0</v>
      </c>
      <c r="N5361">
        <v>1298</v>
      </c>
    </row>
    <row r="5362" spans="1:18" customFormat="1" x14ac:dyDescent="0.3">
      <c r="A5362" s="12" t="s">
        <v>1250</v>
      </c>
      <c r="B5362" t="s">
        <v>164</v>
      </c>
      <c r="C5362" t="s">
        <v>123</v>
      </c>
      <c r="D5362" t="s">
        <v>113</v>
      </c>
      <c r="E5362" t="s">
        <v>114</v>
      </c>
      <c r="F5362">
        <v>11188.421125000001</v>
      </c>
      <c r="G5362">
        <v>71547.261125000005</v>
      </c>
      <c r="H5362">
        <v>1</v>
      </c>
      <c r="I5362">
        <v>1</v>
      </c>
      <c r="J5362">
        <v>0</v>
      </c>
      <c r="K5362">
        <v>0</v>
      </c>
      <c r="L5362">
        <v>0</v>
      </c>
      <c r="M5362">
        <v>0</v>
      </c>
      <c r="N5362">
        <v>0</v>
      </c>
    </row>
    <row r="5363" spans="1:18" customFormat="1" x14ac:dyDescent="0.3">
      <c r="A5363" s="12" t="s">
        <v>1250</v>
      </c>
      <c r="B5363" t="s">
        <v>164</v>
      </c>
      <c r="C5363" t="s">
        <v>123</v>
      </c>
      <c r="D5363" t="s">
        <v>97</v>
      </c>
      <c r="J5363">
        <v>0</v>
      </c>
      <c r="K5363">
        <v>0</v>
      </c>
      <c r="L5363">
        <v>0</v>
      </c>
      <c r="M5363">
        <v>0</v>
      </c>
      <c r="N5363">
        <v>0</v>
      </c>
    </row>
    <row r="5364" spans="1:18" customFormat="1" x14ac:dyDescent="0.3">
      <c r="A5364" s="12" t="s">
        <v>1250</v>
      </c>
      <c r="B5364" t="s">
        <v>164</v>
      </c>
      <c r="C5364" t="s">
        <v>123</v>
      </c>
      <c r="D5364" t="s">
        <v>115</v>
      </c>
      <c r="J5364">
        <v>-4066.21</v>
      </c>
      <c r="K5364">
        <v>-839.7</v>
      </c>
      <c r="L5364">
        <v>-108.1</v>
      </c>
      <c r="M5364">
        <v>168.78</v>
      </c>
      <c r="N5364">
        <v>-4845.2299999999996</v>
      </c>
    </row>
    <row r="5365" spans="1:18" customFormat="1" x14ac:dyDescent="0.3">
      <c r="A5365" s="12" t="s">
        <v>1250</v>
      </c>
      <c r="B5365" t="s">
        <v>164</v>
      </c>
      <c r="C5365" t="s">
        <v>123</v>
      </c>
      <c r="D5365" t="s">
        <v>116</v>
      </c>
      <c r="N5365">
        <v>-53</v>
      </c>
    </row>
    <row r="5366" spans="1:18" customFormat="1" x14ac:dyDescent="0.3">
      <c r="A5366" s="12" t="s">
        <v>1250</v>
      </c>
      <c r="B5366" t="s">
        <v>166</v>
      </c>
      <c r="N5366">
        <v>-4898.2299999999996</v>
      </c>
    </row>
    <row r="5367" spans="1:18" customFormat="1" x14ac:dyDescent="0.3">
      <c r="A5367" s="12" t="s">
        <v>1250</v>
      </c>
      <c r="B5367" t="s">
        <v>167</v>
      </c>
      <c r="C5367" t="s">
        <v>120</v>
      </c>
      <c r="D5367" t="s">
        <v>100</v>
      </c>
      <c r="E5367" t="s">
        <v>0</v>
      </c>
      <c r="F5367" t="s">
        <v>168</v>
      </c>
      <c r="G5367" t="s">
        <v>169</v>
      </c>
      <c r="H5367" t="s">
        <v>170</v>
      </c>
      <c r="I5367" t="s">
        <v>171</v>
      </c>
      <c r="J5367" t="s">
        <v>172</v>
      </c>
      <c r="K5367" t="s">
        <v>173</v>
      </c>
      <c r="L5367" t="s">
        <v>174</v>
      </c>
      <c r="M5367" t="s">
        <v>175</v>
      </c>
      <c r="N5367" t="s">
        <v>176</v>
      </c>
      <c r="O5367" t="s">
        <v>177</v>
      </c>
      <c r="P5367" t="s">
        <v>178</v>
      </c>
      <c r="Q5367" t="s">
        <v>97</v>
      </c>
      <c r="R5367" t="s">
        <v>165</v>
      </c>
    </row>
    <row r="5368" spans="1:18" customFormat="1" x14ac:dyDescent="0.3">
      <c r="A5368" s="12" t="s">
        <v>1250</v>
      </c>
      <c r="B5368" t="s">
        <v>167</v>
      </c>
      <c r="C5368" t="s">
        <v>123</v>
      </c>
      <c r="D5368" t="s">
        <v>110</v>
      </c>
      <c r="E5368" t="s">
        <v>2</v>
      </c>
      <c r="F5368">
        <v>0</v>
      </c>
      <c r="G5368">
        <v>3309.9349999999999</v>
      </c>
      <c r="H5368">
        <v>0</v>
      </c>
      <c r="I5368">
        <v>0</v>
      </c>
      <c r="J5368">
        <v>0</v>
      </c>
      <c r="K5368">
        <v>3309.9349999999999</v>
      </c>
      <c r="L5368">
        <v>0</v>
      </c>
      <c r="M5368">
        <v>0</v>
      </c>
      <c r="N5368">
        <v>0</v>
      </c>
      <c r="O5368">
        <v>0</v>
      </c>
      <c r="P5368">
        <v>0</v>
      </c>
      <c r="Q5368">
        <v>3309.9349999999999</v>
      </c>
    </row>
    <row r="5369" spans="1:18" customFormat="1" x14ac:dyDescent="0.3">
      <c r="A5369" s="12" t="s">
        <v>1250</v>
      </c>
      <c r="B5369" t="s">
        <v>167</v>
      </c>
      <c r="C5369" t="s">
        <v>123</v>
      </c>
      <c r="D5369" t="s">
        <v>110</v>
      </c>
      <c r="E5369" t="s">
        <v>45</v>
      </c>
      <c r="F5369">
        <v>0</v>
      </c>
      <c r="G5369">
        <v>2190</v>
      </c>
      <c r="H5369">
        <v>0</v>
      </c>
      <c r="I5369">
        <v>0</v>
      </c>
      <c r="J5369">
        <v>0</v>
      </c>
      <c r="K5369">
        <v>2190</v>
      </c>
      <c r="L5369">
        <v>0</v>
      </c>
      <c r="M5369">
        <v>-240.8</v>
      </c>
      <c r="N5369">
        <v>0</v>
      </c>
      <c r="O5369">
        <v>0</v>
      </c>
      <c r="P5369">
        <v>-240.8</v>
      </c>
      <c r="Q5369">
        <v>1949.2</v>
      </c>
    </row>
    <row r="5370" spans="1:18" customFormat="1" x14ac:dyDescent="0.3">
      <c r="A5370" s="12" t="s">
        <v>1250</v>
      </c>
      <c r="B5370" t="s">
        <v>167</v>
      </c>
      <c r="C5370" t="s">
        <v>123</v>
      </c>
      <c r="D5370" t="s">
        <v>110</v>
      </c>
      <c r="E5370" t="s">
        <v>5</v>
      </c>
      <c r="F5370">
        <v>0</v>
      </c>
      <c r="G5370">
        <v>0</v>
      </c>
      <c r="H5370">
        <v>-21.84</v>
      </c>
      <c r="I5370">
        <v>0</v>
      </c>
      <c r="J5370">
        <v>0</v>
      </c>
      <c r="K5370">
        <v>-21.84</v>
      </c>
      <c r="L5370">
        <v>0</v>
      </c>
      <c r="M5370">
        <v>0</v>
      </c>
      <c r="N5370">
        <v>0</v>
      </c>
      <c r="O5370">
        <v>0</v>
      </c>
      <c r="P5370">
        <v>0</v>
      </c>
      <c r="Q5370">
        <v>-21.84</v>
      </c>
    </row>
    <row r="5371" spans="1:18" customFormat="1" x14ac:dyDescent="0.3">
      <c r="A5371" s="12" t="s">
        <v>1250</v>
      </c>
      <c r="B5371" t="s">
        <v>167</v>
      </c>
      <c r="C5371" t="s">
        <v>123</v>
      </c>
      <c r="D5371" t="s">
        <v>110</v>
      </c>
      <c r="E5371" t="s">
        <v>65</v>
      </c>
      <c r="F5371">
        <v>0</v>
      </c>
      <c r="G5371">
        <v>0</v>
      </c>
      <c r="H5371">
        <v>-15.75</v>
      </c>
      <c r="I5371">
        <v>0</v>
      </c>
      <c r="J5371">
        <v>0</v>
      </c>
      <c r="K5371">
        <v>-15.75</v>
      </c>
      <c r="L5371">
        <v>0</v>
      </c>
      <c r="M5371">
        <v>0</v>
      </c>
      <c r="N5371">
        <v>0</v>
      </c>
      <c r="O5371">
        <v>0</v>
      </c>
      <c r="P5371">
        <v>0</v>
      </c>
      <c r="Q5371">
        <v>-15.75</v>
      </c>
    </row>
    <row r="5372" spans="1:18" customFormat="1" x14ac:dyDescent="0.3">
      <c r="A5372" s="12" t="s">
        <v>1250</v>
      </c>
      <c r="B5372" t="s">
        <v>167</v>
      </c>
      <c r="C5372" t="s">
        <v>123</v>
      </c>
      <c r="D5372" t="s">
        <v>110</v>
      </c>
      <c r="E5372" t="s">
        <v>58</v>
      </c>
      <c r="F5372">
        <v>0</v>
      </c>
      <c r="G5372">
        <v>2005.45</v>
      </c>
      <c r="H5372">
        <v>0</v>
      </c>
      <c r="I5372">
        <v>0</v>
      </c>
      <c r="J5372">
        <v>0</v>
      </c>
      <c r="K5372">
        <v>2005.45</v>
      </c>
      <c r="L5372">
        <v>0</v>
      </c>
      <c r="M5372">
        <v>0</v>
      </c>
      <c r="N5372">
        <v>0</v>
      </c>
      <c r="O5372">
        <v>0</v>
      </c>
      <c r="P5372">
        <v>0</v>
      </c>
      <c r="Q5372">
        <v>2005.45</v>
      </c>
    </row>
    <row r="5373" spans="1:18" customFormat="1" x14ac:dyDescent="0.3">
      <c r="A5373" s="12" t="s">
        <v>1250</v>
      </c>
      <c r="B5373" t="s">
        <v>167</v>
      </c>
      <c r="C5373" t="s">
        <v>123</v>
      </c>
      <c r="D5373" t="s">
        <v>110</v>
      </c>
      <c r="E5373" t="s">
        <v>7</v>
      </c>
      <c r="F5373">
        <v>0</v>
      </c>
      <c r="G5373">
        <v>0</v>
      </c>
      <c r="H5373">
        <v>0</v>
      </c>
      <c r="I5373">
        <v>0</v>
      </c>
      <c r="J5373">
        <v>0</v>
      </c>
      <c r="K5373">
        <v>0</v>
      </c>
      <c r="L5373">
        <v>0</v>
      </c>
      <c r="M5373">
        <v>-129.33000000000001</v>
      </c>
      <c r="N5373">
        <v>0</v>
      </c>
      <c r="O5373">
        <v>0</v>
      </c>
      <c r="P5373">
        <v>-129.33000000000001</v>
      </c>
      <c r="Q5373">
        <v>-129.33000000000001</v>
      </c>
    </row>
    <row r="5374" spans="1:18" customFormat="1" x14ac:dyDescent="0.3">
      <c r="A5374" s="12" t="s">
        <v>1250</v>
      </c>
      <c r="B5374" t="s">
        <v>167</v>
      </c>
      <c r="C5374" t="s">
        <v>123</v>
      </c>
      <c r="D5374" t="s">
        <v>110</v>
      </c>
      <c r="E5374" t="s">
        <v>8</v>
      </c>
      <c r="F5374">
        <v>0</v>
      </c>
      <c r="G5374">
        <v>152</v>
      </c>
      <c r="H5374">
        <v>0</v>
      </c>
      <c r="I5374">
        <v>0</v>
      </c>
      <c r="J5374">
        <v>0</v>
      </c>
      <c r="K5374">
        <v>152</v>
      </c>
      <c r="L5374">
        <v>0</v>
      </c>
      <c r="M5374">
        <v>0</v>
      </c>
      <c r="N5374">
        <v>0</v>
      </c>
      <c r="O5374">
        <v>0</v>
      </c>
      <c r="P5374">
        <v>0</v>
      </c>
      <c r="Q5374">
        <v>152</v>
      </c>
    </row>
    <row r="5375" spans="1:18" customFormat="1" x14ac:dyDescent="0.3">
      <c r="A5375" s="12" t="s">
        <v>1250</v>
      </c>
      <c r="B5375" t="s">
        <v>167</v>
      </c>
      <c r="C5375" t="s">
        <v>123</v>
      </c>
      <c r="D5375" t="s">
        <v>110</v>
      </c>
      <c r="E5375" t="s">
        <v>9</v>
      </c>
      <c r="F5375">
        <v>0</v>
      </c>
      <c r="G5375">
        <v>1104.8599999999999</v>
      </c>
      <c r="H5375">
        <v>0</v>
      </c>
      <c r="I5375">
        <v>0</v>
      </c>
      <c r="J5375">
        <v>0</v>
      </c>
      <c r="K5375">
        <v>1104.8599999999999</v>
      </c>
      <c r="L5375">
        <v>0</v>
      </c>
      <c r="M5375">
        <v>0</v>
      </c>
      <c r="N5375">
        <v>0</v>
      </c>
      <c r="O5375">
        <v>0</v>
      </c>
      <c r="P5375">
        <v>0</v>
      </c>
      <c r="Q5375">
        <v>1104.8599999999999</v>
      </c>
    </row>
    <row r="5376" spans="1:18" customFormat="1" x14ac:dyDescent="0.3">
      <c r="A5376" s="12" t="s">
        <v>1250</v>
      </c>
      <c r="B5376" t="s">
        <v>167</v>
      </c>
      <c r="C5376" t="s">
        <v>123</v>
      </c>
      <c r="D5376" t="s">
        <v>110</v>
      </c>
      <c r="E5376" t="s">
        <v>3</v>
      </c>
      <c r="F5376">
        <v>0</v>
      </c>
      <c r="G5376">
        <v>219.753614</v>
      </c>
      <c r="H5376">
        <v>-21.35</v>
      </c>
      <c r="I5376">
        <v>0</v>
      </c>
      <c r="J5376">
        <v>0</v>
      </c>
      <c r="K5376">
        <v>198.403614</v>
      </c>
      <c r="L5376">
        <v>0</v>
      </c>
      <c r="M5376">
        <v>0</v>
      </c>
      <c r="N5376">
        <v>0</v>
      </c>
      <c r="O5376">
        <v>0</v>
      </c>
      <c r="P5376">
        <v>0</v>
      </c>
      <c r="Q5376">
        <v>198.403614</v>
      </c>
    </row>
    <row r="5377" spans="1:17" customFormat="1" x14ac:dyDescent="0.3">
      <c r="A5377" s="12" t="s">
        <v>1250</v>
      </c>
      <c r="B5377" t="s">
        <v>167</v>
      </c>
      <c r="C5377" t="s">
        <v>123</v>
      </c>
      <c r="D5377" t="s">
        <v>110</v>
      </c>
      <c r="E5377" t="s">
        <v>11</v>
      </c>
      <c r="F5377">
        <v>0</v>
      </c>
      <c r="G5377">
        <v>301.95</v>
      </c>
      <c r="H5377">
        <v>0</v>
      </c>
      <c r="I5377">
        <v>0</v>
      </c>
      <c r="J5377">
        <v>0</v>
      </c>
      <c r="K5377">
        <v>301.95</v>
      </c>
      <c r="L5377">
        <v>0</v>
      </c>
      <c r="M5377">
        <v>0</v>
      </c>
      <c r="N5377">
        <v>0</v>
      </c>
      <c r="O5377">
        <v>0</v>
      </c>
      <c r="P5377">
        <v>0</v>
      </c>
      <c r="Q5377">
        <v>301.95</v>
      </c>
    </row>
    <row r="5378" spans="1:17" customFormat="1" x14ac:dyDescent="0.3">
      <c r="A5378" s="12" t="s">
        <v>1250</v>
      </c>
      <c r="B5378" t="s">
        <v>167</v>
      </c>
      <c r="C5378" t="s">
        <v>123</v>
      </c>
      <c r="D5378" t="s">
        <v>110</v>
      </c>
      <c r="E5378" t="s">
        <v>1155</v>
      </c>
      <c r="F5378">
        <v>0</v>
      </c>
      <c r="G5378">
        <v>0</v>
      </c>
      <c r="H5378">
        <v>0</v>
      </c>
      <c r="I5378">
        <v>0</v>
      </c>
      <c r="J5378">
        <v>0</v>
      </c>
      <c r="K5378">
        <v>0</v>
      </c>
      <c r="L5378">
        <v>157.6</v>
      </c>
      <c r="M5378">
        <v>0</v>
      </c>
      <c r="N5378">
        <v>0</v>
      </c>
      <c r="O5378">
        <v>0</v>
      </c>
      <c r="P5378">
        <v>157.6</v>
      </c>
      <c r="Q5378">
        <v>157.6</v>
      </c>
    </row>
    <row r="5379" spans="1:17" customFormat="1" x14ac:dyDescent="0.3">
      <c r="A5379" s="12" t="s">
        <v>1250</v>
      </c>
      <c r="B5379" t="s">
        <v>167</v>
      </c>
      <c r="C5379" t="s">
        <v>123</v>
      </c>
      <c r="D5379" t="s">
        <v>110</v>
      </c>
      <c r="E5379" t="s">
        <v>18</v>
      </c>
      <c r="F5379">
        <v>0</v>
      </c>
      <c r="G5379">
        <v>979.25</v>
      </c>
      <c r="H5379">
        <v>0</v>
      </c>
      <c r="I5379">
        <v>0</v>
      </c>
      <c r="J5379">
        <v>0</v>
      </c>
      <c r="K5379">
        <v>979.25</v>
      </c>
      <c r="L5379">
        <v>0</v>
      </c>
      <c r="M5379">
        <v>0</v>
      </c>
      <c r="N5379">
        <v>0</v>
      </c>
      <c r="O5379">
        <v>0</v>
      </c>
      <c r="P5379">
        <v>0</v>
      </c>
      <c r="Q5379">
        <v>979.25</v>
      </c>
    </row>
    <row r="5380" spans="1:17" customFormat="1" x14ac:dyDescent="0.3">
      <c r="A5380" s="12" t="s">
        <v>1250</v>
      </c>
      <c r="B5380" t="s">
        <v>167</v>
      </c>
      <c r="C5380" t="s">
        <v>123</v>
      </c>
      <c r="D5380" t="s">
        <v>110</v>
      </c>
      <c r="E5380" t="s">
        <v>48</v>
      </c>
      <c r="F5380">
        <v>0</v>
      </c>
      <c r="G5380">
        <v>943.7</v>
      </c>
      <c r="H5380">
        <v>0</v>
      </c>
      <c r="I5380">
        <v>0</v>
      </c>
      <c r="J5380">
        <v>0</v>
      </c>
      <c r="K5380">
        <v>943.7</v>
      </c>
      <c r="L5380">
        <v>290.5</v>
      </c>
      <c r="M5380">
        <v>0</v>
      </c>
      <c r="N5380">
        <v>0</v>
      </c>
      <c r="O5380">
        <v>0</v>
      </c>
      <c r="P5380">
        <v>290.5</v>
      </c>
      <c r="Q5380">
        <v>1234.2</v>
      </c>
    </row>
    <row r="5381" spans="1:17" customFormat="1" x14ac:dyDescent="0.3">
      <c r="A5381" s="12" t="s">
        <v>1250</v>
      </c>
      <c r="B5381" t="s">
        <v>167</v>
      </c>
      <c r="C5381" t="s">
        <v>123</v>
      </c>
      <c r="D5381" t="s">
        <v>110</v>
      </c>
      <c r="E5381" t="s">
        <v>54</v>
      </c>
      <c r="F5381">
        <v>0</v>
      </c>
      <c r="G5381">
        <v>0</v>
      </c>
      <c r="H5381">
        <v>0</v>
      </c>
      <c r="I5381">
        <v>0</v>
      </c>
      <c r="J5381">
        <v>0</v>
      </c>
      <c r="K5381">
        <v>0</v>
      </c>
      <c r="L5381">
        <v>4096.8</v>
      </c>
      <c r="M5381">
        <v>0</v>
      </c>
      <c r="N5381">
        <v>0</v>
      </c>
      <c r="O5381">
        <v>0</v>
      </c>
      <c r="P5381">
        <v>4096.8</v>
      </c>
      <c r="Q5381">
        <v>4096.8</v>
      </c>
    </row>
    <row r="5382" spans="1:17" customFormat="1" x14ac:dyDescent="0.3">
      <c r="A5382" s="12" t="s">
        <v>1250</v>
      </c>
      <c r="B5382" t="s">
        <v>167</v>
      </c>
      <c r="C5382" t="s">
        <v>123</v>
      </c>
      <c r="D5382" t="s">
        <v>110</v>
      </c>
      <c r="E5382" t="s">
        <v>19</v>
      </c>
      <c r="F5382">
        <v>0</v>
      </c>
      <c r="G5382">
        <v>0</v>
      </c>
      <c r="H5382">
        <v>-1076.7828569999999</v>
      </c>
      <c r="I5382">
        <v>0</v>
      </c>
      <c r="J5382">
        <v>0</v>
      </c>
      <c r="K5382">
        <v>-1076.7828569999999</v>
      </c>
      <c r="L5382">
        <v>0</v>
      </c>
      <c r="M5382">
        <v>0</v>
      </c>
      <c r="N5382">
        <v>0</v>
      </c>
      <c r="O5382">
        <v>0</v>
      </c>
      <c r="P5382">
        <v>0</v>
      </c>
      <c r="Q5382">
        <v>-1076.7828569999999</v>
      </c>
    </row>
    <row r="5383" spans="1:17" customFormat="1" x14ac:dyDescent="0.3">
      <c r="A5383" s="12" t="s">
        <v>1250</v>
      </c>
      <c r="B5383" t="s">
        <v>167</v>
      </c>
      <c r="C5383" t="s">
        <v>123</v>
      </c>
      <c r="D5383" t="s">
        <v>110</v>
      </c>
      <c r="E5383" t="s">
        <v>22</v>
      </c>
      <c r="F5383">
        <v>0</v>
      </c>
      <c r="G5383">
        <v>1859.191</v>
      </c>
      <c r="H5383">
        <v>0</v>
      </c>
      <c r="I5383">
        <v>0</v>
      </c>
      <c r="J5383">
        <v>0</v>
      </c>
      <c r="K5383">
        <v>1859.191</v>
      </c>
      <c r="L5383">
        <v>0</v>
      </c>
      <c r="M5383">
        <v>0</v>
      </c>
      <c r="N5383">
        <v>0</v>
      </c>
      <c r="O5383">
        <v>0</v>
      </c>
      <c r="P5383">
        <v>0</v>
      </c>
      <c r="Q5383">
        <v>1859.191</v>
      </c>
    </row>
    <row r="5384" spans="1:17" customFormat="1" x14ac:dyDescent="0.3">
      <c r="A5384" s="12" t="s">
        <v>1250</v>
      </c>
      <c r="B5384" t="s">
        <v>167</v>
      </c>
      <c r="C5384" t="s">
        <v>123</v>
      </c>
      <c r="D5384" t="s">
        <v>110</v>
      </c>
      <c r="E5384" t="s">
        <v>24</v>
      </c>
      <c r="F5384">
        <v>0</v>
      </c>
      <c r="G5384">
        <v>789.72916667000004</v>
      </c>
      <c r="H5384">
        <v>-32.166666669999998</v>
      </c>
      <c r="I5384">
        <v>0</v>
      </c>
      <c r="J5384">
        <v>0</v>
      </c>
      <c r="K5384">
        <v>757.5625</v>
      </c>
      <c r="L5384">
        <v>0</v>
      </c>
      <c r="M5384">
        <v>0</v>
      </c>
      <c r="N5384">
        <v>0</v>
      </c>
      <c r="O5384">
        <v>0</v>
      </c>
      <c r="P5384">
        <v>0</v>
      </c>
      <c r="Q5384">
        <v>757.5625</v>
      </c>
    </row>
    <row r="5385" spans="1:17" customFormat="1" x14ac:dyDescent="0.3">
      <c r="A5385" s="12" t="s">
        <v>1250</v>
      </c>
      <c r="B5385" t="s">
        <v>167</v>
      </c>
      <c r="C5385" t="s">
        <v>123</v>
      </c>
      <c r="D5385" t="s">
        <v>110</v>
      </c>
      <c r="E5385" t="s">
        <v>1253</v>
      </c>
      <c r="F5385">
        <v>0</v>
      </c>
      <c r="G5385">
        <v>0</v>
      </c>
      <c r="H5385">
        <v>0</v>
      </c>
      <c r="I5385">
        <v>0</v>
      </c>
      <c r="J5385">
        <v>0</v>
      </c>
      <c r="K5385">
        <v>0</v>
      </c>
      <c r="L5385">
        <v>0</v>
      </c>
      <c r="M5385">
        <v>-89.2</v>
      </c>
      <c r="N5385">
        <v>0</v>
      </c>
      <c r="O5385">
        <v>0</v>
      </c>
      <c r="P5385">
        <v>-89.2</v>
      </c>
      <c r="Q5385">
        <v>-89.2</v>
      </c>
    </row>
    <row r="5386" spans="1:17" customFormat="1" x14ac:dyDescent="0.3">
      <c r="A5386" s="12" t="s">
        <v>1250</v>
      </c>
      <c r="B5386" t="s">
        <v>167</v>
      </c>
      <c r="C5386" t="s">
        <v>123</v>
      </c>
      <c r="D5386" t="s">
        <v>110</v>
      </c>
      <c r="E5386" t="s">
        <v>1254</v>
      </c>
      <c r="F5386">
        <v>0</v>
      </c>
      <c r="G5386">
        <v>0</v>
      </c>
      <c r="H5386">
        <v>0</v>
      </c>
      <c r="I5386">
        <v>0</v>
      </c>
      <c r="J5386">
        <v>0</v>
      </c>
      <c r="K5386">
        <v>0</v>
      </c>
      <c r="L5386">
        <v>0</v>
      </c>
      <c r="M5386">
        <v>-17.3</v>
      </c>
      <c r="N5386">
        <v>0</v>
      </c>
      <c r="O5386">
        <v>0</v>
      </c>
      <c r="P5386">
        <v>-17.3</v>
      </c>
      <c r="Q5386">
        <v>-17.3</v>
      </c>
    </row>
    <row r="5387" spans="1:17" customFormat="1" x14ac:dyDescent="0.3">
      <c r="A5387" s="12" t="s">
        <v>1250</v>
      </c>
      <c r="B5387" t="s">
        <v>167</v>
      </c>
      <c r="C5387" t="s">
        <v>123</v>
      </c>
      <c r="D5387" t="s">
        <v>110</v>
      </c>
      <c r="E5387" t="s">
        <v>70</v>
      </c>
      <c r="F5387">
        <v>0</v>
      </c>
      <c r="G5387">
        <v>223.95</v>
      </c>
      <c r="H5387">
        <v>0</v>
      </c>
      <c r="I5387">
        <v>0</v>
      </c>
      <c r="J5387">
        <v>0</v>
      </c>
      <c r="K5387">
        <v>223.95</v>
      </c>
      <c r="L5387">
        <v>229.9</v>
      </c>
      <c r="M5387">
        <v>0</v>
      </c>
      <c r="N5387">
        <v>0</v>
      </c>
      <c r="O5387">
        <v>0</v>
      </c>
      <c r="P5387">
        <v>229.9</v>
      </c>
      <c r="Q5387">
        <v>453.85</v>
      </c>
    </row>
    <row r="5388" spans="1:17" customFormat="1" x14ac:dyDescent="0.3">
      <c r="A5388" s="12" t="s">
        <v>1250</v>
      </c>
      <c r="B5388" t="s">
        <v>167</v>
      </c>
      <c r="C5388" t="s">
        <v>123</v>
      </c>
      <c r="D5388" t="s">
        <v>110</v>
      </c>
      <c r="E5388" t="s">
        <v>49</v>
      </c>
      <c r="F5388">
        <v>0</v>
      </c>
      <c r="G5388">
        <v>301.67</v>
      </c>
      <c r="H5388">
        <v>0</v>
      </c>
      <c r="I5388">
        <v>0</v>
      </c>
      <c r="J5388">
        <v>0</v>
      </c>
      <c r="K5388">
        <v>301.67</v>
      </c>
      <c r="L5388">
        <v>387.45</v>
      </c>
      <c r="M5388">
        <v>0</v>
      </c>
      <c r="N5388">
        <v>0</v>
      </c>
      <c r="O5388">
        <v>0</v>
      </c>
      <c r="P5388">
        <v>387.45</v>
      </c>
      <c r="Q5388">
        <v>689.12</v>
      </c>
    </row>
    <row r="5389" spans="1:17" customFormat="1" x14ac:dyDescent="0.3">
      <c r="A5389" s="12" t="s">
        <v>1250</v>
      </c>
      <c r="B5389" t="s">
        <v>167</v>
      </c>
      <c r="C5389" t="s">
        <v>123</v>
      </c>
      <c r="D5389" t="s">
        <v>110</v>
      </c>
      <c r="E5389" t="s">
        <v>26</v>
      </c>
      <c r="F5389">
        <v>0</v>
      </c>
      <c r="G5389">
        <v>136.94999999999999</v>
      </c>
      <c r="H5389">
        <v>0</v>
      </c>
      <c r="I5389">
        <v>0</v>
      </c>
      <c r="J5389">
        <v>0</v>
      </c>
      <c r="K5389">
        <v>136.94999999999999</v>
      </c>
      <c r="L5389">
        <v>0</v>
      </c>
      <c r="M5389">
        <v>0</v>
      </c>
      <c r="N5389">
        <v>0</v>
      </c>
      <c r="O5389">
        <v>0</v>
      </c>
      <c r="P5389">
        <v>0</v>
      </c>
      <c r="Q5389">
        <v>136.94999999999999</v>
      </c>
    </row>
    <row r="5390" spans="1:17" customFormat="1" x14ac:dyDescent="0.3">
      <c r="A5390" s="12" t="s">
        <v>1250</v>
      </c>
      <c r="B5390" t="s">
        <v>167</v>
      </c>
      <c r="C5390" t="s">
        <v>123</v>
      </c>
      <c r="D5390" t="s">
        <v>110</v>
      </c>
      <c r="E5390" t="s">
        <v>27</v>
      </c>
      <c r="F5390">
        <v>0</v>
      </c>
      <c r="G5390">
        <v>1491.85</v>
      </c>
      <c r="H5390">
        <v>0</v>
      </c>
      <c r="I5390">
        <v>0</v>
      </c>
      <c r="J5390">
        <v>0</v>
      </c>
      <c r="K5390">
        <v>1491.85</v>
      </c>
      <c r="L5390">
        <v>0</v>
      </c>
      <c r="M5390">
        <v>0</v>
      </c>
      <c r="N5390">
        <v>0</v>
      </c>
      <c r="O5390">
        <v>0</v>
      </c>
      <c r="P5390">
        <v>0</v>
      </c>
      <c r="Q5390">
        <v>1491.85</v>
      </c>
    </row>
    <row r="5391" spans="1:17" customFormat="1" x14ac:dyDescent="0.3">
      <c r="A5391" s="12" t="s">
        <v>1250</v>
      </c>
      <c r="B5391" t="s">
        <v>167</v>
      </c>
      <c r="C5391" t="s">
        <v>123</v>
      </c>
      <c r="D5391" t="s">
        <v>110</v>
      </c>
      <c r="E5391" t="s">
        <v>28</v>
      </c>
      <c r="F5391">
        <v>0</v>
      </c>
      <c r="G5391">
        <v>2040.60408147</v>
      </c>
      <c r="H5391">
        <v>0</v>
      </c>
      <c r="I5391">
        <v>0</v>
      </c>
      <c r="J5391">
        <v>0</v>
      </c>
      <c r="K5391">
        <v>2040.60408147</v>
      </c>
      <c r="L5391">
        <v>155.53387799999999</v>
      </c>
      <c r="M5391">
        <v>-976.99</v>
      </c>
      <c r="N5391">
        <v>0</v>
      </c>
      <c r="O5391">
        <v>0</v>
      </c>
      <c r="P5391">
        <v>-821.45612200000005</v>
      </c>
      <c r="Q5391">
        <v>1219.1479594699999</v>
      </c>
    </row>
    <row r="5392" spans="1:17" customFormat="1" x14ac:dyDescent="0.3">
      <c r="A5392" s="12" t="s">
        <v>1250</v>
      </c>
      <c r="B5392" t="s">
        <v>167</v>
      </c>
      <c r="C5392" t="s">
        <v>123</v>
      </c>
      <c r="D5392" t="s">
        <v>110</v>
      </c>
      <c r="E5392" t="s">
        <v>71</v>
      </c>
      <c r="F5392">
        <v>0</v>
      </c>
      <c r="G5392">
        <v>0</v>
      </c>
      <c r="H5392">
        <v>0</v>
      </c>
      <c r="I5392">
        <v>0</v>
      </c>
      <c r="J5392">
        <v>0</v>
      </c>
      <c r="K5392">
        <v>0</v>
      </c>
      <c r="L5392">
        <v>0</v>
      </c>
      <c r="M5392">
        <v>-211.3</v>
      </c>
      <c r="N5392">
        <v>0</v>
      </c>
      <c r="O5392">
        <v>0</v>
      </c>
      <c r="P5392">
        <v>-211.3</v>
      </c>
      <c r="Q5392">
        <v>-211.3</v>
      </c>
    </row>
    <row r="5393" spans="1:17" customFormat="1" x14ac:dyDescent="0.3">
      <c r="A5393" s="12" t="s">
        <v>1250</v>
      </c>
      <c r="B5393" t="s">
        <v>167</v>
      </c>
      <c r="C5393" t="s">
        <v>123</v>
      </c>
      <c r="D5393" t="s">
        <v>110</v>
      </c>
      <c r="E5393" t="s">
        <v>29</v>
      </c>
      <c r="F5393">
        <v>0</v>
      </c>
      <c r="G5393">
        <v>0</v>
      </c>
      <c r="H5393">
        <v>0</v>
      </c>
      <c r="I5393">
        <v>0</v>
      </c>
      <c r="J5393">
        <v>0</v>
      </c>
      <c r="K5393">
        <v>0</v>
      </c>
      <c r="L5393">
        <v>941.25</v>
      </c>
      <c r="M5393">
        <v>0</v>
      </c>
      <c r="N5393">
        <v>0</v>
      </c>
      <c r="O5393">
        <v>0</v>
      </c>
      <c r="P5393">
        <v>941.25</v>
      </c>
      <c r="Q5393">
        <v>941.25</v>
      </c>
    </row>
    <row r="5394" spans="1:17" customFormat="1" x14ac:dyDescent="0.3">
      <c r="A5394" s="12" t="s">
        <v>1250</v>
      </c>
      <c r="B5394" t="s">
        <v>167</v>
      </c>
      <c r="C5394" t="s">
        <v>123</v>
      </c>
      <c r="D5394" t="s">
        <v>110</v>
      </c>
      <c r="E5394" t="s">
        <v>39</v>
      </c>
      <c r="F5394">
        <v>0</v>
      </c>
      <c r="G5394">
        <v>0</v>
      </c>
      <c r="H5394">
        <v>-1332.11</v>
      </c>
      <c r="I5394">
        <v>0</v>
      </c>
      <c r="J5394">
        <v>0</v>
      </c>
      <c r="K5394">
        <v>-1332.11</v>
      </c>
      <c r="L5394">
        <v>0</v>
      </c>
      <c r="M5394">
        <v>0</v>
      </c>
      <c r="N5394">
        <v>0</v>
      </c>
      <c r="O5394">
        <v>0</v>
      </c>
      <c r="P5394">
        <v>0</v>
      </c>
      <c r="Q5394">
        <v>-1332.11</v>
      </c>
    </row>
    <row r="5395" spans="1:17" customFormat="1" x14ac:dyDescent="0.3">
      <c r="A5395" s="12" t="s">
        <v>1250</v>
      </c>
      <c r="B5395" t="s">
        <v>167</v>
      </c>
      <c r="C5395" t="s">
        <v>123</v>
      </c>
      <c r="D5395" t="s">
        <v>110</v>
      </c>
      <c r="E5395" t="s">
        <v>82</v>
      </c>
      <c r="F5395">
        <v>0</v>
      </c>
      <c r="G5395">
        <v>0</v>
      </c>
      <c r="H5395">
        <v>0</v>
      </c>
      <c r="I5395">
        <v>0</v>
      </c>
      <c r="J5395">
        <v>0</v>
      </c>
      <c r="K5395">
        <v>0</v>
      </c>
      <c r="L5395">
        <v>1318</v>
      </c>
      <c r="M5395">
        <v>-202.6</v>
      </c>
      <c r="N5395">
        <v>0</v>
      </c>
      <c r="O5395">
        <v>0</v>
      </c>
      <c r="P5395">
        <v>1115.4000000000001</v>
      </c>
      <c r="Q5395">
        <v>1115.4000000000001</v>
      </c>
    </row>
    <row r="5396" spans="1:17" customFormat="1" x14ac:dyDescent="0.3">
      <c r="A5396" s="12" t="s">
        <v>1250</v>
      </c>
      <c r="B5396" t="s">
        <v>167</v>
      </c>
      <c r="C5396" t="s">
        <v>123</v>
      </c>
      <c r="D5396" t="s">
        <v>110</v>
      </c>
      <c r="E5396" t="s">
        <v>1255</v>
      </c>
      <c r="F5396">
        <v>0</v>
      </c>
      <c r="G5396">
        <v>0</v>
      </c>
      <c r="H5396">
        <v>0</v>
      </c>
      <c r="I5396">
        <v>0</v>
      </c>
      <c r="J5396">
        <v>0</v>
      </c>
      <c r="K5396">
        <v>0</v>
      </c>
      <c r="L5396">
        <v>0</v>
      </c>
      <c r="M5396">
        <v>-786.6</v>
      </c>
      <c r="N5396">
        <v>0</v>
      </c>
      <c r="O5396">
        <v>0</v>
      </c>
      <c r="P5396">
        <v>-786.6</v>
      </c>
      <c r="Q5396">
        <v>-786.6</v>
      </c>
    </row>
    <row r="5397" spans="1:17" customFormat="1" x14ac:dyDescent="0.3">
      <c r="A5397" s="12" t="s">
        <v>1250</v>
      </c>
      <c r="B5397" t="s">
        <v>167</v>
      </c>
      <c r="C5397" t="s">
        <v>123</v>
      </c>
      <c r="D5397" t="s">
        <v>110</v>
      </c>
      <c r="E5397" t="s">
        <v>51</v>
      </c>
      <c r="F5397">
        <v>0</v>
      </c>
      <c r="G5397">
        <v>0</v>
      </c>
      <c r="H5397">
        <v>-733.1</v>
      </c>
      <c r="I5397">
        <v>0</v>
      </c>
      <c r="J5397">
        <v>0</v>
      </c>
      <c r="K5397">
        <v>-733.1</v>
      </c>
      <c r="L5397">
        <v>0</v>
      </c>
      <c r="M5397">
        <v>-458.25</v>
      </c>
      <c r="N5397">
        <v>0</v>
      </c>
      <c r="O5397">
        <v>0</v>
      </c>
      <c r="P5397">
        <v>-458.25</v>
      </c>
      <c r="Q5397">
        <v>-1191.3499999999999</v>
      </c>
    </row>
    <row r="5398" spans="1:17" customFormat="1" x14ac:dyDescent="0.3">
      <c r="A5398" s="12" t="s">
        <v>1250</v>
      </c>
      <c r="B5398" t="s">
        <v>167</v>
      </c>
      <c r="C5398" t="s">
        <v>123</v>
      </c>
      <c r="D5398" t="s">
        <v>110</v>
      </c>
      <c r="E5398" t="s">
        <v>83</v>
      </c>
      <c r="F5398">
        <v>0</v>
      </c>
      <c r="G5398">
        <v>0</v>
      </c>
      <c r="H5398">
        <v>0</v>
      </c>
      <c r="I5398">
        <v>0</v>
      </c>
      <c r="J5398">
        <v>0</v>
      </c>
      <c r="K5398">
        <v>0</v>
      </c>
      <c r="L5398">
        <v>0</v>
      </c>
      <c r="M5398">
        <v>-2697.8</v>
      </c>
      <c r="N5398">
        <v>0</v>
      </c>
      <c r="O5398">
        <v>0</v>
      </c>
      <c r="P5398">
        <v>-2697.8</v>
      </c>
      <c r="Q5398">
        <v>-2697.8</v>
      </c>
    </row>
    <row r="5399" spans="1:17" customFormat="1" x14ac:dyDescent="0.3">
      <c r="A5399" s="12" t="s">
        <v>1250</v>
      </c>
      <c r="B5399" t="s">
        <v>167</v>
      </c>
      <c r="C5399" t="s">
        <v>123</v>
      </c>
      <c r="D5399" t="s">
        <v>110</v>
      </c>
      <c r="E5399" t="s">
        <v>86</v>
      </c>
      <c r="F5399">
        <v>0</v>
      </c>
      <c r="G5399">
        <v>0</v>
      </c>
      <c r="H5399">
        <v>0</v>
      </c>
      <c r="I5399">
        <v>0</v>
      </c>
      <c r="J5399">
        <v>0</v>
      </c>
      <c r="K5399">
        <v>0</v>
      </c>
      <c r="L5399">
        <v>730.4</v>
      </c>
      <c r="M5399">
        <v>0</v>
      </c>
      <c r="N5399">
        <v>0</v>
      </c>
      <c r="O5399">
        <v>0</v>
      </c>
      <c r="P5399">
        <v>730.4</v>
      </c>
      <c r="Q5399">
        <v>730.4</v>
      </c>
    </row>
    <row r="5400" spans="1:17" customFormat="1" x14ac:dyDescent="0.3">
      <c r="A5400" s="12" t="s">
        <v>1250</v>
      </c>
      <c r="B5400" t="s">
        <v>167</v>
      </c>
      <c r="C5400" t="s">
        <v>123</v>
      </c>
      <c r="D5400" t="s">
        <v>110</v>
      </c>
      <c r="E5400" t="s">
        <v>77</v>
      </c>
      <c r="F5400">
        <v>0</v>
      </c>
      <c r="G5400">
        <v>101.9</v>
      </c>
      <c r="H5400">
        <v>-323.10000000000002</v>
      </c>
      <c r="I5400">
        <v>0</v>
      </c>
      <c r="J5400">
        <v>0</v>
      </c>
      <c r="K5400">
        <v>-221.2</v>
      </c>
      <c r="L5400">
        <v>0</v>
      </c>
      <c r="M5400">
        <v>0</v>
      </c>
      <c r="N5400">
        <v>0</v>
      </c>
      <c r="O5400">
        <v>0</v>
      </c>
      <c r="P5400">
        <v>0</v>
      </c>
      <c r="Q5400">
        <v>-221.2</v>
      </c>
    </row>
    <row r="5401" spans="1:17" customFormat="1" x14ac:dyDescent="0.3">
      <c r="A5401" s="12" t="s">
        <v>1250</v>
      </c>
      <c r="B5401" t="s">
        <v>167</v>
      </c>
      <c r="C5401" t="s">
        <v>123</v>
      </c>
      <c r="D5401" t="s">
        <v>110</v>
      </c>
      <c r="E5401" t="s">
        <v>87</v>
      </c>
      <c r="F5401">
        <v>0</v>
      </c>
      <c r="G5401">
        <v>1252.3499999999999</v>
      </c>
      <c r="H5401">
        <v>0</v>
      </c>
      <c r="I5401">
        <v>0</v>
      </c>
      <c r="J5401">
        <v>0</v>
      </c>
      <c r="K5401">
        <v>1252.3499999999999</v>
      </c>
      <c r="L5401">
        <v>0</v>
      </c>
      <c r="M5401">
        <v>0</v>
      </c>
      <c r="N5401">
        <v>0</v>
      </c>
      <c r="O5401">
        <v>0</v>
      </c>
      <c r="P5401">
        <v>0</v>
      </c>
      <c r="Q5401">
        <v>1252.3499999999999</v>
      </c>
    </row>
    <row r="5402" spans="1:17" customFormat="1" x14ac:dyDescent="0.3">
      <c r="A5402" s="12" t="s">
        <v>1250</v>
      </c>
      <c r="B5402" t="s">
        <v>167</v>
      </c>
      <c r="C5402" t="s">
        <v>123</v>
      </c>
      <c r="D5402" t="s">
        <v>110</v>
      </c>
      <c r="E5402" t="s">
        <v>78</v>
      </c>
      <c r="F5402">
        <v>0</v>
      </c>
      <c r="G5402">
        <v>211.2</v>
      </c>
      <c r="H5402">
        <v>0</v>
      </c>
      <c r="I5402">
        <v>0</v>
      </c>
      <c r="J5402">
        <v>0</v>
      </c>
      <c r="K5402">
        <v>211.2</v>
      </c>
      <c r="L5402">
        <v>0</v>
      </c>
      <c r="M5402">
        <v>0</v>
      </c>
      <c r="N5402">
        <v>0</v>
      </c>
      <c r="O5402">
        <v>0</v>
      </c>
      <c r="P5402">
        <v>0</v>
      </c>
      <c r="Q5402">
        <v>211.2</v>
      </c>
    </row>
    <row r="5403" spans="1:17" customFormat="1" x14ac:dyDescent="0.3">
      <c r="A5403" s="12" t="s">
        <v>1250</v>
      </c>
      <c r="B5403" t="s">
        <v>167</v>
      </c>
      <c r="C5403" t="s">
        <v>123</v>
      </c>
      <c r="D5403" t="s">
        <v>110</v>
      </c>
      <c r="E5403" t="s">
        <v>32</v>
      </c>
      <c r="F5403">
        <v>0</v>
      </c>
      <c r="G5403">
        <v>1029.0999999999999</v>
      </c>
      <c r="H5403">
        <v>0</v>
      </c>
      <c r="I5403">
        <v>0</v>
      </c>
      <c r="J5403">
        <v>0</v>
      </c>
      <c r="K5403">
        <v>1029.0999999999999</v>
      </c>
      <c r="L5403">
        <v>0</v>
      </c>
      <c r="M5403">
        <v>0</v>
      </c>
      <c r="N5403">
        <v>0</v>
      </c>
      <c r="O5403">
        <v>0</v>
      </c>
      <c r="P5403">
        <v>0</v>
      </c>
      <c r="Q5403">
        <v>1029.0999999999999</v>
      </c>
    </row>
    <row r="5404" spans="1:17" customFormat="1" x14ac:dyDescent="0.3">
      <c r="A5404" s="12" t="s">
        <v>1250</v>
      </c>
      <c r="B5404" t="s">
        <v>167</v>
      </c>
      <c r="C5404" t="s">
        <v>123</v>
      </c>
      <c r="D5404" t="s">
        <v>110</v>
      </c>
      <c r="E5404" t="s">
        <v>1256</v>
      </c>
      <c r="F5404">
        <v>0</v>
      </c>
      <c r="G5404">
        <v>0</v>
      </c>
      <c r="H5404">
        <v>0</v>
      </c>
      <c r="I5404">
        <v>0</v>
      </c>
      <c r="J5404">
        <v>0</v>
      </c>
      <c r="K5404">
        <v>0</v>
      </c>
      <c r="L5404">
        <v>0</v>
      </c>
      <c r="M5404">
        <v>-15.1</v>
      </c>
      <c r="N5404">
        <v>0</v>
      </c>
      <c r="O5404">
        <v>0</v>
      </c>
      <c r="P5404">
        <v>-15.1</v>
      </c>
      <c r="Q5404">
        <v>-15.1</v>
      </c>
    </row>
    <row r="5405" spans="1:17" customFormat="1" x14ac:dyDescent="0.3">
      <c r="A5405" s="12" t="s">
        <v>1250</v>
      </c>
      <c r="B5405" t="s">
        <v>167</v>
      </c>
      <c r="C5405" t="s">
        <v>123</v>
      </c>
      <c r="D5405" t="s">
        <v>110</v>
      </c>
      <c r="E5405" t="s">
        <v>1257</v>
      </c>
      <c r="F5405">
        <v>0</v>
      </c>
      <c r="G5405">
        <v>0</v>
      </c>
      <c r="H5405">
        <v>0</v>
      </c>
      <c r="I5405">
        <v>0</v>
      </c>
      <c r="J5405">
        <v>0</v>
      </c>
      <c r="K5405">
        <v>0</v>
      </c>
      <c r="L5405">
        <v>0</v>
      </c>
      <c r="M5405">
        <v>-311.3</v>
      </c>
      <c r="N5405">
        <v>0</v>
      </c>
      <c r="O5405">
        <v>0</v>
      </c>
      <c r="P5405">
        <v>-311.3</v>
      </c>
      <c r="Q5405">
        <v>-311.3</v>
      </c>
    </row>
    <row r="5406" spans="1:17" customFormat="1" x14ac:dyDescent="0.3">
      <c r="A5406" s="12" t="s">
        <v>1250</v>
      </c>
      <c r="B5406" t="s">
        <v>167</v>
      </c>
      <c r="C5406" t="s">
        <v>123</v>
      </c>
      <c r="D5406" t="s">
        <v>110</v>
      </c>
      <c r="E5406" t="s">
        <v>1258</v>
      </c>
      <c r="F5406">
        <v>0</v>
      </c>
      <c r="G5406">
        <v>0</v>
      </c>
      <c r="H5406">
        <v>0</v>
      </c>
      <c r="I5406">
        <v>0</v>
      </c>
      <c r="J5406">
        <v>0</v>
      </c>
      <c r="K5406">
        <v>0</v>
      </c>
      <c r="L5406">
        <v>0</v>
      </c>
      <c r="M5406">
        <v>-507.2</v>
      </c>
      <c r="N5406">
        <v>0</v>
      </c>
      <c r="O5406">
        <v>0</v>
      </c>
      <c r="P5406">
        <v>-507.2</v>
      </c>
      <c r="Q5406">
        <v>-507.2</v>
      </c>
    </row>
    <row r="5407" spans="1:17" customFormat="1" x14ac:dyDescent="0.3">
      <c r="A5407" s="12" t="s">
        <v>1250</v>
      </c>
      <c r="B5407" t="s">
        <v>167</v>
      </c>
      <c r="C5407" t="s">
        <v>123</v>
      </c>
      <c r="D5407" t="s">
        <v>110</v>
      </c>
      <c r="E5407" t="s">
        <v>1156</v>
      </c>
      <c r="F5407">
        <v>0</v>
      </c>
      <c r="G5407">
        <v>0</v>
      </c>
      <c r="H5407">
        <v>0</v>
      </c>
      <c r="I5407">
        <v>0</v>
      </c>
      <c r="J5407">
        <v>0</v>
      </c>
      <c r="K5407">
        <v>0</v>
      </c>
      <c r="L5407">
        <v>219.45</v>
      </c>
      <c r="M5407">
        <v>0</v>
      </c>
      <c r="N5407">
        <v>0</v>
      </c>
      <c r="O5407">
        <v>0</v>
      </c>
      <c r="P5407">
        <v>219.45</v>
      </c>
      <c r="Q5407">
        <v>219.45</v>
      </c>
    </row>
    <row r="5408" spans="1:17" customFormat="1" x14ac:dyDescent="0.3">
      <c r="A5408" s="12" t="s">
        <v>1250</v>
      </c>
      <c r="B5408" t="s">
        <v>167</v>
      </c>
      <c r="C5408" t="s">
        <v>123</v>
      </c>
      <c r="D5408" t="s">
        <v>110</v>
      </c>
      <c r="E5408" t="s">
        <v>61</v>
      </c>
      <c r="F5408">
        <v>0</v>
      </c>
      <c r="G5408">
        <v>0</v>
      </c>
      <c r="H5408">
        <v>-170.29499999999999</v>
      </c>
      <c r="I5408">
        <v>0</v>
      </c>
      <c r="J5408">
        <v>0</v>
      </c>
      <c r="K5408">
        <v>-170.29499999999999</v>
      </c>
      <c r="L5408">
        <v>0</v>
      </c>
      <c r="M5408">
        <v>0</v>
      </c>
      <c r="N5408">
        <v>0</v>
      </c>
      <c r="O5408">
        <v>0</v>
      </c>
      <c r="P5408">
        <v>0</v>
      </c>
      <c r="Q5408">
        <v>-170.29499999999999</v>
      </c>
    </row>
    <row r="5409" spans="1:17" customFormat="1" x14ac:dyDescent="0.3">
      <c r="A5409" s="12" t="s">
        <v>1250</v>
      </c>
      <c r="B5409" t="s">
        <v>167</v>
      </c>
      <c r="C5409" t="s">
        <v>123</v>
      </c>
      <c r="D5409" t="s">
        <v>110</v>
      </c>
      <c r="E5409" t="s">
        <v>62</v>
      </c>
      <c r="F5409">
        <v>0</v>
      </c>
      <c r="G5409">
        <v>0</v>
      </c>
      <c r="H5409">
        <v>0</v>
      </c>
      <c r="I5409">
        <v>0</v>
      </c>
      <c r="J5409">
        <v>0</v>
      </c>
      <c r="K5409">
        <v>0</v>
      </c>
      <c r="L5409">
        <v>1001.13</v>
      </c>
      <c r="M5409">
        <v>0</v>
      </c>
      <c r="N5409">
        <v>0</v>
      </c>
      <c r="O5409">
        <v>0</v>
      </c>
      <c r="P5409">
        <v>1001.13</v>
      </c>
      <c r="Q5409">
        <v>1001.13</v>
      </c>
    </row>
    <row r="5410" spans="1:17" customFormat="1" x14ac:dyDescent="0.3">
      <c r="A5410" s="12" t="s">
        <v>1250</v>
      </c>
      <c r="B5410" t="s">
        <v>167</v>
      </c>
      <c r="C5410" t="s">
        <v>123</v>
      </c>
      <c r="D5410" t="s">
        <v>110</v>
      </c>
      <c r="E5410" t="s">
        <v>41</v>
      </c>
      <c r="F5410">
        <v>0</v>
      </c>
      <c r="G5410">
        <v>3383.4850000000001</v>
      </c>
      <c r="H5410">
        <v>0</v>
      </c>
      <c r="I5410">
        <v>0</v>
      </c>
      <c r="J5410">
        <v>0</v>
      </c>
      <c r="K5410">
        <v>3383.4850000000001</v>
      </c>
      <c r="L5410">
        <v>2911.14</v>
      </c>
      <c r="M5410">
        <v>0</v>
      </c>
      <c r="N5410">
        <v>0</v>
      </c>
      <c r="O5410">
        <v>0</v>
      </c>
      <c r="P5410">
        <v>2911.14</v>
      </c>
      <c r="Q5410">
        <v>6294.625</v>
      </c>
    </row>
    <row r="5411" spans="1:17" customFormat="1" x14ac:dyDescent="0.3">
      <c r="A5411" s="12" t="s">
        <v>1250</v>
      </c>
      <c r="B5411" t="s">
        <v>167</v>
      </c>
      <c r="C5411" t="s">
        <v>123</v>
      </c>
      <c r="D5411" t="s">
        <v>110</v>
      </c>
      <c r="E5411" t="s">
        <v>79</v>
      </c>
      <c r="F5411">
        <v>0</v>
      </c>
      <c r="G5411">
        <v>0</v>
      </c>
      <c r="H5411">
        <v>0</v>
      </c>
      <c r="I5411">
        <v>0</v>
      </c>
      <c r="J5411">
        <v>0</v>
      </c>
      <c r="K5411">
        <v>0</v>
      </c>
      <c r="L5411">
        <v>1021.6</v>
      </c>
      <c r="M5411">
        <v>0</v>
      </c>
      <c r="N5411">
        <v>0</v>
      </c>
      <c r="O5411">
        <v>0</v>
      </c>
      <c r="P5411">
        <v>1021.6</v>
      </c>
      <c r="Q5411">
        <v>1021.6</v>
      </c>
    </row>
    <row r="5412" spans="1:17" customFormat="1" x14ac:dyDescent="0.3">
      <c r="A5412" s="12" t="s">
        <v>1250</v>
      </c>
      <c r="B5412" t="s">
        <v>167</v>
      </c>
      <c r="C5412" t="s">
        <v>123</v>
      </c>
      <c r="D5412" t="s">
        <v>110</v>
      </c>
      <c r="E5412" t="s">
        <v>42</v>
      </c>
      <c r="F5412">
        <v>0</v>
      </c>
      <c r="G5412">
        <v>0</v>
      </c>
      <c r="H5412">
        <v>0</v>
      </c>
      <c r="I5412">
        <v>0</v>
      </c>
      <c r="J5412">
        <v>0</v>
      </c>
      <c r="K5412">
        <v>0</v>
      </c>
      <c r="L5412">
        <v>3349.1</v>
      </c>
      <c r="M5412">
        <v>0</v>
      </c>
      <c r="N5412">
        <v>0</v>
      </c>
      <c r="O5412">
        <v>0</v>
      </c>
      <c r="P5412">
        <v>3349.1</v>
      </c>
      <c r="Q5412">
        <v>3349.1</v>
      </c>
    </row>
    <row r="5413" spans="1:17" customFormat="1" x14ac:dyDescent="0.3">
      <c r="A5413" s="12" t="s">
        <v>1250</v>
      </c>
      <c r="B5413" t="s">
        <v>167</v>
      </c>
      <c r="C5413" t="s">
        <v>123</v>
      </c>
      <c r="D5413" t="s">
        <v>110</v>
      </c>
      <c r="E5413" t="s">
        <v>43</v>
      </c>
      <c r="F5413">
        <v>0</v>
      </c>
      <c r="G5413">
        <v>0</v>
      </c>
      <c r="H5413">
        <v>0</v>
      </c>
      <c r="I5413">
        <v>0</v>
      </c>
      <c r="J5413">
        <v>0</v>
      </c>
      <c r="K5413">
        <v>0</v>
      </c>
      <c r="L5413">
        <v>3652.5</v>
      </c>
      <c r="M5413">
        <v>0</v>
      </c>
      <c r="N5413">
        <v>0</v>
      </c>
      <c r="O5413">
        <v>0</v>
      </c>
      <c r="P5413">
        <v>3652.5</v>
      </c>
      <c r="Q5413">
        <v>3652.5</v>
      </c>
    </row>
    <row r="5414" spans="1:17" customFormat="1" x14ac:dyDescent="0.3">
      <c r="A5414" s="12" t="s">
        <v>1250</v>
      </c>
      <c r="B5414" t="s">
        <v>167</v>
      </c>
      <c r="C5414" t="s">
        <v>123</v>
      </c>
      <c r="D5414" t="s">
        <v>110</v>
      </c>
      <c r="E5414" t="s">
        <v>44</v>
      </c>
      <c r="F5414">
        <v>0</v>
      </c>
      <c r="G5414">
        <v>0</v>
      </c>
      <c r="H5414">
        <v>0</v>
      </c>
      <c r="I5414">
        <v>0</v>
      </c>
      <c r="J5414">
        <v>0</v>
      </c>
      <c r="K5414">
        <v>0</v>
      </c>
      <c r="L5414">
        <v>222.55</v>
      </c>
      <c r="M5414">
        <v>0</v>
      </c>
      <c r="N5414">
        <v>0</v>
      </c>
      <c r="O5414">
        <v>0</v>
      </c>
      <c r="P5414">
        <v>222.55</v>
      </c>
      <c r="Q5414">
        <v>222.55</v>
      </c>
    </row>
    <row r="5415" spans="1:17" customFormat="1" x14ac:dyDescent="0.3">
      <c r="A5415" s="12" t="s">
        <v>1250</v>
      </c>
      <c r="B5415" t="s">
        <v>167</v>
      </c>
      <c r="C5415" t="s">
        <v>123</v>
      </c>
      <c r="D5415" t="s">
        <v>110</v>
      </c>
      <c r="E5415" t="s">
        <v>84</v>
      </c>
      <c r="F5415">
        <v>0</v>
      </c>
      <c r="G5415">
        <v>0</v>
      </c>
      <c r="H5415">
        <v>0</v>
      </c>
      <c r="I5415">
        <v>0</v>
      </c>
      <c r="J5415">
        <v>0</v>
      </c>
      <c r="K5415">
        <v>0</v>
      </c>
      <c r="L5415">
        <v>569</v>
      </c>
      <c r="M5415">
        <v>0</v>
      </c>
      <c r="N5415">
        <v>0</v>
      </c>
      <c r="O5415">
        <v>0</v>
      </c>
      <c r="P5415">
        <v>569</v>
      </c>
      <c r="Q5415">
        <v>569</v>
      </c>
    </row>
    <row r="5416" spans="1:17" customFormat="1" x14ac:dyDescent="0.3">
      <c r="A5416" s="12" t="s">
        <v>1250</v>
      </c>
      <c r="B5416" t="s">
        <v>167</v>
      </c>
      <c r="C5416" t="s">
        <v>123</v>
      </c>
      <c r="D5416" t="s">
        <v>97</v>
      </c>
      <c r="F5416">
        <v>0</v>
      </c>
      <c r="G5416">
        <v>24028.877862140002</v>
      </c>
      <c r="H5416">
        <v>-3726.49452367</v>
      </c>
      <c r="I5416">
        <v>0</v>
      </c>
      <c r="J5416">
        <v>0</v>
      </c>
      <c r="K5416">
        <v>20302.383338470001</v>
      </c>
      <c r="L5416">
        <v>21253.903878000001</v>
      </c>
      <c r="M5416">
        <v>-6643.77</v>
      </c>
      <c r="N5416">
        <v>0</v>
      </c>
      <c r="O5416">
        <v>0</v>
      </c>
      <c r="P5416">
        <v>14610.133878000001</v>
      </c>
      <c r="Q5416">
        <v>34912.517216469998</v>
      </c>
    </row>
    <row r="5417" spans="1:17" customFormat="1" x14ac:dyDescent="0.3">
      <c r="A5417" s="12" t="s">
        <v>1250</v>
      </c>
      <c r="B5417" t="s">
        <v>167</v>
      </c>
      <c r="C5417" t="s">
        <v>123</v>
      </c>
      <c r="D5417" t="s">
        <v>112</v>
      </c>
      <c r="E5417" t="s">
        <v>1157</v>
      </c>
      <c r="F5417">
        <v>0</v>
      </c>
      <c r="G5417">
        <v>433</v>
      </c>
      <c r="H5417">
        <v>0</v>
      </c>
      <c r="I5417">
        <v>0</v>
      </c>
      <c r="J5417">
        <v>0</v>
      </c>
      <c r="K5417">
        <v>433</v>
      </c>
      <c r="L5417">
        <v>0</v>
      </c>
      <c r="M5417">
        <v>0</v>
      </c>
      <c r="N5417">
        <v>0</v>
      </c>
      <c r="O5417">
        <v>0</v>
      </c>
      <c r="P5417">
        <v>0</v>
      </c>
      <c r="Q5417">
        <v>433</v>
      </c>
    </row>
    <row r="5418" spans="1:17" customFormat="1" x14ac:dyDescent="0.3">
      <c r="A5418" s="12" t="s">
        <v>1250</v>
      </c>
      <c r="B5418" t="s">
        <v>167</v>
      </c>
      <c r="C5418" t="s">
        <v>123</v>
      </c>
      <c r="D5418" t="s">
        <v>112</v>
      </c>
      <c r="E5418" t="s">
        <v>1158</v>
      </c>
      <c r="F5418">
        <v>0</v>
      </c>
      <c r="G5418">
        <v>1221.5</v>
      </c>
      <c r="H5418">
        <v>-7779.5</v>
      </c>
      <c r="I5418">
        <v>0</v>
      </c>
      <c r="J5418">
        <v>0</v>
      </c>
      <c r="K5418">
        <v>-6558</v>
      </c>
      <c r="L5418">
        <v>3861</v>
      </c>
      <c r="M5418">
        <v>0</v>
      </c>
      <c r="N5418">
        <v>0</v>
      </c>
      <c r="O5418">
        <v>0</v>
      </c>
      <c r="P5418">
        <v>3861</v>
      </c>
      <c r="Q5418">
        <v>-2697</v>
      </c>
    </row>
    <row r="5419" spans="1:17" customFormat="1" x14ac:dyDescent="0.3">
      <c r="A5419" s="12" t="s">
        <v>1250</v>
      </c>
      <c r="B5419" t="s">
        <v>167</v>
      </c>
      <c r="C5419" t="s">
        <v>123</v>
      </c>
      <c r="D5419" t="s">
        <v>97</v>
      </c>
      <c r="F5419">
        <v>0</v>
      </c>
      <c r="G5419">
        <v>1654.5</v>
      </c>
      <c r="H5419">
        <v>-7779.5</v>
      </c>
      <c r="I5419">
        <v>0</v>
      </c>
      <c r="J5419">
        <v>0</v>
      </c>
      <c r="K5419">
        <v>-6125</v>
      </c>
      <c r="L5419">
        <v>3861</v>
      </c>
      <c r="M5419">
        <v>0</v>
      </c>
      <c r="N5419">
        <v>0</v>
      </c>
      <c r="O5419">
        <v>0</v>
      </c>
      <c r="P5419">
        <v>3861</v>
      </c>
      <c r="Q5419">
        <v>-2264</v>
      </c>
    </row>
    <row r="5420" spans="1:17" customFormat="1" x14ac:dyDescent="0.3">
      <c r="A5420" s="12" t="s">
        <v>1250</v>
      </c>
      <c r="B5420" t="s">
        <v>167</v>
      </c>
      <c r="C5420" t="s">
        <v>123</v>
      </c>
      <c r="D5420" t="s">
        <v>115</v>
      </c>
      <c r="F5420">
        <v>0</v>
      </c>
      <c r="G5420">
        <v>25683.377862140002</v>
      </c>
      <c r="H5420">
        <v>-11505.99452367</v>
      </c>
      <c r="I5420">
        <v>0</v>
      </c>
      <c r="J5420">
        <v>0</v>
      </c>
      <c r="K5420">
        <v>14177.383338469999</v>
      </c>
      <c r="L5420">
        <v>25114.903878000001</v>
      </c>
      <c r="M5420">
        <v>-6643.77</v>
      </c>
      <c r="N5420">
        <v>0</v>
      </c>
      <c r="O5420">
        <v>0</v>
      </c>
      <c r="P5420">
        <v>18471.133878000001</v>
      </c>
      <c r="Q5420">
        <v>32648.517216470002</v>
      </c>
    </row>
    <row r="5421" spans="1:17" customFormat="1" x14ac:dyDescent="0.3">
      <c r="A5421" s="12" t="s">
        <v>1250</v>
      </c>
      <c r="B5421" t="s">
        <v>179</v>
      </c>
      <c r="C5421" t="s">
        <v>120</v>
      </c>
      <c r="D5421" t="s">
        <v>180</v>
      </c>
      <c r="E5421" t="s">
        <v>181</v>
      </c>
      <c r="F5421" t="s">
        <v>97</v>
      </c>
      <c r="G5421" t="s">
        <v>182</v>
      </c>
      <c r="H5421" t="s">
        <v>112</v>
      </c>
    </row>
    <row r="5422" spans="1:17" customFormat="1" x14ac:dyDescent="0.3">
      <c r="A5422" s="12" t="s">
        <v>1250</v>
      </c>
      <c r="B5422" t="s">
        <v>179</v>
      </c>
      <c r="C5422" t="s">
        <v>123</v>
      </c>
      <c r="D5422" t="s">
        <v>183</v>
      </c>
      <c r="E5422" t="s">
        <v>184</v>
      </c>
      <c r="F5422">
        <v>11188.421125000001</v>
      </c>
      <c r="G5422">
        <v>-15103.088874999999</v>
      </c>
      <c r="H5422">
        <v>26291.51</v>
      </c>
    </row>
    <row r="5423" spans="1:17" customFormat="1" x14ac:dyDescent="0.3">
      <c r="A5423" s="12" t="s">
        <v>1250</v>
      </c>
      <c r="B5423" t="s">
        <v>179</v>
      </c>
      <c r="C5423" t="s">
        <v>123</v>
      </c>
      <c r="D5423" t="s">
        <v>162</v>
      </c>
      <c r="E5423" t="s">
        <v>184</v>
      </c>
      <c r="F5423">
        <v>-108.1</v>
      </c>
      <c r="G5423">
        <v>-45.1</v>
      </c>
      <c r="H5423">
        <v>-63</v>
      </c>
    </row>
    <row r="5424" spans="1:17" customFormat="1" x14ac:dyDescent="0.3">
      <c r="A5424" s="12" t="s">
        <v>1250</v>
      </c>
      <c r="B5424" t="s">
        <v>179</v>
      </c>
      <c r="C5424" t="s">
        <v>123</v>
      </c>
      <c r="D5424" t="s">
        <v>185</v>
      </c>
      <c r="E5424" t="s">
        <v>184</v>
      </c>
      <c r="F5424">
        <v>0</v>
      </c>
      <c r="G5424">
        <v>-3191.76</v>
      </c>
      <c r="H5424">
        <v>3191.76</v>
      </c>
    </row>
    <row r="5425" spans="1:15" customFormat="1" x14ac:dyDescent="0.3">
      <c r="A5425" s="12" t="s">
        <v>1250</v>
      </c>
      <c r="B5425" t="s">
        <v>179</v>
      </c>
      <c r="C5425" t="s">
        <v>123</v>
      </c>
      <c r="D5425" t="s">
        <v>157</v>
      </c>
      <c r="E5425" t="s">
        <v>184</v>
      </c>
      <c r="F5425">
        <v>225.06</v>
      </c>
      <c r="G5425">
        <v>225.06</v>
      </c>
      <c r="H5425">
        <v>0</v>
      </c>
    </row>
    <row r="5426" spans="1:15" customFormat="1" x14ac:dyDescent="0.3">
      <c r="A5426" s="12" t="s">
        <v>1250</v>
      </c>
      <c r="B5426" t="s">
        <v>179</v>
      </c>
      <c r="C5426" t="s">
        <v>123</v>
      </c>
      <c r="D5426" t="s">
        <v>116</v>
      </c>
      <c r="E5426" t="s">
        <v>184</v>
      </c>
      <c r="F5426">
        <v>-53</v>
      </c>
      <c r="G5426">
        <v>-53</v>
      </c>
      <c r="H5426">
        <v>0</v>
      </c>
    </row>
    <row r="5427" spans="1:15" customFormat="1" x14ac:dyDescent="0.3">
      <c r="A5427" s="12" t="s">
        <v>1250</v>
      </c>
      <c r="B5427" t="s">
        <v>179</v>
      </c>
      <c r="C5427" t="s">
        <v>123</v>
      </c>
      <c r="D5427" t="s">
        <v>186</v>
      </c>
      <c r="E5427" t="s">
        <v>184</v>
      </c>
      <c r="F5427">
        <v>1361</v>
      </c>
      <c r="G5427">
        <v>0</v>
      </c>
      <c r="H5427">
        <v>1361</v>
      </c>
    </row>
    <row r="5428" spans="1:15" customFormat="1" x14ac:dyDescent="0.3">
      <c r="A5428" s="12" t="s">
        <v>1250</v>
      </c>
      <c r="B5428" t="s">
        <v>179</v>
      </c>
      <c r="C5428" t="s">
        <v>123</v>
      </c>
      <c r="D5428" t="s">
        <v>187</v>
      </c>
      <c r="E5428" t="s">
        <v>184</v>
      </c>
      <c r="F5428">
        <v>256115.905</v>
      </c>
      <c r="G5428">
        <v>256115.905</v>
      </c>
      <c r="H5428">
        <v>0</v>
      </c>
    </row>
    <row r="5429" spans="1:15" customFormat="1" x14ac:dyDescent="0.3">
      <c r="A5429" s="12" t="s">
        <v>1250</v>
      </c>
      <c r="B5429" t="s">
        <v>179</v>
      </c>
      <c r="C5429" t="s">
        <v>123</v>
      </c>
      <c r="D5429" t="s">
        <v>188</v>
      </c>
      <c r="E5429" t="s">
        <v>184</v>
      </c>
      <c r="F5429">
        <v>-197125.745</v>
      </c>
      <c r="G5429">
        <v>-197125.745</v>
      </c>
      <c r="H5429">
        <v>0</v>
      </c>
    </row>
    <row r="5430" spans="1:15" customFormat="1" x14ac:dyDescent="0.3">
      <c r="A5430" s="12" t="s">
        <v>1250</v>
      </c>
      <c r="B5430" t="s">
        <v>179</v>
      </c>
      <c r="C5430" t="s">
        <v>123</v>
      </c>
      <c r="D5430" t="s">
        <v>158</v>
      </c>
      <c r="E5430" t="s">
        <v>184</v>
      </c>
      <c r="F5430">
        <v>-56.28</v>
      </c>
      <c r="G5430">
        <v>-56.28</v>
      </c>
      <c r="H5430">
        <v>0</v>
      </c>
    </row>
    <row r="5431" spans="1:15" customFormat="1" x14ac:dyDescent="0.3">
      <c r="A5431" s="12" t="s">
        <v>1250</v>
      </c>
      <c r="B5431" t="s">
        <v>179</v>
      </c>
      <c r="C5431" t="s">
        <v>123</v>
      </c>
      <c r="D5431" t="s">
        <v>189</v>
      </c>
      <c r="E5431" t="s">
        <v>184</v>
      </c>
      <c r="F5431">
        <v>71547.261125000005</v>
      </c>
      <c r="G5431">
        <v>40765.991125</v>
      </c>
      <c r="H5431">
        <v>30781.27</v>
      </c>
    </row>
    <row r="5432" spans="1:15" customFormat="1" x14ac:dyDescent="0.3">
      <c r="A5432" s="12" t="s">
        <v>1250</v>
      </c>
      <c r="B5432" t="s">
        <v>179</v>
      </c>
      <c r="C5432" t="s">
        <v>123</v>
      </c>
      <c r="D5432" t="s">
        <v>190</v>
      </c>
      <c r="E5432" t="s">
        <v>184</v>
      </c>
      <c r="F5432">
        <v>58068.776124999997</v>
      </c>
      <c r="G5432">
        <v>32271.006125</v>
      </c>
      <c r="H5432">
        <v>25797.77</v>
      </c>
    </row>
    <row r="5433" spans="1:15" customFormat="1" x14ac:dyDescent="0.3">
      <c r="A5433" s="12" t="s">
        <v>1250</v>
      </c>
      <c r="B5433" t="s">
        <v>191</v>
      </c>
      <c r="C5433" t="s">
        <v>120</v>
      </c>
      <c r="D5433" t="s">
        <v>192</v>
      </c>
      <c r="E5433" t="s">
        <v>100</v>
      </c>
      <c r="F5433" t="s">
        <v>181</v>
      </c>
      <c r="G5433" t="s">
        <v>0</v>
      </c>
      <c r="H5433" t="s">
        <v>193</v>
      </c>
      <c r="I5433" t="s">
        <v>194</v>
      </c>
      <c r="J5433" t="s">
        <v>195</v>
      </c>
      <c r="K5433" t="s">
        <v>196</v>
      </c>
      <c r="L5433" t="s">
        <v>197</v>
      </c>
      <c r="M5433" t="s">
        <v>198</v>
      </c>
      <c r="N5433" t="s">
        <v>199</v>
      </c>
      <c r="O5433" t="s">
        <v>165</v>
      </c>
    </row>
    <row r="5434" spans="1:15" customFormat="1" x14ac:dyDescent="0.3">
      <c r="A5434" s="12" t="s">
        <v>1250</v>
      </c>
      <c r="B5434" t="s">
        <v>191</v>
      </c>
      <c r="C5434" t="s">
        <v>123</v>
      </c>
      <c r="D5434" t="s">
        <v>200</v>
      </c>
      <c r="E5434" t="s">
        <v>110</v>
      </c>
      <c r="F5434" t="s">
        <v>114</v>
      </c>
      <c r="G5434" t="s">
        <v>45</v>
      </c>
      <c r="H5434">
        <v>50</v>
      </c>
      <c r="I5434">
        <v>1</v>
      </c>
      <c r="J5434">
        <v>148.886</v>
      </c>
      <c r="K5434">
        <v>7444.3</v>
      </c>
      <c r="L5434">
        <v>144.07</v>
      </c>
      <c r="M5434">
        <v>7203.5</v>
      </c>
      <c r="N5434">
        <v>-240.8</v>
      </c>
    </row>
    <row r="5435" spans="1:15" customFormat="1" x14ac:dyDescent="0.3">
      <c r="A5435" s="12" t="s">
        <v>1250</v>
      </c>
      <c r="B5435" t="s">
        <v>191</v>
      </c>
      <c r="C5435" t="s">
        <v>123</v>
      </c>
      <c r="D5435" t="s">
        <v>200</v>
      </c>
      <c r="E5435" t="s">
        <v>110</v>
      </c>
      <c r="F5435" t="s">
        <v>114</v>
      </c>
      <c r="G5435" t="s">
        <v>7</v>
      </c>
      <c r="H5435">
        <v>35</v>
      </c>
      <c r="I5435">
        <v>1</v>
      </c>
      <c r="J5435">
        <v>173.46514285699999</v>
      </c>
      <c r="K5435">
        <v>6071.28</v>
      </c>
      <c r="L5435">
        <v>169.77</v>
      </c>
      <c r="M5435">
        <v>5941.95</v>
      </c>
      <c r="N5435">
        <v>-129.33000000000001</v>
      </c>
    </row>
    <row r="5436" spans="1:15" customFormat="1" x14ac:dyDescent="0.3">
      <c r="A5436" s="12" t="s">
        <v>1250</v>
      </c>
      <c r="B5436" t="s">
        <v>191</v>
      </c>
      <c r="C5436" t="s">
        <v>123</v>
      </c>
      <c r="D5436" t="s">
        <v>200</v>
      </c>
      <c r="E5436" t="s">
        <v>110</v>
      </c>
      <c r="F5436" t="s">
        <v>114</v>
      </c>
      <c r="G5436" t="s">
        <v>1155</v>
      </c>
      <c r="H5436">
        <v>40</v>
      </c>
      <c r="I5436">
        <v>1</v>
      </c>
      <c r="J5436">
        <v>119.69</v>
      </c>
      <c r="K5436">
        <v>4787.6000000000004</v>
      </c>
      <c r="L5436">
        <v>123.63</v>
      </c>
      <c r="M5436">
        <v>4945.2</v>
      </c>
      <c r="N5436">
        <v>157.6</v>
      </c>
    </row>
    <row r="5437" spans="1:15" customFormat="1" x14ac:dyDescent="0.3">
      <c r="A5437" s="12" t="s">
        <v>1250</v>
      </c>
      <c r="B5437" t="s">
        <v>191</v>
      </c>
      <c r="C5437" t="s">
        <v>123</v>
      </c>
      <c r="D5437" t="s">
        <v>200</v>
      </c>
      <c r="E5437" t="s">
        <v>110</v>
      </c>
      <c r="F5437" t="s">
        <v>114</v>
      </c>
      <c r="G5437" t="s">
        <v>48</v>
      </c>
      <c r="H5437">
        <v>35</v>
      </c>
      <c r="I5437">
        <v>1</v>
      </c>
      <c r="J5437">
        <v>163.47999999999999</v>
      </c>
      <c r="K5437">
        <v>5721.8</v>
      </c>
      <c r="L5437">
        <v>171.78</v>
      </c>
      <c r="M5437">
        <v>6012.3</v>
      </c>
      <c r="N5437">
        <v>290.5</v>
      </c>
    </row>
    <row r="5438" spans="1:15" customFormat="1" x14ac:dyDescent="0.3">
      <c r="A5438" s="12" t="s">
        <v>1250</v>
      </c>
      <c r="B5438" t="s">
        <v>191</v>
      </c>
      <c r="C5438" t="s">
        <v>123</v>
      </c>
      <c r="D5438" t="s">
        <v>200</v>
      </c>
      <c r="E5438" t="s">
        <v>110</v>
      </c>
      <c r="F5438" t="s">
        <v>114</v>
      </c>
      <c r="G5438" t="s">
        <v>54</v>
      </c>
      <c r="H5438">
        <v>30</v>
      </c>
      <c r="I5438">
        <v>1</v>
      </c>
      <c r="J5438">
        <v>165.1</v>
      </c>
      <c r="K5438">
        <v>4953</v>
      </c>
      <c r="L5438">
        <v>301.66000000000003</v>
      </c>
      <c r="M5438">
        <v>9049.7999999999993</v>
      </c>
      <c r="N5438">
        <v>4096.8</v>
      </c>
    </row>
    <row r="5439" spans="1:15" customFormat="1" x14ac:dyDescent="0.3">
      <c r="A5439" s="12" t="s">
        <v>1250</v>
      </c>
      <c r="B5439" t="s">
        <v>191</v>
      </c>
      <c r="C5439" t="s">
        <v>123</v>
      </c>
      <c r="D5439" t="s">
        <v>200</v>
      </c>
      <c r="E5439" t="s">
        <v>110</v>
      </c>
      <c r="F5439" t="s">
        <v>114</v>
      </c>
      <c r="G5439" t="s">
        <v>1253</v>
      </c>
      <c r="H5439">
        <v>30</v>
      </c>
      <c r="I5439">
        <v>1</v>
      </c>
      <c r="J5439">
        <v>147.40333333300001</v>
      </c>
      <c r="K5439">
        <v>4422.1000000000004</v>
      </c>
      <c r="L5439">
        <v>144.43</v>
      </c>
      <c r="M5439">
        <v>4332.8999999999996</v>
      </c>
      <c r="N5439">
        <v>-89.2</v>
      </c>
      <c r="O5439" t="s">
        <v>555</v>
      </c>
    </row>
    <row r="5440" spans="1:15" customFormat="1" x14ac:dyDescent="0.3">
      <c r="A5440" s="12" t="s">
        <v>1250</v>
      </c>
      <c r="B5440" t="s">
        <v>191</v>
      </c>
      <c r="C5440" t="s">
        <v>123</v>
      </c>
      <c r="D5440" t="s">
        <v>200</v>
      </c>
      <c r="E5440" t="s">
        <v>110</v>
      </c>
      <c r="F5440" t="s">
        <v>114</v>
      </c>
      <c r="G5440" t="s">
        <v>1254</v>
      </c>
      <c r="H5440">
        <v>50</v>
      </c>
      <c r="I5440">
        <v>1</v>
      </c>
      <c r="J5440">
        <v>218.10599999999999</v>
      </c>
      <c r="K5440">
        <v>10905.3</v>
      </c>
      <c r="L5440">
        <v>217.76</v>
      </c>
      <c r="M5440">
        <v>10888</v>
      </c>
      <c r="N5440">
        <v>-17.3</v>
      </c>
    </row>
    <row r="5441" spans="1:15" customFormat="1" x14ac:dyDescent="0.3">
      <c r="A5441" s="12" t="s">
        <v>1250</v>
      </c>
      <c r="B5441" t="s">
        <v>191</v>
      </c>
      <c r="C5441" t="s">
        <v>123</v>
      </c>
      <c r="D5441" t="s">
        <v>200</v>
      </c>
      <c r="E5441" t="s">
        <v>110</v>
      </c>
      <c r="F5441" t="s">
        <v>114</v>
      </c>
      <c r="G5441" t="s">
        <v>70</v>
      </c>
      <c r="H5441">
        <v>20</v>
      </c>
      <c r="I5441">
        <v>1</v>
      </c>
      <c r="J5441">
        <v>210.42500000000001</v>
      </c>
      <c r="K5441">
        <v>4208.5</v>
      </c>
      <c r="L5441">
        <v>221.92</v>
      </c>
      <c r="M5441">
        <v>4438.3999999999996</v>
      </c>
      <c r="N5441">
        <v>229.9</v>
      </c>
    </row>
    <row r="5442" spans="1:15" customFormat="1" x14ac:dyDescent="0.3">
      <c r="A5442" s="12" t="s">
        <v>1250</v>
      </c>
      <c r="B5442" t="s">
        <v>191</v>
      </c>
      <c r="C5442" t="s">
        <v>123</v>
      </c>
      <c r="D5442" t="s">
        <v>200</v>
      </c>
      <c r="E5442" t="s">
        <v>110</v>
      </c>
      <c r="F5442" t="s">
        <v>114</v>
      </c>
      <c r="G5442" t="s">
        <v>49</v>
      </c>
      <c r="H5442">
        <v>5</v>
      </c>
      <c r="I5442">
        <v>1</v>
      </c>
      <c r="J5442">
        <v>752.25</v>
      </c>
      <c r="K5442">
        <v>3761.25</v>
      </c>
      <c r="L5442">
        <v>829.74</v>
      </c>
      <c r="M5442">
        <v>4148.7</v>
      </c>
      <c r="N5442">
        <v>387.45</v>
      </c>
    </row>
    <row r="5443" spans="1:15" customFormat="1" x14ac:dyDescent="0.3">
      <c r="A5443" s="12" t="s">
        <v>1250</v>
      </c>
      <c r="B5443" t="s">
        <v>191</v>
      </c>
      <c r="C5443" t="s">
        <v>123</v>
      </c>
      <c r="D5443" t="s">
        <v>200</v>
      </c>
      <c r="E5443" t="s">
        <v>110</v>
      </c>
      <c r="F5443" t="s">
        <v>114</v>
      </c>
      <c r="G5443" t="s">
        <v>28</v>
      </c>
      <c r="H5443">
        <v>56</v>
      </c>
      <c r="I5443">
        <v>1</v>
      </c>
      <c r="J5443">
        <v>421.01885932099998</v>
      </c>
      <c r="K5443">
        <v>23577.056122000002</v>
      </c>
      <c r="L5443">
        <v>406.35</v>
      </c>
      <c r="M5443">
        <v>22755.599999999999</v>
      </c>
      <c r="N5443">
        <v>-821.45612200000005</v>
      </c>
    </row>
    <row r="5444" spans="1:15" customFormat="1" x14ac:dyDescent="0.3">
      <c r="A5444" s="12" t="s">
        <v>1250</v>
      </c>
      <c r="B5444" t="s">
        <v>191</v>
      </c>
      <c r="C5444" t="s">
        <v>123</v>
      </c>
      <c r="D5444" t="s">
        <v>200</v>
      </c>
      <c r="E5444" t="s">
        <v>110</v>
      </c>
      <c r="F5444" t="s">
        <v>114</v>
      </c>
      <c r="G5444" t="s">
        <v>71</v>
      </c>
      <c r="H5444">
        <v>100</v>
      </c>
      <c r="I5444">
        <v>1</v>
      </c>
      <c r="J5444">
        <v>134.87299999999999</v>
      </c>
      <c r="K5444">
        <v>13487.3</v>
      </c>
      <c r="L5444">
        <v>132.76</v>
      </c>
      <c r="M5444">
        <v>13276</v>
      </c>
      <c r="N5444">
        <v>-211.3</v>
      </c>
    </row>
    <row r="5445" spans="1:15" customFormat="1" x14ac:dyDescent="0.3">
      <c r="A5445" s="12" t="s">
        <v>1250</v>
      </c>
      <c r="B5445" t="s">
        <v>191</v>
      </c>
      <c r="C5445" t="s">
        <v>123</v>
      </c>
      <c r="D5445" t="s">
        <v>200</v>
      </c>
      <c r="E5445" t="s">
        <v>110</v>
      </c>
      <c r="F5445" t="s">
        <v>114</v>
      </c>
      <c r="G5445" t="s">
        <v>29</v>
      </c>
      <c r="H5445">
        <v>15</v>
      </c>
      <c r="I5445">
        <v>1</v>
      </c>
      <c r="J5445">
        <v>297.58</v>
      </c>
      <c r="K5445">
        <v>4463.7</v>
      </c>
      <c r="L5445">
        <v>360.33</v>
      </c>
      <c r="M5445">
        <v>5404.95</v>
      </c>
      <c r="N5445">
        <v>941.25</v>
      </c>
    </row>
    <row r="5446" spans="1:15" customFormat="1" x14ac:dyDescent="0.3">
      <c r="A5446" s="12" t="s">
        <v>1250</v>
      </c>
      <c r="B5446" t="s">
        <v>191</v>
      </c>
      <c r="C5446" t="s">
        <v>123</v>
      </c>
      <c r="D5446" t="s">
        <v>200</v>
      </c>
      <c r="E5446" t="s">
        <v>110</v>
      </c>
      <c r="F5446" t="s">
        <v>114</v>
      </c>
      <c r="G5446" t="s">
        <v>82</v>
      </c>
      <c r="H5446">
        <v>150</v>
      </c>
      <c r="I5446">
        <v>1</v>
      </c>
      <c r="J5446">
        <v>476.41399999999999</v>
      </c>
      <c r="K5446">
        <v>71462.100000000006</v>
      </c>
      <c r="L5446">
        <v>483.85</v>
      </c>
      <c r="M5446">
        <v>72577.5</v>
      </c>
      <c r="N5446">
        <v>1115.4000000000001</v>
      </c>
    </row>
    <row r="5447" spans="1:15" customFormat="1" x14ac:dyDescent="0.3">
      <c r="A5447" s="12" t="s">
        <v>1250</v>
      </c>
      <c r="B5447" t="s">
        <v>191</v>
      </c>
      <c r="C5447" t="s">
        <v>123</v>
      </c>
      <c r="D5447" t="s">
        <v>200</v>
      </c>
      <c r="E5447" t="s">
        <v>110</v>
      </c>
      <c r="F5447" t="s">
        <v>114</v>
      </c>
      <c r="G5447" t="s">
        <v>1255</v>
      </c>
      <c r="H5447">
        <v>200</v>
      </c>
      <c r="I5447">
        <v>1</v>
      </c>
      <c r="J5447">
        <v>180.22300000000001</v>
      </c>
      <c r="K5447">
        <v>36044.6</v>
      </c>
      <c r="L5447">
        <v>176.29</v>
      </c>
      <c r="M5447">
        <v>35258</v>
      </c>
      <c r="N5447">
        <v>-786.6</v>
      </c>
    </row>
    <row r="5448" spans="1:15" customFormat="1" x14ac:dyDescent="0.3">
      <c r="A5448" s="12" t="s">
        <v>1250</v>
      </c>
      <c r="B5448" t="s">
        <v>191</v>
      </c>
      <c r="C5448" t="s">
        <v>123</v>
      </c>
      <c r="D5448" t="s">
        <v>200</v>
      </c>
      <c r="E5448" t="s">
        <v>110</v>
      </c>
      <c r="F5448" t="s">
        <v>114</v>
      </c>
      <c r="G5448" t="s">
        <v>51</v>
      </c>
      <c r="H5448">
        <v>25</v>
      </c>
      <c r="I5448">
        <v>1</v>
      </c>
      <c r="J5448">
        <v>47.44</v>
      </c>
      <c r="K5448">
        <v>1186</v>
      </c>
      <c r="L5448">
        <v>29.11</v>
      </c>
      <c r="M5448">
        <v>727.75</v>
      </c>
      <c r="N5448">
        <v>-458.25</v>
      </c>
    </row>
    <row r="5449" spans="1:15" customFormat="1" x14ac:dyDescent="0.3">
      <c r="A5449" s="12" t="s">
        <v>1250</v>
      </c>
      <c r="B5449" t="s">
        <v>191</v>
      </c>
      <c r="C5449" t="s">
        <v>123</v>
      </c>
      <c r="D5449" t="s">
        <v>200</v>
      </c>
      <c r="E5449" t="s">
        <v>110</v>
      </c>
      <c r="F5449" t="s">
        <v>114</v>
      </c>
      <c r="G5449" t="s">
        <v>83</v>
      </c>
      <c r="H5449">
        <v>130</v>
      </c>
      <c r="I5449">
        <v>1</v>
      </c>
      <c r="J5449">
        <v>239.01230769200001</v>
      </c>
      <c r="K5449">
        <v>31071.599999999999</v>
      </c>
      <c r="L5449">
        <v>218.26</v>
      </c>
      <c r="M5449">
        <v>28373.8</v>
      </c>
      <c r="N5449">
        <v>-2697.8</v>
      </c>
    </row>
    <row r="5450" spans="1:15" customFormat="1" x14ac:dyDescent="0.3">
      <c r="A5450" s="12" t="s">
        <v>1250</v>
      </c>
      <c r="B5450" t="s">
        <v>191</v>
      </c>
      <c r="C5450" t="s">
        <v>123</v>
      </c>
      <c r="D5450" t="s">
        <v>200</v>
      </c>
      <c r="E5450" t="s">
        <v>110</v>
      </c>
      <c r="F5450" t="s">
        <v>114</v>
      </c>
      <c r="G5450" t="s">
        <v>86</v>
      </c>
      <c r="H5450">
        <v>40</v>
      </c>
      <c r="I5450">
        <v>1</v>
      </c>
      <c r="J5450">
        <v>550.38</v>
      </c>
      <c r="K5450">
        <v>22015.200000000001</v>
      </c>
      <c r="L5450">
        <v>568.64</v>
      </c>
      <c r="M5450">
        <v>22745.599999999999</v>
      </c>
      <c r="N5450">
        <v>730.4</v>
      </c>
    </row>
    <row r="5451" spans="1:15" customFormat="1" x14ac:dyDescent="0.3">
      <c r="A5451" s="12" t="s">
        <v>1250</v>
      </c>
      <c r="B5451" t="s">
        <v>191</v>
      </c>
      <c r="C5451" t="s">
        <v>123</v>
      </c>
      <c r="D5451" t="s">
        <v>200</v>
      </c>
      <c r="E5451" t="s">
        <v>110</v>
      </c>
      <c r="F5451" t="s">
        <v>114</v>
      </c>
      <c r="G5451" t="s">
        <v>1256</v>
      </c>
      <c r="H5451">
        <v>20</v>
      </c>
      <c r="I5451">
        <v>1</v>
      </c>
      <c r="J5451">
        <v>205.065</v>
      </c>
      <c r="K5451">
        <v>4101.3</v>
      </c>
      <c r="L5451">
        <v>204.31</v>
      </c>
      <c r="M5451">
        <v>4086.2</v>
      </c>
      <c r="N5451">
        <v>-15.1</v>
      </c>
    </row>
    <row r="5452" spans="1:15" customFormat="1" x14ac:dyDescent="0.3">
      <c r="A5452" s="12" t="s">
        <v>1250</v>
      </c>
      <c r="B5452" t="s">
        <v>191</v>
      </c>
      <c r="C5452" t="s">
        <v>123</v>
      </c>
      <c r="D5452" t="s">
        <v>200</v>
      </c>
      <c r="E5452" t="s">
        <v>110</v>
      </c>
      <c r="F5452" t="s">
        <v>114</v>
      </c>
      <c r="G5452" t="s">
        <v>1257</v>
      </c>
      <c r="H5452">
        <v>100</v>
      </c>
      <c r="I5452">
        <v>1</v>
      </c>
      <c r="J5452">
        <v>97.263000000000005</v>
      </c>
      <c r="K5452">
        <v>9726.2999999999993</v>
      </c>
      <c r="L5452">
        <v>94.15</v>
      </c>
      <c r="M5452">
        <v>9415</v>
      </c>
      <c r="N5452">
        <v>-311.3</v>
      </c>
    </row>
    <row r="5453" spans="1:15" customFormat="1" x14ac:dyDescent="0.3">
      <c r="A5453" s="12" t="s">
        <v>1250</v>
      </c>
      <c r="B5453" t="s">
        <v>191</v>
      </c>
      <c r="C5453" t="s">
        <v>123</v>
      </c>
      <c r="D5453" t="s">
        <v>200</v>
      </c>
      <c r="E5453" t="s">
        <v>110</v>
      </c>
      <c r="F5453" t="s">
        <v>114</v>
      </c>
      <c r="G5453" t="s">
        <v>1258</v>
      </c>
      <c r="H5453">
        <v>60</v>
      </c>
      <c r="I5453">
        <v>1</v>
      </c>
      <c r="J5453">
        <v>531.12333333300001</v>
      </c>
      <c r="K5453">
        <v>31867.4</v>
      </c>
      <c r="L5453">
        <v>522.66999999999996</v>
      </c>
      <c r="M5453">
        <v>31360.2</v>
      </c>
      <c r="N5453">
        <v>-507.2</v>
      </c>
    </row>
    <row r="5454" spans="1:15" customFormat="1" x14ac:dyDescent="0.3">
      <c r="A5454" s="12" t="s">
        <v>1250</v>
      </c>
      <c r="B5454" t="s">
        <v>191</v>
      </c>
      <c r="C5454" t="s">
        <v>123</v>
      </c>
      <c r="D5454" t="s">
        <v>200</v>
      </c>
      <c r="E5454" t="s">
        <v>110</v>
      </c>
      <c r="F5454" t="s">
        <v>114</v>
      </c>
      <c r="G5454" t="s">
        <v>1156</v>
      </c>
      <c r="H5454">
        <v>70</v>
      </c>
      <c r="I5454">
        <v>1</v>
      </c>
      <c r="J5454">
        <v>90.254999999999995</v>
      </c>
      <c r="K5454">
        <v>6317.85</v>
      </c>
      <c r="L5454">
        <v>93.39</v>
      </c>
      <c r="M5454">
        <v>6537.3</v>
      </c>
      <c r="N5454">
        <v>219.45</v>
      </c>
      <c r="O5454" t="s">
        <v>555</v>
      </c>
    </row>
    <row r="5455" spans="1:15" customFormat="1" x14ac:dyDescent="0.3">
      <c r="A5455" s="12" t="s">
        <v>1250</v>
      </c>
      <c r="B5455" t="s">
        <v>191</v>
      </c>
      <c r="C5455" t="s">
        <v>123</v>
      </c>
      <c r="D5455" t="s">
        <v>200</v>
      </c>
      <c r="E5455" t="s">
        <v>110</v>
      </c>
      <c r="F5455" t="s">
        <v>114</v>
      </c>
      <c r="G5455" t="s">
        <v>62</v>
      </c>
      <c r="H5455">
        <v>200</v>
      </c>
      <c r="I5455">
        <v>1</v>
      </c>
      <c r="J5455">
        <v>41.474350000000001</v>
      </c>
      <c r="K5455">
        <v>8294.8700000000008</v>
      </c>
      <c r="L5455">
        <v>46.48</v>
      </c>
      <c r="M5455">
        <v>9296</v>
      </c>
      <c r="N5455">
        <v>1001.13</v>
      </c>
    </row>
    <row r="5456" spans="1:15" customFormat="1" x14ac:dyDescent="0.3">
      <c r="A5456" s="12" t="s">
        <v>1250</v>
      </c>
      <c r="B5456" t="s">
        <v>191</v>
      </c>
      <c r="C5456" t="s">
        <v>123</v>
      </c>
      <c r="D5456" t="s">
        <v>200</v>
      </c>
      <c r="E5456" t="s">
        <v>110</v>
      </c>
      <c r="F5456" t="s">
        <v>114</v>
      </c>
      <c r="G5456" t="s">
        <v>41</v>
      </c>
      <c r="H5456">
        <v>599</v>
      </c>
      <c r="I5456">
        <v>1</v>
      </c>
      <c r="J5456">
        <v>42.36</v>
      </c>
      <c r="K5456">
        <v>25373.64</v>
      </c>
      <c r="L5456">
        <v>47.22</v>
      </c>
      <c r="M5456">
        <v>28284.78</v>
      </c>
      <c r="N5456">
        <v>2911.14</v>
      </c>
      <c r="O5456" t="s">
        <v>555</v>
      </c>
    </row>
    <row r="5457" spans="1:17" customFormat="1" x14ac:dyDescent="0.3">
      <c r="A5457" s="12" t="s">
        <v>1250</v>
      </c>
      <c r="B5457" t="s">
        <v>191</v>
      </c>
      <c r="C5457" t="s">
        <v>123</v>
      </c>
      <c r="D5457" t="s">
        <v>200</v>
      </c>
      <c r="E5457" t="s">
        <v>110</v>
      </c>
      <c r="F5457" t="s">
        <v>114</v>
      </c>
      <c r="G5457" t="s">
        <v>79</v>
      </c>
      <c r="H5457">
        <v>80</v>
      </c>
      <c r="I5457">
        <v>1</v>
      </c>
      <c r="J5457">
        <v>121.06</v>
      </c>
      <c r="K5457">
        <v>9684.7999999999993</v>
      </c>
      <c r="L5457">
        <v>133.83000000000001</v>
      </c>
      <c r="M5457">
        <v>10706.4</v>
      </c>
      <c r="N5457">
        <v>1021.6</v>
      </c>
    </row>
    <row r="5458" spans="1:17" customFormat="1" x14ac:dyDescent="0.3">
      <c r="A5458" s="12" t="s">
        <v>1250</v>
      </c>
      <c r="B5458" t="s">
        <v>191</v>
      </c>
      <c r="C5458" t="s">
        <v>123</v>
      </c>
      <c r="D5458" t="s">
        <v>200</v>
      </c>
      <c r="E5458" t="s">
        <v>110</v>
      </c>
      <c r="F5458" t="s">
        <v>114</v>
      </c>
      <c r="G5458" t="s">
        <v>42</v>
      </c>
      <c r="H5458">
        <v>150</v>
      </c>
      <c r="I5458">
        <v>1</v>
      </c>
      <c r="J5458">
        <v>199.912666667</v>
      </c>
      <c r="K5458">
        <v>29986.9</v>
      </c>
      <c r="L5458">
        <v>222.24</v>
      </c>
      <c r="M5458">
        <v>33336</v>
      </c>
      <c r="N5458">
        <v>3349.1</v>
      </c>
    </row>
    <row r="5459" spans="1:17" customFormat="1" x14ac:dyDescent="0.3">
      <c r="A5459" s="12" t="s">
        <v>1250</v>
      </c>
      <c r="B5459" t="s">
        <v>191</v>
      </c>
      <c r="C5459" t="s">
        <v>123</v>
      </c>
      <c r="D5459" t="s">
        <v>200</v>
      </c>
      <c r="E5459" t="s">
        <v>110</v>
      </c>
      <c r="F5459" t="s">
        <v>114</v>
      </c>
      <c r="G5459" t="s">
        <v>43</v>
      </c>
      <c r="H5459">
        <v>330</v>
      </c>
      <c r="I5459">
        <v>1</v>
      </c>
      <c r="J5459">
        <v>68.841818181999997</v>
      </c>
      <c r="K5459">
        <v>22717.8</v>
      </c>
      <c r="L5459">
        <v>79.91</v>
      </c>
      <c r="M5459">
        <v>26370.3</v>
      </c>
      <c r="N5459">
        <v>3652.5</v>
      </c>
    </row>
    <row r="5460" spans="1:17" customFormat="1" x14ac:dyDescent="0.3">
      <c r="A5460" s="12" t="s">
        <v>1250</v>
      </c>
      <c r="B5460" t="s">
        <v>191</v>
      </c>
      <c r="C5460" t="s">
        <v>123</v>
      </c>
      <c r="D5460" t="s">
        <v>200</v>
      </c>
      <c r="E5460" t="s">
        <v>110</v>
      </c>
      <c r="F5460" t="s">
        <v>114</v>
      </c>
      <c r="G5460" t="s">
        <v>44</v>
      </c>
      <c r="H5460">
        <v>60</v>
      </c>
      <c r="I5460">
        <v>1</v>
      </c>
      <c r="J5460">
        <v>143.160833333</v>
      </c>
      <c r="K5460">
        <v>8589.65</v>
      </c>
      <c r="L5460">
        <v>146.87</v>
      </c>
      <c r="M5460">
        <v>8812.2000000000007</v>
      </c>
      <c r="N5460">
        <v>222.55</v>
      </c>
    </row>
    <row r="5461" spans="1:17" customFormat="1" x14ac:dyDescent="0.3">
      <c r="A5461" s="12" t="s">
        <v>1250</v>
      </c>
      <c r="B5461" t="s">
        <v>191</v>
      </c>
      <c r="C5461" t="s">
        <v>123</v>
      </c>
      <c r="D5461" t="s">
        <v>200</v>
      </c>
      <c r="E5461" t="s">
        <v>110</v>
      </c>
      <c r="F5461" t="s">
        <v>114</v>
      </c>
      <c r="G5461" t="s">
        <v>84</v>
      </c>
      <c r="H5461">
        <v>50</v>
      </c>
      <c r="I5461">
        <v>1</v>
      </c>
      <c r="J5461">
        <v>185.51</v>
      </c>
      <c r="K5461">
        <v>9275.5</v>
      </c>
      <c r="L5461">
        <v>196.89</v>
      </c>
      <c r="M5461">
        <v>9844.5</v>
      </c>
      <c r="N5461">
        <v>569</v>
      </c>
    </row>
    <row r="5462" spans="1:17" customFormat="1" x14ac:dyDescent="0.3">
      <c r="A5462" s="12" t="s">
        <v>1250</v>
      </c>
      <c r="B5462" t="s">
        <v>191</v>
      </c>
      <c r="C5462" t="s">
        <v>97</v>
      </c>
      <c r="E5462" t="s">
        <v>110</v>
      </c>
      <c r="F5462" t="s">
        <v>114</v>
      </c>
      <c r="K5462">
        <v>421518.69612199999</v>
      </c>
      <c r="M5462">
        <v>436128.83</v>
      </c>
      <c r="N5462">
        <v>14610.133878000001</v>
      </c>
    </row>
    <row r="5463" spans="1:17" customFormat="1" x14ac:dyDescent="0.3">
      <c r="A5463" s="12" t="s">
        <v>1250</v>
      </c>
      <c r="B5463" t="s">
        <v>191</v>
      </c>
      <c r="C5463" t="s">
        <v>120</v>
      </c>
      <c r="D5463" t="s">
        <v>192</v>
      </c>
      <c r="E5463" t="s">
        <v>100</v>
      </c>
      <c r="F5463" t="s">
        <v>181</v>
      </c>
      <c r="G5463" t="s">
        <v>0</v>
      </c>
      <c r="H5463" t="s">
        <v>193</v>
      </c>
      <c r="I5463" t="s">
        <v>194</v>
      </c>
      <c r="J5463" t="s">
        <v>195</v>
      </c>
      <c r="K5463" t="s">
        <v>196</v>
      </c>
      <c r="L5463" t="s">
        <v>197</v>
      </c>
      <c r="M5463" t="s">
        <v>198</v>
      </c>
      <c r="N5463" t="s">
        <v>199</v>
      </c>
      <c r="O5463" t="s">
        <v>165</v>
      </c>
    </row>
    <row r="5464" spans="1:17" customFormat="1" x14ac:dyDescent="0.3">
      <c r="A5464" s="12" t="s">
        <v>1250</v>
      </c>
      <c r="B5464" t="s">
        <v>191</v>
      </c>
      <c r="C5464" t="s">
        <v>123</v>
      </c>
      <c r="D5464" t="s">
        <v>200</v>
      </c>
      <c r="E5464" t="s">
        <v>112</v>
      </c>
      <c r="F5464" t="s">
        <v>114</v>
      </c>
      <c r="G5464" t="s">
        <v>1158</v>
      </c>
      <c r="H5464">
        <v>-4</v>
      </c>
      <c r="I5464">
        <v>2</v>
      </c>
      <c r="J5464">
        <v>20504.375</v>
      </c>
      <c r="K5464">
        <v>-164035</v>
      </c>
      <c r="L5464">
        <v>20021.75</v>
      </c>
      <c r="M5464">
        <v>-160174</v>
      </c>
      <c r="N5464">
        <v>3861</v>
      </c>
    </row>
    <row r="5465" spans="1:17" customFormat="1" x14ac:dyDescent="0.3">
      <c r="A5465" s="12" t="s">
        <v>1250</v>
      </c>
      <c r="B5465" t="s">
        <v>191</v>
      </c>
      <c r="C5465" t="s">
        <v>97</v>
      </c>
      <c r="E5465" t="s">
        <v>112</v>
      </c>
      <c r="F5465" t="s">
        <v>114</v>
      </c>
      <c r="K5465">
        <v>-164035</v>
      </c>
      <c r="M5465">
        <v>-160174</v>
      </c>
      <c r="N5465">
        <v>3861</v>
      </c>
    </row>
    <row r="5466" spans="1:17" customFormat="1" x14ac:dyDescent="0.3">
      <c r="A5466" s="12" t="s">
        <v>1250</v>
      </c>
      <c r="B5466" t="s">
        <v>201</v>
      </c>
      <c r="C5466" t="s">
        <v>120</v>
      </c>
      <c r="D5466" t="s">
        <v>192</v>
      </c>
      <c r="E5466" t="s">
        <v>100</v>
      </c>
      <c r="F5466" t="s">
        <v>181</v>
      </c>
      <c r="G5466" t="s">
        <v>0</v>
      </c>
      <c r="H5466" t="s">
        <v>202</v>
      </c>
      <c r="I5466" t="s">
        <v>193</v>
      </c>
      <c r="J5466" t="s">
        <v>203</v>
      </c>
      <c r="K5466" t="s">
        <v>204</v>
      </c>
      <c r="L5466" t="s">
        <v>205</v>
      </c>
      <c r="M5466" t="s">
        <v>206</v>
      </c>
      <c r="N5466" t="s">
        <v>1</v>
      </c>
      <c r="O5466" t="s">
        <v>207</v>
      </c>
      <c r="P5466" t="s">
        <v>208</v>
      </c>
      <c r="Q5466" t="s">
        <v>165</v>
      </c>
    </row>
    <row r="5467" spans="1:17" customFormat="1" x14ac:dyDescent="0.3">
      <c r="A5467" s="12" t="s">
        <v>1250</v>
      </c>
      <c r="B5467" t="s">
        <v>201</v>
      </c>
      <c r="C5467" t="s">
        <v>123</v>
      </c>
      <c r="D5467" t="s">
        <v>209</v>
      </c>
      <c r="E5467" t="s">
        <v>110</v>
      </c>
      <c r="F5467" t="s">
        <v>114</v>
      </c>
      <c r="G5467" t="s">
        <v>2</v>
      </c>
      <c r="H5467" t="s">
        <v>1259</v>
      </c>
      <c r="I5467">
        <v>-35</v>
      </c>
      <c r="J5467">
        <v>231.52</v>
      </c>
      <c r="K5467">
        <v>231.3</v>
      </c>
      <c r="L5467">
        <v>8103.2</v>
      </c>
      <c r="M5467">
        <v>-1.3</v>
      </c>
      <c r="N5467">
        <v>-6429.5</v>
      </c>
      <c r="O5467">
        <v>1672.4</v>
      </c>
      <c r="P5467">
        <v>7.7</v>
      </c>
      <c r="Q5467" t="s">
        <v>3</v>
      </c>
    </row>
    <row r="5468" spans="1:17" customFormat="1" x14ac:dyDescent="0.3">
      <c r="A5468" s="12" t="s">
        <v>1250</v>
      </c>
      <c r="B5468" t="s">
        <v>201</v>
      </c>
      <c r="C5468" t="s">
        <v>123</v>
      </c>
      <c r="D5468" t="s">
        <v>209</v>
      </c>
      <c r="E5468" t="s">
        <v>110</v>
      </c>
      <c r="F5468" t="s">
        <v>114</v>
      </c>
      <c r="G5468" t="s">
        <v>2</v>
      </c>
      <c r="H5468" t="s">
        <v>1260</v>
      </c>
      <c r="I5468">
        <v>-37</v>
      </c>
      <c r="J5468">
        <v>227.55500000000001</v>
      </c>
      <c r="K5468">
        <v>225.91</v>
      </c>
      <c r="L5468">
        <v>8419.5349999999999</v>
      </c>
      <c r="M5468">
        <v>-1.3</v>
      </c>
      <c r="N5468">
        <v>-6780.7</v>
      </c>
      <c r="O5468">
        <v>1637.5350000000001</v>
      </c>
      <c r="P5468">
        <v>60.865000000000002</v>
      </c>
      <c r="Q5468" t="s">
        <v>3</v>
      </c>
    </row>
    <row r="5469" spans="1:17" customFormat="1" x14ac:dyDescent="0.3">
      <c r="A5469" s="12" t="s">
        <v>1250</v>
      </c>
      <c r="B5469" t="s">
        <v>201</v>
      </c>
      <c r="C5469" t="s">
        <v>213</v>
      </c>
      <c r="E5469" t="s">
        <v>110</v>
      </c>
      <c r="F5469" t="s">
        <v>114</v>
      </c>
      <c r="G5469" t="s">
        <v>2</v>
      </c>
      <c r="I5469">
        <v>-72</v>
      </c>
      <c r="L5469">
        <v>16522.735000000001</v>
      </c>
      <c r="M5469">
        <v>-2.6</v>
      </c>
      <c r="N5469">
        <v>-13210.2</v>
      </c>
      <c r="O5469">
        <v>3309.9349999999999</v>
      </c>
      <c r="P5469">
        <v>68.564999999999998</v>
      </c>
    </row>
    <row r="5470" spans="1:17" customFormat="1" x14ac:dyDescent="0.3">
      <c r="A5470" s="12" t="s">
        <v>1250</v>
      </c>
      <c r="B5470" t="s">
        <v>201</v>
      </c>
      <c r="C5470" t="s">
        <v>123</v>
      </c>
      <c r="D5470" t="s">
        <v>209</v>
      </c>
      <c r="E5470" t="s">
        <v>110</v>
      </c>
      <c r="F5470" t="s">
        <v>114</v>
      </c>
      <c r="G5470" t="s">
        <v>45</v>
      </c>
      <c r="H5470" t="s">
        <v>1261</v>
      </c>
      <c r="I5470">
        <v>-75</v>
      </c>
      <c r="J5470">
        <v>171.14</v>
      </c>
      <c r="K5470">
        <v>171.02</v>
      </c>
      <c r="L5470">
        <v>12835.5</v>
      </c>
      <c r="M5470">
        <v>0</v>
      </c>
      <c r="N5470">
        <v>-10645.5</v>
      </c>
      <c r="O5470">
        <v>2190</v>
      </c>
      <c r="P5470">
        <v>9</v>
      </c>
      <c r="Q5470" t="s">
        <v>230</v>
      </c>
    </row>
    <row r="5471" spans="1:17" customFormat="1" x14ac:dyDescent="0.3">
      <c r="A5471" s="12" t="s">
        <v>1250</v>
      </c>
      <c r="B5471" t="s">
        <v>201</v>
      </c>
      <c r="C5471" t="s">
        <v>123</v>
      </c>
      <c r="D5471" t="s">
        <v>209</v>
      </c>
      <c r="E5471" t="s">
        <v>110</v>
      </c>
      <c r="F5471" t="s">
        <v>114</v>
      </c>
      <c r="G5471" t="s">
        <v>45</v>
      </c>
      <c r="H5471" t="s">
        <v>1262</v>
      </c>
      <c r="I5471">
        <v>50</v>
      </c>
      <c r="J5471">
        <v>148.86000000000001</v>
      </c>
      <c r="K5471">
        <v>148.6</v>
      </c>
      <c r="L5471">
        <v>-7443</v>
      </c>
      <c r="M5471">
        <v>-1.3</v>
      </c>
      <c r="N5471">
        <v>7444.3</v>
      </c>
      <c r="O5471">
        <v>0</v>
      </c>
      <c r="P5471">
        <v>-13</v>
      </c>
      <c r="Q5471" t="s">
        <v>215</v>
      </c>
    </row>
    <row r="5472" spans="1:17" customFormat="1" x14ac:dyDescent="0.3">
      <c r="A5472" s="12" t="s">
        <v>1250</v>
      </c>
      <c r="B5472" t="s">
        <v>201</v>
      </c>
      <c r="C5472" t="s">
        <v>213</v>
      </c>
      <c r="E5472" t="s">
        <v>110</v>
      </c>
      <c r="F5472" t="s">
        <v>114</v>
      </c>
      <c r="G5472" t="s">
        <v>45</v>
      </c>
      <c r="I5472">
        <v>-25</v>
      </c>
      <c r="L5472">
        <v>5392.5</v>
      </c>
      <c r="M5472">
        <v>-1.3</v>
      </c>
      <c r="N5472">
        <v>-3201.2</v>
      </c>
      <c r="O5472">
        <v>2190</v>
      </c>
      <c r="P5472">
        <v>-4</v>
      </c>
    </row>
    <row r="5473" spans="1:17" customFormat="1" x14ac:dyDescent="0.3">
      <c r="A5473" s="12" t="s">
        <v>1250</v>
      </c>
      <c r="B5473" t="s">
        <v>201</v>
      </c>
      <c r="C5473" t="s">
        <v>123</v>
      </c>
      <c r="D5473" t="s">
        <v>209</v>
      </c>
      <c r="E5473" t="s">
        <v>110</v>
      </c>
      <c r="F5473" t="s">
        <v>114</v>
      </c>
      <c r="G5473" t="s">
        <v>5</v>
      </c>
      <c r="H5473" t="s">
        <v>1263</v>
      </c>
      <c r="I5473">
        <v>-78</v>
      </c>
      <c r="J5473">
        <v>185.14</v>
      </c>
      <c r="K5473">
        <v>185.17</v>
      </c>
      <c r="L5473">
        <v>14440.92</v>
      </c>
      <c r="M5473">
        <v>0</v>
      </c>
      <c r="N5473">
        <v>-14462.76</v>
      </c>
      <c r="O5473">
        <v>-21.84</v>
      </c>
      <c r="P5473">
        <v>-2.34</v>
      </c>
      <c r="Q5473" t="s">
        <v>3</v>
      </c>
    </row>
    <row r="5474" spans="1:17" customFormat="1" x14ac:dyDescent="0.3">
      <c r="A5474" s="12" t="s">
        <v>1250</v>
      </c>
      <c r="B5474" t="s">
        <v>201</v>
      </c>
      <c r="C5474" t="s">
        <v>213</v>
      </c>
      <c r="E5474" t="s">
        <v>110</v>
      </c>
      <c r="F5474" t="s">
        <v>114</v>
      </c>
      <c r="G5474" t="s">
        <v>5</v>
      </c>
      <c r="I5474">
        <v>-78</v>
      </c>
      <c r="L5474">
        <v>14440.92</v>
      </c>
      <c r="M5474">
        <v>0</v>
      </c>
      <c r="N5474">
        <v>-14462.76</v>
      </c>
      <c r="O5474">
        <v>-21.84</v>
      </c>
      <c r="P5474">
        <v>-2.34</v>
      </c>
    </row>
    <row r="5475" spans="1:17" customFormat="1" x14ac:dyDescent="0.3">
      <c r="A5475" s="12" t="s">
        <v>1250</v>
      </c>
      <c r="B5475" t="s">
        <v>201</v>
      </c>
      <c r="C5475" t="s">
        <v>123</v>
      </c>
      <c r="D5475" t="s">
        <v>209</v>
      </c>
      <c r="E5475" t="s">
        <v>110</v>
      </c>
      <c r="F5475" t="s">
        <v>114</v>
      </c>
      <c r="G5475" t="s">
        <v>65</v>
      </c>
      <c r="H5475" t="s">
        <v>1264</v>
      </c>
      <c r="I5475">
        <v>-70</v>
      </c>
      <c r="J5475">
        <v>64.94</v>
      </c>
      <c r="K5475">
        <v>64.94</v>
      </c>
      <c r="L5475">
        <v>4545.8</v>
      </c>
      <c r="M5475">
        <v>0</v>
      </c>
      <c r="N5475">
        <v>-4561.55</v>
      </c>
      <c r="O5475">
        <v>-15.75</v>
      </c>
      <c r="P5475">
        <v>0</v>
      </c>
      <c r="Q5475" t="s">
        <v>3</v>
      </c>
    </row>
    <row r="5476" spans="1:17" customFormat="1" x14ac:dyDescent="0.3">
      <c r="A5476" s="12" t="s">
        <v>1250</v>
      </c>
      <c r="B5476" t="s">
        <v>201</v>
      </c>
      <c r="C5476" t="s">
        <v>213</v>
      </c>
      <c r="E5476" t="s">
        <v>110</v>
      </c>
      <c r="F5476" t="s">
        <v>114</v>
      </c>
      <c r="G5476" t="s">
        <v>65</v>
      </c>
      <c r="I5476">
        <v>-70</v>
      </c>
      <c r="L5476">
        <v>4545.8</v>
      </c>
      <c r="M5476">
        <v>0</v>
      </c>
      <c r="N5476">
        <v>-4561.55</v>
      </c>
      <c r="O5476">
        <v>-15.75</v>
      </c>
      <c r="P5476">
        <v>0</v>
      </c>
    </row>
    <row r="5477" spans="1:17" customFormat="1" x14ac:dyDescent="0.3">
      <c r="A5477" s="12" t="s">
        <v>1250</v>
      </c>
      <c r="B5477" t="s">
        <v>201</v>
      </c>
      <c r="C5477" t="s">
        <v>123</v>
      </c>
      <c r="D5477" t="s">
        <v>209</v>
      </c>
      <c r="E5477" t="s">
        <v>110</v>
      </c>
      <c r="F5477" t="s">
        <v>114</v>
      </c>
      <c r="G5477" t="s">
        <v>58</v>
      </c>
      <c r="H5477" t="s">
        <v>1265</v>
      </c>
      <c r="I5477">
        <v>-70</v>
      </c>
      <c r="J5477">
        <v>147.61000000000001</v>
      </c>
      <c r="K5477">
        <v>141.30000000000001</v>
      </c>
      <c r="L5477">
        <v>10332.700000000001</v>
      </c>
      <c r="M5477">
        <v>-1.3</v>
      </c>
      <c r="N5477">
        <v>-8325.9500000000007</v>
      </c>
      <c r="O5477">
        <v>2005.4500009999999</v>
      </c>
      <c r="P5477">
        <v>441.7</v>
      </c>
      <c r="Q5477" t="s">
        <v>3</v>
      </c>
    </row>
    <row r="5478" spans="1:17" customFormat="1" x14ac:dyDescent="0.3">
      <c r="A5478" s="12" t="s">
        <v>1250</v>
      </c>
      <c r="B5478" t="s">
        <v>201</v>
      </c>
      <c r="C5478" t="s">
        <v>213</v>
      </c>
      <c r="E5478" t="s">
        <v>110</v>
      </c>
      <c r="F5478" t="s">
        <v>114</v>
      </c>
      <c r="G5478" t="s">
        <v>58</v>
      </c>
      <c r="I5478">
        <v>-70</v>
      </c>
      <c r="L5478">
        <v>10332.700000000001</v>
      </c>
      <c r="M5478">
        <v>-1.3</v>
      </c>
      <c r="N5478">
        <v>-8325.9500000000007</v>
      </c>
      <c r="O5478">
        <v>2005.4500009999999</v>
      </c>
      <c r="P5478">
        <v>441.7</v>
      </c>
    </row>
    <row r="5479" spans="1:17" customFormat="1" x14ac:dyDescent="0.3">
      <c r="A5479" s="12" t="s">
        <v>1250</v>
      </c>
      <c r="B5479" t="s">
        <v>201</v>
      </c>
      <c r="C5479" t="s">
        <v>123</v>
      </c>
      <c r="D5479" t="s">
        <v>209</v>
      </c>
      <c r="E5479" t="s">
        <v>110</v>
      </c>
      <c r="F5479" t="s">
        <v>114</v>
      </c>
      <c r="G5479" t="s">
        <v>8</v>
      </c>
      <c r="H5479" t="s">
        <v>1266</v>
      </c>
      <c r="I5479">
        <v>-100</v>
      </c>
      <c r="J5479">
        <v>40.225000000000001</v>
      </c>
      <c r="K5479">
        <v>40.19</v>
      </c>
      <c r="L5479">
        <v>4022.5</v>
      </c>
      <c r="M5479">
        <v>0</v>
      </c>
      <c r="N5479">
        <v>-3870.5</v>
      </c>
      <c r="O5479">
        <v>152</v>
      </c>
      <c r="P5479">
        <v>3.5</v>
      </c>
      <c r="Q5479" t="s">
        <v>3</v>
      </c>
    </row>
    <row r="5480" spans="1:17" customFormat="1" x14ac:dyDescent="0.3">
      <c r="A5480" s="12" t="s">
        <v>1250</v>
      </c>
      <c r="B5480" t="s">
        <v>201</v>
      </c>
      <c r="C5480" t="s">
        <v>213</v>
      </c>
      <c r="E5480" t="s">
        <v>110</v>
      </c>
      <c r="F5480" t="s">
        <v>114</v>
      </c>
      <c r="G5480" t="s">
        <v>8</v>
      </c>
      <c r="I5480">
        <v>-100</v>
      </c>
      <c r="L5480">
        <v>4022.5</v>
      </c>
      <c r="M5480">
        <v>0</v>
      </c>
      <c r="N5480">
        <v>-3870.5</v>
      </c>
      <c r="O5480">
        <v>152</v>
      </c>
      <c r="P5480">
        <v>3.5</v>
      </c>
    </row>
    <row r="5481" spans="1:17" customFormat="1" x14ac:dyDescent="0.3">
      <c r="A5481" s="12" t="s">
        <v>1250</v>
      </c>
      <c r="B5481" t="s">
        <v>201</v>
      </c>
      <c r="C5481" t="s">
        <v>123</v>
      </c>
      <c r="D5481" t="s">
        <v>209</v>
      </c>
      <c r="E5481" t="s">
        <v>110</v>
      </c>
      <c r="F5481" t="s">
        <v>114</v>
      </c>
      <c r="G5481" t="s">
        <v>9</v>
      </c>
      <c r="H5481" t="s">
        <v>1267</v>
      </c>
      <c r="I5481">
        <v>-2</v>
      </c>
      <c r="J5481">
        <v>4334.92</v>
      </c>
      <c r="K5481">
        <v>4347.59</v>
      </c>
      <c r="L5481">
        <v>8669.84</v>
      </c>
      <c r="M5481">
        <v>-1.3</v>
      </c>
      <c r="N5481">
        <v>-7563.68</v>
      </c>
      <c r="O5481">
        <v>1104.8599999999999</v>
      </c>
      <c r="P5481">
        <v>-25.34</v>
      </c>
      <c r="Q5481" t="s">
        <v>3</v>
      </c>
    </row>
    <row r="5482" spans="1:17" customFormat="1" x14ac:dyDescent="0.3">
      <c r="A5482" s="12" t="s">
        <v>1250</v>
      </c>
      <c r="B5482" t="s">
        <v>201</v>
      </c>
      <c r="C5482" t="s">
        <v>213</v>
      </c>
      <c r="E5482" t="s">
        <v>110</v>
      </c>
      <c r="F5482" t="s">
        <v>114</v>
      </c>
      <c r="G5482" t="s">
        <v>9</v>
      </c>
      <c r="I5482">
        <v>-2</v>
      </c>
      <c r="L5482">
        <v>8669.84</v>
      </c>
      <c r="M5482">
        <v>-1.3</v>
      </c>
      <c r="N5482">
        <v>-7563.68</v>
      </c>
      <c r="O5482">
        <v>1104.8599999999999</v>
      </c>
      <c r="P5482">
        <v>-25.34</v>
      </c>
    </row>
    <row r="5483" spans="1:17" customFormat="1" x14ac:dyDescent="0.3">
      <c r="A5483" s="12" t="s">
        <v>1250</v>
      </c>
      <c r="B5483" t="s">
        <v>201</v>
      </c>
      <c r="C5483" t="s">
        <v>123</v>
      </c>
      <c r="D5483" t="s">
        <v>209</v>
      </c>
      <c r="E5483" t="s">
        <v>110</v>
      </c>
      <c r="F5483" t="s">
        <v>114</v>
      </c>
      <c r="G5483" t="s">
        <v>3</v>
      </c>
      <c r="H5483" t="s">
        <v>1268</v>
      </c>
      <c r="I5483">
        <v>-140</v>
      </c>
      <c r="J5483">
        <v>64.064999999999998</v>
      </c>
      <c r="K5483">
        <v>64.12</v>
      </c>
      <c r="L5483">
        <v>8969.1</v>
      </c>
      <c r="M5483">
        <v>0</v>
      </c>
      <c r="N5483">
        <v>-8770.6963859999996</v>
      </c>
      <c r="O5483">
        <v>198.403614</v>
      </c>
      <c r="P5483">
        <v>-7.7</v>
      </c>
      <c r="Q5483" t="s">
        <v>3</v>
      </c>
    </row>
    <row r="5484" spans="1:17" customFormat="1" x14ac:dyDescent="0.3">
      <c r="A5484" s="12" t="s">
        <v>1250</v>
      </c>
      <c r="B5484" t="s">
        <v>201</v>
      </c>
      <c r="C5484" t="s">
        <v>213</v>
      </c>
      <c r="E5484" t="s">
        <v>110</v>
      </c>
      <c r="F5484" t="s">
        <v>114</v>
      </c>
      <c r="G5484" t="s">
        <v>3</v>
      </c>
      <c r="I5484">
        <v>-140</v>
      </c>
      <c r="L5484">
        <v>8969.1</v>
      </c>
      <c r="M5484">
        <v>0</v>
      </c>
      <c r="N5484">
        <v>-8770.6963859999996</v>
      </c>
      <c r="O5484">
        <v>198.403614</v>
      </c>
      <c r="P5484">
        <v>-7.7</v>
      </c>
    </row>
    <row r="5485" spans="1:17" customFormat="1" x14ac:dyDescent="0.3">
      <c r="A5485" s="12" t="s">
        <v>1250</v>
      </c>
      <c r="B5485" t="s">
        <v>201</v>
      </c>
      <c r="C5485" t="s">
        <v>123</v>
      </c>
      <c r="D5485" t="s">
        <v>209</v>
      </c>
      <c r="E5485" t="s">
        <v>110</v>
      </c>
      <c r="F5485" t="s">
        <v>114</v>
      </c>
      <c r="G5485" t="s">
        <v>11</v>
      </c>
      <c r="H5485" t="s">
        <v>1269</v>
      </c>
      <c r="I5485">
        <v>-5</v>
      </c>
      <c r="J5485">
        <v>901.95</v>
      </c>
      <c r="K5485">
        <v>909.1</v>
      </c>
      <c r="L5485">
        <v>4509.75</v>
      </c>
      <c r="M5485">
        <v>0</v>
      </c>
      <c r="N5485">
        <v>-4207.8</v>
      </c>
      <c r="O5485">
        <v>301.95</v>
      </c>
      <c r="P5485">
        <v>-35.75</v>
      </c>
      <c r="Q5485" t="s">
        <v>3</v>
      </c>
    </row>
    <row r="5486" spans="1:17" customFormat="1" x14ac:dyDescent="0.3">
      <c r="A5486" s="12" t="s">
        <v>1250</v>
      </c>
      <c r="B5486" t="s">
        <v>201</v>
      </c>
      <c r="C5486" t="s">
        <v>213</v>
      </c>
      <c r="E5486" t="s">
        <v>110</v>
      </c>
      <c r="F5486" t="s">
        <v>114</v>
      </c>
      <c r="G5486" t="s">
        <v>11</v>
      </c>
      <c r="I5486">
        <v>-5</v>
      </c>
      <c r="L5486">
        <v>4509.75</v>
      </c>
      <c r="M5486">
        <v>0</v>
      </c>
      <c r="N5486">
        <v>-4207.8</v>
      </c>
      <c r="O5486">
        <v>301.95</v>
      </c>
      <c r="P5486">
        <v>-35.75</v>
      </c>
    </row>
    <row r="5487" spans="1:17" customFormat="1" x14ac:dyDescent="0.3">
      <c r="A5487" s="12" t="s">
        <v>1250</v>
      </c>
      <c r="B5487" t="s">
        <v>201</v>
      </c>
      <c r="C5487" t="s">
        <v>123</v>
      </c>
      <c r="D5487" t="s">
        <v>209</v>
      </c>
      <c r="E5487" t="s">
        <v>110</v>
      </c>
      <c r="F5487" t="s">
        <v>114</v>
      </c>
      <c r="G5487" t="s">
        <v>18</v>
      </c>
      <c r="H5487" t="s">
        <v>1270</v>
      </c>
      <c r="I5487">
        <v>-30</v>
      </c>
      <c r="J5487">
        <v>308.32</v>
      </c>
      <c r="K5487">
        <v>305.99</v>
      </c>
      <c r="L5487">
        <v>9249.6</v>
      </c>
      <c r="M5487">
        <v>-1.3</v>
      </c>
      <c r="N5487">
        <v>-8269.0499999999993</v>
      </c>
      <c r="O5487">
        <v>979.25</v>
      </c>
      <c r="P5487">
        <v>69.900000000000006</v>
      </c>
      <c r="Q5487" t="s">
        <v>3</v>
      </c>
    </row>
    <row r="5488" spans="1:17" customFormat="1" x14ac:dyDescent="0.3">
      <c r="A5488" s="12" t="s">
        <v>1250</v>
      </c>
      <c r="B5488" t="s">
        <v>201</v>
      </c>
      <c r="C5488" t="s">
        <v>213</v>
      </c>
      <c r="E5488" t="s">
        <v>110</v>
      </c>
      <c r="F5488" t="s">
        <v>114</v>
      </c>
      <c r="G5488" t="s">
        <v>18</v>
      </c>
      <c r="I5488">
        <v>-30</v>
      </c>
      <c r="L5488">
        <v>9249.6</v>
      </c>
      <c r="M5488">
        <v>-1.3</v>
      </c>
      <c r="N5488">
        <v>-8269.0499999999993</v>
      </c>
      <c r="O5488">
        <v>979.25</v>
      </c>
      <c r="P5488">
        <v>69.900000000000006</v>
      </c>
    </row>
    <row r="5489" spans="1:17" customFormat="1" x14ac:dyDescent="0.3">
      <c r="A5489" s="12" t="s">
        <v>1250</v>
      </c>
      <c r="B5489" t="s">
        <v>201</v>
      </c>
      <c r="C5489" t="s">
        <v>123</v>
      </c>
      <c r="D5489" t="s">
        <v>209</v>
      </c>
      <c r="E5489" t="s">
        <v>110</v>
      </c>
      <c r="F5489" t="s">
        <v>114</v>
      </c>
      <c r="G5489" t="s">
        <v>48</v>
      </c>
      <c r="H5489" t="s">
        <v>1271</v>
      </c>
      <c r="I5489">
        <v>-30</v>
      </c>
      <c r="J5489">
        <v>192.54</v>
      </c>
      <c r="K5489">
        <v>192.61</v>
      </c>
      <c r="L5489">
        <v>5776.2</v>
      </c>
      <c r="M5489">
        <v>-1.3</v>
      </c>
      <c r="N5489">
        <v>-4831.2</v>
      </c>
      <c r="O5489">
        <v>943.7</v>
      </c>
      <c r="P5489">
        <v>-2.1</v>
      </c>
      <c r="Q5489" t="s">
        <v>3</v>
      </c>
    </row>
    <row r="5490" spans="1:17" customFormat="1" x14ac:dyDescent="0.3">
      <c r="A5490" s="12" t="s">
        <v>1250</v>
      </c>
      <c r="B5490" t="s">
        <v>201</v>
      </c>
      <c r="C5490" t="s">
        <v>213</v>
      </c>
      <c r="E5490" t="s">
        <v>110</v>
      </c>
      <c r="F5490" t="s">
        <v>114</v>
      </c>
      <c r="G5490" t="s">
        <v>48</v>
      </c>
      <c r="I5490">
        <v>-30</v>
      </c>
      <c r="L5490">
        <v>5776.2</v>
      </c>
      <c r="M5490">
        <v>-1.3</v>
      </c>
      <c r="N5490">
        <v>-4831.2</v>
      </c>
      <c r="O5490">
        <v>943.7</v>
      </c>
      <c r="P5490">
        <v>-2.1</v>
      </c>
    </row>
    <row r="5491" spans="1:17" customFormat="1" x14ac:dyDescent="0.3">
      <c r="A5491" s="12" t="s">
        <v>1250</v>
      </c>
      <c r="B5491" t="s">
        <v>201</v>
      </c>
      <c r="C5491" t="s">
        <v>123</v>
      </c>
      <c r="D5491" t="s">
        <v>209</v>
      </c>
      <c r="E5491" t="s">
        <v>110</v>
      </c>
      <c r="F5491" t="s">
        <v>114</v>
      </c>
      <c r="G5491" t="s">
        <v>19</v>
      </c>
      <c r="H5491" t="s">
        <v>1272</v>
      </c>
      <c r="I5491">
        <v>-100</v>
      </c>
      <c r="J5491">
        <v>163.20679999999999</v>
      </c>
      <c r="K5491">
        <v>164.38</v>
      </c>
      <c r="L5491">
        <v>16320.68</v>
      </c>
      <c r="M5491">
        <v>0</v>
      </c>
      <c r="N5491">
        <v>-17397.462856999999</v>
      </c>
      <c r="O5491">
        <v>-1076.782856</v>
      </c>
      <c r="P5491">
        <v>-117.32</v>
      </c>
      <c r="Q5491" t="s">
        <v>230</v>
      </c>
    </row>
    <row r="5492" spans="1:17" customFormat="1" x14ac:dyDescent="0.3">
      <c r="A5492" s="12" t="s">
        <v>1250</v>
      </c>
      <c r="B5492" t="s">
        <v>201</v>
      </c>
      <c r="C5492" t="s">
        <v>213</v>
      </c>
      <c r="E5492" t="s">
        <v>110</v>
      </c>
      <c r="F5492" t="s">
        <v>114</v>
      </c>
      <c r="G5492" t="s">
        <v>19</v>
      </c>
      <c r="I5492">
        <v>-100</v>
      </c>
      <c r="L5492">
        <v>16320.68</v>
      </c>
      <c r="M5492">
        <v>0</v>
      </c>
      <c r="N5492">
        <v>-17397.462856999999</v>
      </c>
      <c r="O5492">
        <v>-1076.782856</v>
      </c>
      <c r="P5492">
        <v>-117.32</v>
      </c>
    </row>
    <row r="5493" spans="1:17" customFormat="1" x14ac:dyDescent="0.3">
      <c r="A5493" s="12" t="s">
        <v>1250</v>
      </c>
      <c r="B5493" t="s">
        <v>201</v>
      </c>
      <c r="C5493" t="s">
        <v>123</v>
      </c>
      <c r="D5493" t="s">
        <v>209</v>
      </c>
      <c r="E5493" t="s">
        <v>110</v>
      </c>
      <c r="F5493" t="s">
        <v>114</v>
      </c>
      <c r="G5493" t="s">
        <v>22</v>
      </c>
      <c r="H5493" t="s">
        <v>1273</v>
      </c>
      <c r="I5493">
        <v>-43</v>
      </c>
      <c r="J5493">
        <v>103.9</v>
      </c>
      <c r="K5493">
        <v>103.7</v>
      </c>
      <c r="L5493">
        <v>4467.7</v>
      </c>
      <c r="M5493">
        <v>0</v>
      </c>
      <c r="N5493">
        <v>-2608.509</v>
      </c>
      <c r="O5493">
        <v>1859.191</v>
      </c>
      <c r="P5493">
        <v>8.6</v>
      </c>
      <c r="Q5493" t="s">
        <v>3</v>
      </c>
    </row>
    <row r="5494" spans="1:17" customFormat="1" x14ac:dyDescent="0.3">
      <c r="A5494" s="12" t="s">
        <v>1250</v>
      </c>
      <c r="B5494" t="s">
        <v>201</v>
      </c>
      <c r="C5494" t="s">
        <v>213</v>
      </c>
      <c r="E5494" t="s">
        <v>110</v>
      </c>
      <c r="F5494" t="s">
        <v>114</v>
      </c>
      <c r="G5494" t="s">
        <v>22</v>
      </c>
      <c r="I5494">
        <v>-43</v>
      </c>
      <c r="L5494">
        <v>4467.7</v>
      </c>
      <c r="M5494">
        <v>0</v>
      </c>
      <c r="N5494">
        <v>-2608.509</v>
      </c>
      <c r="O5494">
        <v>1859.191</v>
      </c>
      <c r="P5494">
        <v>8.6</v>
      </c>
    </row>
    <row r="5495" spans="1:17" customFormat="1" x14ac:dyDescent="0.3">
      <c r="A5495" s="12" t="s">
        <v>1250</v>
      </c>
      <c r="B5495" t="s">
        <v>201</v>
      </c>
      <c r="C5495" t="s">
        <v>123</v>
      </c>
      <c r="D5495" t="s">
        <v>209</v>
      </c>
      <c r="E5495" t="s">
        <v>110</v>
      </c>
      <c r="F5495" t="s">
        <v>114</v>
      </c>
      <c r="G5495" t="s">
        <v>24</v>
      </c>
      <c r="H5495" t="s">
        <v>1274</v>
      </c>
      <c r="I5495">
        <v>-25</v>
      </c>
      <c r="J5495">
        <v>96.69</v>
      </c>
      <c r="K5495">
        <v>96</v>
      </c>
      <c r="L5495">
        <v>2417.25</v>
      </c>
      <c r="M5495">
        <v>-1.3</v>
      </c>
      <c r="N5495">
        <v>-1862.2375</v>
      </c>
      <c r="O5495">
        <v>553.71249999999998</v>
      </c>
      <c r="P5495">
        <v>17.25</v>
      </c>
      <c r="Q5495" t="s">
        <v>3</v>
      </c>
    </row>
    <row r="5496" spans="1:17" customFormat="1" x14ac:dyDescent="0.3">
      <c r="A5496" s="12" t="s">
        <v>1250</v>
      </c>
      <c r="B5496" t="s">
        <v>201</v>
      </c>
      <c r="C5496" t="s">
        <v>123</v>
      </c>
      <c r="D5496" t="s">
        <v>209</v>
      </c>
      <c r="E5496" t="s">
        <v>110</v>
      </c>
      <c r="F5496" t="s">
        <v>114</v>
      </c>
      <c r="G5496" t="s">
        <v>24</v>
      </c>
      <c r="H5496" t="s">
        <v>1275</v>
      </c>
      <c r="I5496">
        <v>-100</v>
      </c>
      <c r="J5496">
        <v>96.3</v>
      </c>
      <c r="K5496">
        <v>96</v>
      </c>
      <c r="L5496">
        <v>9630</v>
      </c>
      <c r="M5496">
        <v>-1.3</v>
      </c>
      <c r="N5496">
        <v>-4578.55</v>
      </c>
      <c r="O5496">
        <v>236.01666700000001</v>
      </c>
      <c r="P5496">
        <v>30</v>
      </c>
      <c r="Q5496" t="s">
        <v>646</v>
      </c>
    </row>
    <row r="5497" spans="1:17" customFormat="1" x14ac:dyDescent="0.3">
      <c r="A5497" s="12" t="s">
        <v>1250</v>
      </c>
      <c r="B5497" t="s">
        <v>201</v>
      </c>
      <c r="C5497" t="s">
        <v>123</v>
      </c>
      <c r="D5497" t="s">
        <v>209</v>
      </c>
      <c r="E5497" t="s">
        <v>110</v>
      </c>
      <c r="F5497" t="s">
        <v>114</v>
      </c>
      <c r="G5497" t="s">
        <v>24</v>
      </c>
      <c r="H5497" t="s">
        <v>1276</v>
      </c>
      <c r="I5497">
        <v>75</v>
      </c>
      <c r="J5497">
        <v>96.7</v>
      </c>
      <c r="K5497">
        <v>96</v>
      </c>
      <c r="L5497">
        <v>-7252.5</v>
      </c>
      <c r="M5497">
        <v>-1.3</v>
      </c>
      <c r="N5497">
        <v>7221.6333329999998</v>
      </c>
      <c r="O5497">
        <v>-32.166666999999997</v>
      </c>
      <c r="P5497">
        <v>-52.5</v>
      </c>
      <c r="Q5497" t="s">
        <v>230</v>
      </c>
    </row>
    <row r="5498" spans="1:17" customFormat="1" x14ac:dyDescent="0.3">
      <c r="A5498" s="12" t="s">
        <v>1250</v>
      </c>
      <c r="B5498" t="s">
        <v>201</v>
      </c>
      <c r="C5498" t="s">
        <v>213</v>
      </c>
      <c r="E5498" t="s">
        <v>110</v>
      </c>
      <c r="F5498" t="s">
        <v>114</v>
      </c>
      <c r="G5498" t="s">
        <v>24</v>
      </c>
      <c r="I5498">
        <v>-50</v>
      </c>
      <c r="L5498">
        <v>4794.75</v>
      </c>
      <c r="M5498">
        <v>-3.9</v>
      </c>
      <c r="N5498">
        <v>780.84583299999997</v>
      </c>
      <c r="O5498">
        <v>757.5625</v>
      </c>
      <c r="P5498">
        <v>-5.25</v>
      </c>
    </row>
    <row r="5499" spans="1:17" customFormat="1" x14ac:dyDescent="0.3">
      <c r="A5499" s="12" t="s">
        <v>1250</v>
      </c>
      <c r="B5499" t="s">
        <v>201</v>
      </c>
      <c r="C5499" t="s">
        <v>123</v>
      </c>
      <c r="D5499" t="s">
        <v>209</v>
      </c>
      <c r="E5499" t="s">
        <v>110</v>
      </c>
      <c r="F5499" t="s">
        <v>114</v>
      </c>
      <c r="G5499" t="s">
        <v>1253</v>
      </c>
      <c r="H5499" t="s">
        <v>1277</v>
      </c>
      <c r="I5499">
        <v>30</v>
      </c>
      <c r="J5499">
        <v>147.36000000000001</v>
      </c>
      <c r="K5499">
        <v>147.53</v>
      </c>
      <c r="L5499">
        <v>-4420.8</v>
      </c>
      <c r="M5499">
        <v>-1.3</v>
      </c>
      <c r="N5499">
        <v>4422.1000000000004</v>
      </c>
      <c r="O5499">
        <v>0</v>
      </c>
      <c r="P5499">
        <v>5.0999999999999996</v>
      </c>
      <c r="Q5499" t="s">
        <v>215</v>
      </c>
    </row>
    <row r="5500" spans="1:17" customFormat="1" x14ac:dyDescent="0.3">
      <c r="A5500" s="12" t="s">
        <v>1250</v>
      </c>
      <c r="B5500" t="s">
        <v>201</v>
      </c>
      <c r="C5500" t="s">
        <v>213</v>
      </c>
      <c r="E5500" t="s">
        <v>110</v>
      </c>
      <c r="F5500" t="s">
        <v>114</v>
      </c>
      <c r="G5500" t="s">
        <v>1253</v>
      </c>
      <c r="I5500">
        <v>30</v>
      </c>
      <c r="L5500">
        <v>-4420.8</v>
      </c>
      <c r="M5500">
        <v>-1.3</v>
      </c>
      <c r="N5500">
        <v>4422.1000000000004</v>
      </c>
      <c r="O5500">
        <v>0</v>
      </c>
      <c r="P5500">
        <v>5.0999999999999996</v>
      </c>
    </row>
    <row r="5501" spans="1:17" customFormat="1" x14ac:dyDescent="0.3">
      <c r="A5501" s="12" t="s">
        <v>1250</v>
      </c>
      <c r="B5501" t="s">
        <v>201</v>
      </c>
      <c r="C5501" t="s">
        <v>123</v>
      </c>
      <c r="D5501" t="s">
        <v>209</v>
      </c>
      <c r="E5501" t="s">
        <v>110</v>
      </c>
      <c r="F5501" t="s">
        <v>114</v>
      </c>
      <c r="G5501" t="s">
        <v>1254</v>
      </c>
      <c r="H5501" t="s">
        <v>1278</v>
      </c>
      <c r="I5501">
        <v>50</v>
      </c>
      <c r="J5501">
        <v>218.08</v>
      </c>
      <c r="K5501">
        <v>217.76</v>
      </c>
      <c r="L5501">
        <v>-10904</v>
      </c>
      <c r="M5501">
        <v>-1.3</v>
      </c>
      <c r="N5501">
        <v>10905.3</v>
      </c>
      <c r="O5501">
        <v>0</v>
      </c>
      <c r="P5501">
        <v>-16</v>
      </c>
      <c r="Q5501" t="s">
        <v>215</v>
      </c>
    </row>
    <row r="5502" spans="1:17" customFormat="1" x14ac:dyDescent="0.3">
      <c r="A5502" s="12" t="s">
        <v>1250</v>
      </c>
      <c r="B5502" t="s">
        <v>201</v>
      </c>
      <c r="C5502" t="s">
        <v>213</v>
      </c>
      <c r="E5502" t="s">
        <v>110</v>
      </c>
      <c r="F5502" t="s">
        <v>114</v>
      </c>
      <c r="G5502" t="s">
        <v>1254</v>
      </c>
      <c r="I5502">
        <v>50</v>
      </c>
      <c r="L5502">
        <v>-10904</v>
      </c>
      <c r="M5502">
        <v>-1.3</v>
      </c>
      <c r="N5502">
        <v>10905.3</v>
      </c>
      <c r="O5502">
        <v>0</v>
      </c>
      <c r="P5502">
        <v>-16</v>
      </c>
    </row>
    <row r="5503" spans="1:17" customFormat="1" x14ac:dyDescent="0.3">
      <c r="A5503" s="12" t="s">
        <v>1250</v>
      </c>
      <c r="B5503" t="s">
        <v>201</v>
      </c>
      <c r="C5503" t="s">
        <v>123</v>
      </c>
      <c r="D5503" t="s">
        <v>209</v>
      </c>
      <c r="E5503" t="s">
        <v>110</v>
      </c>
      <c r="F5503" t="s">
        <v>114</v>
      </c>
      <c r="G5503" t="s">
        <v>70</v>
      </c>
      <c r="H5503" t="s">
        <v>1279</v>
      </c>
      <c r="I5503">
        <v>-30</v>
      </c>
      <c r="J5503">
        <v>213.55</v>
      </c>
      <c r="K5503">
        <v>213.42</v>
      </c>
      <c r="L5503">
        <v>6406.5</v>
      </c>
      <c r="M5503">
        <v>0</v>
      </c>
      <c r="N5503">
        <v>-6182.55</v>
      </c>
      <c r="O5503">
        <v>223.95</v>
      </c>
      <c r="P5503">
        <v>3.9</v>
      </c>
      <c r="Q5503" t="s">
        <v>3</v>
      </c>
    </row>
    <row r="5504" spans="1:17" customFormat="1" x14ac:dyDescent="0.3">
      <c r="A5504" s="12" t="s">
        <v>1250</v>
      </c>
      <c r="B5504" t="s">
        <v>201</v>
      </c>
      <c r="C5504" t="s">
        <v>123</v>
      </c>
      <c r="D5504" t="s">
        <v>209</v>
      </c>
      <c r="E5504" t="s">
        <v>110</v>
      </c>
      <c r="F5504" t="s">
        <v>114</v>
      </c>
      <c r="G5504" t="s">
        <v>70</v>
      </c>
      <c r="H5504" t="s">
        <v>1280</v>
      </c>
      <c r="I5504">
        <v>20</v>
      </c>
      <c r="J5504">
        <v>210.36</v>
      </c>
      <c r="K5504">
        <v>222.29</v>
      </c>
      <c r="L5504">
        <v>-4207.2</v>
      </c>
      <c r="M5504">
        <v>-1.3</v>
      </c>
      <c r="N5504">
        <v>4208.5</v>
      </c>
      <c r="O5504">
        <v>0</v>
      </c>
      <c r="P5504">
        <v>238.6</v>
      </c>
      <c r="Q5504" t="s">
        <v>215</v>
      </c>
    </row>
    <row r="5505" spans="1:17" customFormat="1" x14ac:dyDescent="0.3">
      <c r="A5505" s="12" t="s">
        <v>1250</v>
      </c>
      <c r="B5505" t="s">
        <v>201</v>
      </c>
      <c r="C5505" t="s">
        <v>213</v>
      </c>
      <c r="E5505" t="s">
        <v>110</v>
      </c>
      <c r="F5505" t="s">
        <v>114</v>
      </c>
      <c r="G5505" t="s">
        <v>70</v>
      </c>
      <c r="I5505">
        <v>-10</v>
      </c>
      <c r="L5505">
        <v>2199.3000000000002</v>
      </c>
      <c r="M5505">
        <v>-1.3</v>
      </c>
      <c r="N5505">
        <v>-1974.05</v>
      </c>
      <c r="O5505">
        <v>223.95</v>
      </c>
      <c r="P5505">
        <v>242.5</v>
      </c>
    </row>
    <row r="5506" spans="1:17" customFormat="1" x14ac:dyDescent="0.3">
      <c r="A5506" s="12" t="s">
        <v>1250</v>
      </c>
      <c r="B5506" t="s">
        <v>201</v>
      </c>
      <c r="C5506" t="s">
        <v>123</v>
      </c>
      <c r="D5506" t="s">
        <v>209</v>
      </c>
      <c r="E5506" t="s">
        <v>110</v>
      </c>
      <c r="F5506" t="s">
        <v>114</v>
      </c>
      <c r="G5506" t="s">
        <v>49</v>
      </c>
      <c r="H5506" t="s">
        <v>1281</v>
      </c>
      <c r="I5506">
        <v>-5</v>
      </c>
      <c r="J5506">
        <v>829.82</v>
      </c>
      <c r="K5506">
        <v>846.83</v>
      </c>
      <c r="L5506">
        <v>4149.1000000000004</v>
      </c>
      <c r="M5506">
        <v>-1.3</v>
      </c>
      <c r="N5506">
        <v>-3846.13</v>
      </c>
      <c r="O5506">
        <v>301.67</v>
      </c>
      <c r="P5506">
        <v>-85.05</v>
      </c>
      <c r="Q5506" t="s">
        <v>3</v>
      </c>
    </row>
    <row r="5507" spans="1:17" customFormat="1" x14ac:dyDescent="0.3">
      <c r="A5507" s="12" t="s">
        <v>1250</v>
      </c>
      <c r="B5507" t="s">
        <v>201</v>
      </c>
      <c r="C5507" t="s">
        <v>213</v>
      </c>
      <c r="E5507" t="s">
        <v>110</v>
      </c>
      <c r="F5507" t="s">
        <v>114</v>
      </c>
      <c r="G5507" t="s">
        <v>49</v>
      </c>
      <c r="I5507">
        <v>-5</v>
      </c>
      <c r="L5507">
        <v>4149.1000000000004</v>
      </c>
      <c r="M5507">
        <v>-1.3</v>
      </c>
      <c r="N5507">
        <v>-3846.13</v>
      </c>
      <c r="O5507">
        <v>301.67</v>
      </c>
      <c r="P5507">
        <v>-85.05</v>
      </c>
    </row>
    <row r="5508" spans="1:17" customFormat="1" x14ac:dyDescent="0.3">
      <c r="A5508" s="12" t="s">
        <v>1250</v>
      </c>
      <c r="B5508" t="s">
        <v>201</v>
      </c>
      <c r="C5508" t="s">
        <v>123</v>
      </c>
      <c r="D5508" t="s">
        <v>209</v>
      </c>
      <c r="E5508" t="s">
        <v>110</v>
      </c>
      <c r="F5508" t="s">
        <v>114</v>
      </c>
      <c r="G5508" t="s">
        <v>26</v>
      </c>
      <c r="H5508" t="s">
        <v>1282</v>
      </c>
      <c r="I5508">
        <v>5</v>
      </c>
      <c r="J5508">
        <v>461.28</v>
      </c>
      <c r="K5508">
        <v>460.53</v>
      </c>
      <c r="L5508">
        <v>-2306.4</v>
      </c>
      <c r="M5508">
        <v>0</v>
      </c>
      <c r="N5508">
        <v>2306.4</v>
      </c>
      <c r="O5508">
        <v>0</v>
      </c>
      <c r="P5508">
        <v>-3.75</v>
      </c>
      <c r="Q5508" t="s">
        <v>215</v>
      </c>
    </row>
    <row r="5509" spans="1:17" customFormat="1" x14ac:dyDescent="0.3">
      <c r="A5509" s="12" t="s">
        <v>1250</v>
      </c>
      <c r="B5509" t="s">
        <v>201</v>
      </c>
      <c r="C5509" t="s">
        <v>123</v>
      </c>
      <c r="D5509" t="s">
        <v>209</v>
      </c>
      <c r="E5509" t="s">
        <v>110</v>
      </c>
      <c r="F5509" t="s">
        <v>114</v>
      </c>
      <c r="G5509" t="s">
        <v>26</v>
      </c>
      <c r="H5509" t="s">
        <v>1283</v>
      </c>
      <c r="I5509">
        <v>-10</v>
      </c>
      <c r="J5509">
        <v>465.11</v>
      </c>
      <c r="K5509">
        <v>471</v>
      </c>
      <c r="L5509">
        <v>4651.1000000000004</v>
      </c>
      <c r="M5509">
        <v>0</v>
      </c>
      <c r="N5509">
        <v>-4514.1499999999996</v>
      </c>
      <c r="O5509">
        <v>136.94999999999999</v>
      </c>
      <c r="P5509">
        <v>-58.9</v>
      </c>
      <c r="Q5509" t="s">
        <v>230</v>
      </c>
    </row>
    <row r="5510" spans="1:17" customFormat="1" x14ac:dyDescent="0.3">
      <c r="A5510" s="12" t="s">
        <v>1250</v>
      </c>
      <c r="B5510" t="s">
        <v>201</v>
      </c>
      <c r="C5510" t="s">
        <v>213</v>
      </c>
      <c r="E5510" t="s">
        <v>110</v>
      </c>
      <c r="F5510" t="s">
        <v>114</v>
      </c>
      <c r="G5510" t="s">
        <v>26</v>
      </c>
      <c r="I5510">
        <v>-5</v>
      </c>
      <c r="L5510">
        <v>2344.6999999999998</v>
      </c>
      <c r="M5510">
        <v>0</v>
      </c>
      <c r="N5510">
        <v>-2207.75</v>
      </c>
      <c r="O5510">
        <v>136.94999999999999</v>
      </c>
      <c r="P5510">
        <v>-62.65</v>
      </c>
    </row>
    <row r="5511" spans="1:17" customFormat="1" x14ac:dyDescent="0.3">
      <c r="A5511" s="12" t="s">
        <v>1250</v>
      </c>
      <c r="B5511" t="s">
        <v>201</v>
      </c>
      <c r="C5511" t="s">
        <v>123</v>
      </c>
      <c r="D5511" t="s">
        <v>209</v>
      </c>
      <c r="E5511" t="s">
        <v>110</v>
      </c>
      <c r="F5511" t="s">
        <v>114</v>
      </c>
      <c r="G5511" t="s">
        <v>27</v>
      </c>
      <c r="H5511" t="s">
        <v>1284</v>
      </c>
      <c r="I5511">
        <v>-15</v>
      </c>
      <c r="J5511">
        <v>589</v>
      </c>
      <c r="K5511">
        <v>590.51</v>
      </c>
      <c r="L5511">
        <v>8835</v>
      </c>
      <c r="M5511">
        <v>0</v>
      </c>
      <c r="N5511">
        <v>-7343.15</v>
      </c>
      <c r="O5511">
        <v>1491.85</v>
      </c>
      <c r="P5511">
        <v>-22.65</v>
      </c>
      <c r="Q5511" t="s">
        <v>3</v>
      </c>
    </row>
    <row r="5512" spans="1:17" customFormat="1" x14ac:dyDescent="0.3">
      <c r="A5512" s="12" t="s">
        <v>1250</v>
      </c>
      <c r="B5512" t="s">
        <v>201</v>
      </c>
      <c r="C5512" t="s">
        <v>213</v>
      </c>
      <c r="E5512" t="s">
        <v>110</v>
      </c>
      <c r="F5512" t="s">
        <v>114</v>
      </c>
      <c r="G5512" t="s">
        <v>27</v>
      </c>
      <c r="I5512">
        <v>-15</v>
      </c>
      <c r="L5512">
        <v>8835</v>
      </c>
      <c r="M5512">
        <v>0</v>
      </c>
      <c r="N5512">
        <v>-7343.15</v>
      </c>
      <c r="O5512">
        <v>1491.85</v>
      </c>
      <c r="P5512">
        <v>-22.65</v>
      </c>
    </row>
    <row r="5513" spans="1:17" customFormat="1" x14ac:dyDescent="0.3">
      <c r="A5513" s="12" t="s">
        <v>1250</v>
      </c>
      <c r="B5513" t="s">
        <v>201</v>
      </c>
      <c r="C5513" t="s">
        <v>123</v>
      </c>
      <c r="D5513" t="s">
        <v>209</v>
      </c>
      <c r="E5513" t="s">
        <v>110</v>
      </c>
      <c r="F5513" t="s">
        <v>114</v>
      </c>
      <c r="G5513" t="s">
        <v>28</v>
      </c>
      <c r="H5513" t="s">
        <v>1285</v>
      </c>
      <c r="I5513">
        <v>-30</v>
      </c>
      <c r="J5513">
        <v>435.53</v>
      </c>
      <c r="K5513">
        <v>432.53</v>
      </c>
      <c r="L5513">
        <v>13065.9</v>
      </c>
      <c r="M5513">
        <v>-1.3</v>
      </c>
      <c r="N5513">
        <v>-11023.995919000001</v>
      </c>
      <c r="O5513">
        <v>2040.604081</v>
      </c>
      <c r="P5513">
        <v>90</v>
      </c>
      <c r="Q5513" t="s">
        <v>3</v>
      </c>
    </row>
    <row r="5514" spans="1:17" customFormat="1" x14ac:dyDescent="0.3">
      <c r="A5514" s="12" t="s">
        <v>1250</v>
      </c>
      <c r="B5514" t="s">
        <v>201</v>
      </c>
      <c r="C5514" t="s">
        <v>123</v>
      </c>
      <c r="D5514" t="s">
        <v>209</v>
      </c>
      <c r="E5514" t="s">
        <v>110</v>
      </c>
      <c r="F5514" t="s">
        <v>114</v>
      </c>
      <c r="G5514" t="s">
        <v>28</v>
      </c>
      <c r="H5514" t="s">
        <v>1286</v>
      </c>
      <c r="I5514">
        <v>15</v>
      </c>
      <c r="J5514">
        <v>431.09</v>
      </c>
      <c r="K5514">
        <v>432.53</v>
      </c>
      <c r="L5514">
        <v>-6466.35</v>
      </c>
      <c r="M5514">
        <v>-1.3</v>
      </c>
      <c r="N5514">
        <v>6467.65</v>
      </c>
      <c r="O5514">
        <v>0</v>
      </c>
      <c r="P5514">
        <v>21.6</v>
      </c>
      <c r="Q5514" t="s">
        <v>215</v>
      </c>
    </row>
    <row r="5515" spans="1:17" customFormat="1" x14ac:dyDescent="0.3">
      <c r="A5515" s="12" t="s">
        <v>1250</v>
      </c>
      <c r="B5515" t="s">
        <v>201</v>
      </c>
      <c r="C5515" t="s">
        <v>123</v>
      </c>
      <c r="D5515" t="s">
        <v>209</v>
      </c>
      <c r="E5515" t="s">
        <v>110</v>
      </c>
      <c r="F5515" t="s">
        <v>114</v>
      </c>
      <c r="G5515" t="s">
        <v>28</v>
      </c>
      <c r="H5515" t="s">
        <v>1287</v>
      </c>
      <c r="I5515">
        <v>10</v>
      </c>
      <c r="J5515">
        <v>414.8</v>
      </c>
      <c r="K5515">
        <v>406.35</v>
      </c>
      <c r="L5515">
        <v>-4148</v>
      </c>
      <c r="M5515">
        <v>-1.3</v>
      </c>
      <c r="N5515">
        <v>4149.3</v>
      </c>
      <c r="O5515">
        <v>0</v>
      </c>
      <c r="P5515">
        <v>-84.5</v>
      </c>
      <c r="Q5515" t="s">
        <v>215</v>
      </c>
    </row>
    <row r="5516" spans="1:17" customFormat="1" x14ac:dyDescent="0.3">
      <c r="A5516" s="12" t="s">
        <v>1250</v>
      </c>
      <c r="B5516" t="s">
        <v>201</v>
      </c>
      <c r="C5516" t="s">
        <v>213</v>
      </c>
      <c r="E5516" t="s">
        <v>110</v>
      </c>
      <c r="F5516" t="s">
        <v>114</v>
      </c>
      <c r="G5516" t="s">
        <v>28</v>
      </c>
      <c r="I5516">
        <v>-5</v>
      </c>
      <c r="L5516">
        <v>2451.5500000000002</v>
      </c>
      <c r="M5516">
        <v>-3.9</v>
      </c>
      <c r="N5516">
        <v>-407.04591900000003</v>
      </c>
      <c r="O5516">
        <v>2040.604081</v>
      </c>
      <c r="P5516">
        <v>27.1</v>
      </c>
    </row>
    <row r="5517" spans="1:17" customFormat="1" x14ac:dyDescent="0.3">
      <c r="A5517" s="12" t="s">
        <v>1250</v>
      </c>
      <c r="B5517" t="s">
        <v>201</v>
      </c>
      <c r="C5517" t="s">
        <v>123</v>
      </c>
      <c r="D5517" t="s">
        <v>209</v>
      </c>
      <c r="E5517" t="s">
        <v>110</v>
      </c>
      <c r="F5517" t="s">
        <v>114</v>
      </c>
      <c r="G5517" t="s">
        <v>71</v>
      </c>
      <c r="H5517" t="s">
        <v>1288</v>
      </c>
      <c r="I5517">
        <v>100</v>
      </c>
      <c r="J5517">
        <v>134.86000000000001</v>
      </c>
      <c r="K5517">
        <v>131.6</v>
      </c>
      <c r="L5517">
        <v>-13486</v>
      </c>
      <c r="M5517">
        <v>-1.3</v>
      </c>
      <c r="N5517">
        <v>13487.3</v>
      </c>
      <c r="O5517">
        <v>0</v>
      </c>
      <c r="P5517">
        <v>-326</v>
      </c>
      <c r="Q5517" t="s">
        <v>211</v>
      </c>
    </row>
    <row r="5518" spans="1:17" customFormat="1" x14ac:dyDescent="0.3">
      <c r="A5518" s="12" t="s">
        <v>1250</v>
      </c>
      <c r="B5518" t="s">
        <v>201</v>
      </c>
      <c r="C5518" t="s">
        <v>213</v>
      </c>
      <c r="E5518" t="s">
        <v>110</v>
      </c>
      <c r="F5518" t="s">
        <v>114</v>
      </c>
      <c r="G5518" t="s">
        <v>71</v>
      </c>
      <c r="I5518">
        <v>100</v>
      </c>
      <c r="L5518">
        <v>-13486</v>
      </c>
      <c r="M5518">
        <v>-1.3</v>
      </c>
      <c r="N5518">
        <v>13487.3</v>
      </c>
      <c r="O5518">
        <v>0</v>
      </c>
      <c r="P5518">
        <v>-326</v>
      </c>
    </row>
    <row r="5519" spans="1:17" customFormat="1" x14ac:dyDescent="0.3">
      <c r="A5519" s="12" t="s">
        <v>1250</v>
      </c>
      <c r="B5519" t="s">
        <v>201</v>
      </c>
      <c r="C5519" t="s">
        <v>123</v>
      </c>
      <c r="D5519" t="s">
        <v>209</v>
      </c>
      <c r="E5519" t="s">
        <v>110</v>
      </c>
      <c r="F5519" t="s">
        <v>114</v>
      </c>
      <c r="G5519" t="s">
        <v>39</v>
      </c>
      <c r="H5519" t="s">
        <v>1289</v>
      </c>
      <c r="I5519">
        <v>-25</v>
      </c>
      <c r="J5519">
        <v>166.91560000000001</v>
      </c>
      <c r="K5519">
        <v>165.78</v>
      </c>
      <c r="L5519">
        <v>4172.8900000000003</v>
      </c>
      <c r="M5519">
        <v>0</v>
      </c>
      <c r="N5519">
        <v>-4903.75</v>
      </c>
      <c r="O5519">
        <v>-730.86</v>
      </c>
      <c r="P5519">
        <v>28.39</v>
      </c>
      <c r="Q5519" t="s">
        <v>230</v>
      </c>
    </row>
    <row r="5520" spans="1:17" customFormat="1" x14ac:dyDescent="0.3">
      <c r="A5520" s="12" t="s">
        <v>1250</v>
      </c>
      <c r="B5520" t="s">
        <v>201</v>
      </c>
      <c r="C5520" t="s">
        <v>123</v>
      </c>
      <c r="D5520" t="s">
        <v>209</v>
      </c>
      <c r="E5520" t="s">
        <v>110</v>
      </c>
      <c r="F5520" t="s">
        <v>114</v>
      </c>
      <c r="G5520" t="s">
        <v>39</v>
      </c>
      <c r="H5520" t="s">
        <v>1290</v>
      </c>
      <c r="I5520">
        <v>-25</v>
      </c>
      <c r="J5520">
        <v>169.1</v>
      </c>
      <c r="K5520">
        <v>170.22</v>
      </c>
      <c r="L5520">
        <v>4227.5</v>
      </c>
      <c r="M5520">
        <v>0</v>
      </c>
      <c r="N5520">
        <v>-4828.75</v>
      </c>
      <c r="O5520">
        <v>-601.25</v>
      </c>
      <c r="P5520">
        <v>-28</v>
      </c>
      <c r="Q5520" t="s">
        <v>230</v>
      </c>
    </row>
    <row r="5521" spans="1:17" customFormat="1" x14ac:dyDescent="0.3">
      <c r="A5521" s="12" t="s">
        <v>1250</v>
      </c>
      <c r="B5521" t="s">
        <v>201</v>
      </c>
      <c r="C5521" t="s">
        <v>213</v>
      </c>
      <c r="E5521" t="s">
        <v>110</v>
      </c>
      <c r="F5521" t="s">
        <v>114</v>
      </c>
      <c r="G5521" t="s">
        <v>39</v>
      </c>
      <c r="I5521">
        <v>-50</v>
      </c>
      <c r="L5521">
        <v>8400.39</v>
      </c>
      <c r="M5521">
        <v>0</v>
      </c>
      <c r="N5521">
        <v>-9732.5</v>
      </c>
      <c r="O5521">
        <v>-1332.11</v>
      </c>
      <c r="P5521">
        <v>0.39</v>
      </c>
    </row>
    <row r="5522" spans="1:17" customFormat="1" x14ac:dyDescent="0.3">
      <c r="A5522" s="12" t="s">
        <v>1250</v>
      </c>
      <c r="B5522" t="s">
        <v>201</v>
      </c>
      <c r="C5522" t="s">
        <v>123</v>
      </c>
      <c r="D5522" t="s">
        <v>209</v>
      </c>
      <c r="E5522" t="s">
        <v>110</v>
      </c>
      <c r="F5522" t="s">
        <v>114</v>
      </c>
      <c r="G5522" t="s">
        <v>82</v>
      </c>
      <c r="H5522" t="s">
        <v>1291</v>
      </c>
      <c r="I5522">
        <v>20</v>
      </c>
      <c r="J5522">
        <v>489.34</v>
      </c>
      <c r="K5522">
        <v>488.36</v>
      </c>
      <c r="L5522">
        <v>-9786.7999999999993</v>
      </c>
      <c r="M5522">
        <v>-1.3</v>
      </c>
      <c r="N5522">
        <v>9788.1</v>
      </c>
      <c r="O5522">
        <v>0</v>
      </c>
      <c r="P5522">
        <v>-19.600000000000001</v>
      </c>
      <c r="Q5522" t="s">
        <v>215</v>
      </c>
    </row>
    <row r="5523" spans="1:17" customFormat="1" x14ac:dyDescent="0.3">
      <c r="A5523" s="12" t="s">
        <v>1250</v>
      </c>
      <c r="B5523" t="s">
        <v>201</v>
      </c>
      <c r="C5523" t="s">
        <v>213</v>
      </c>
      <c r="E5523" t="s">
        <v>110</v>
      </c>
      <c r="F5523" t="s">
        <v>114</v>
      </c>
      <c r="G5523" t="s">
        <v>82</v>
      </c>
      <c r="I5523">
        <v>20</v>
      </c>
      <c r="L5523">
        <v>-9786.7999999999993</v>
      </c>
      <c r="M5523">
        <v>-1.3</v>
      </c>
      <c r="N5523">
        <v>9788.1</v>
      </c>
      <c r="O5523">
        <v>0</v>
      </c>
      <c r="P5523">
        <v>-19.600000000000001</v>
      </c>
    </row>
    <row r="5524" spans="1:17" customFormat="1" x14ac:dyDescent="0.3">
      <c r="A5524" s="12" t="s">
        <v>1250</v>
      </c>
      <c r="B5524" t="s">
        <v>201</v>
      </c>
      <c r="C5524" t="s">
        <v>123</v>
      </c>
      <c r="D5524" t="s">
        <v>209</v>
      </c>
      <c r="E5524" t="s">
        <v>110</v>
      </c>
      <c r="F5524" t="s">
        <v>114</v>
      </c>
      <c r="G5524" t="s">
        <v>1255</v>
      </c>
      <c r="H5524" t="s">
        <v>1292</v>
      </c>
      <c r="I5524">
        <v>100</v>
      </c>
      <c r="J5524">
        <v>180.4</v>
      </c>
      <c r="K5524">
        <v>180.32</v>
      </c>
      <c r="L5524">
        <v>-18040</v>
      </c>
      <c r="M5524">
        <v>-1.3</v>
      </c>
      <c r="N5524">
        <v>18041.3</v>
      </c>
      <c r="O5524">
        <v>0</v>
      </c>
      <c r="P5524">
        <v>-8</v>
      </c>
      <c r="Q5524" t="s">
        <v>211</v>
      </c>
    </row>
    <row r="5525" spans="1:17" customFormat="1" x14ac:dyDescent="0.3">
      <c r="A5525" s="12" t="s">
        <v>1250</v>
      </c>
      <c r="B5525" t="s">
        <v>201</v>
      </c>
      <c r="C5525" t="s">
        <v>123</v>
      </c>
      <c r="D5525" t="s">
        <v>209</v>
      </c>
      <c r="E5525" t="s">
        <v>110</v>
      </c>
      <c r="F5525" t="s">
        <v>114</v>
      </c>
      <c r="G5525" t="s">
        <v>1255</v>
      </c>
      <c r="H5525" t="s">
        <v>1293</v>
      </c>
      <c r="I5525">
        <v>100</v>
      </c>
      <c r="J5525">
        <v>180.02</v>
      </c>
      <c r="K5525">
        <v>179.51</v>
      </c>
      <c r="L5525">
        <v>-18002</v>
      </c>
      <c r="M5525">
        <v>-1.3</v>
      </c>
      <c r="N5525">
        <v>18003.3</v>
      </c>
      <c r="O5525">
        <v>0</v>
      </c>
      <c r="P5525">
        <v>-51</v>
      </c>
      <c r="Q5525" t="s">
        <v>215</v>
      </c>
    </row>
    <row r="5526" spans="1:17" customFormat="1" x14ac:dyDescent="0.3">
      <c r="A5526" s="12" t="s">
        <v>1250</v>
      </c>
      <c r="B5526" t="s">
        <v>201</v>
      </c>
      <c r="C5526" t="s">
        <v>213</v>
      </c>
      <c r="E5526" t="s">
        <v>110</v>
      </c>
      <c r="F5526" t="s">
        <v>114</v>
      </c>
      <c r="G5526" t="s">
        <v>1255</v>
      </c>
      <c r="I5526">
        <v>200</v>
      </c>
      <c r="L5526">
        <v>-36042</v>
      </c>
      <c r="M5526">
        <v>-2.6</v>
      </c>
      <c r="N5526">
        <v>36044.6</v>
      </c>
      <c r="O5526">
        <v>0</v>
      </c>
      <c r="P5526">
        <v>-59</v>
      </c>
    </row>
    <row r="5527" spans="1:17" customFormat="1" x14ac:dyDescent="0.3">
      <c r="A5527" s="12" t="s">
        <v>1250</v>
      </c>
      <c r="B5527" t="s">
        <v>201</v>
      </c>
      <c r="C5527" t="s">
        <v>123</v>
      </c>
      <c r="D5527" t="s">
        <v>209</v>
      </c>
      <c r="E5527" t="s">
        <v>110</v>
      </c>
      <c r="F5527" t="s">
        <v>114</v>
      </c>
      <c r="G5527" t="s">
        <v>51</v>
      </c>
      <c r="H5527" t="s">
        <v>1294</v>
      </c>
      <c r="I5527">
        <v>75</v>
      </c>
      <c r="J5527">
        <v>47.44</v>
      </c>
      <c r="K5527">
        <v>47.39</v>
      </c>
      <c r="L5527">
        <v>-3558</v>
      </c>
      <c r="M5527">
        <v>-1.3</v>
      </c>
      <c r="N5527">
        <v>3559.3</v>
      </c>
      <c r="O5527">
        <v>0</v>
      </c>
      <c r="P5527">
        <v>-3.75</v>
      </c>
      <c r="Q5527" t="s">
        <v>211</v>
      </c>
    </row>
    <row r="5528" spans="1:17" customFormat="1" x14ac:dyDescent="0.3">
      <c r="A5528" s="12" t="s">
        <v>1250</v>
      </c>
      <c r="B5528" t="s">
        <v>201</v>
      </c>
      <c r="C5528" t="s">
        <v>123</v>
      </c>
      <c r="D5528" t="s">
        <v>209</v>
      </c>
      <c r="E5528" t="s">
        <v>110</v>
      </c>
      <c r="F5528" t="s">
        <v>114</v>
      </c>
      <c r="G5528" t="s">
        <v>51</v>
      </c>
      <c r="H5528" t="s">
        <v>1295</v>
      </c>
      <c r="I5528">
        <v>-50</v>
      </c>
      <c r="J5528">
        <v>32.83</v>
      </c>
      <c r="K5528">
        <v>33.07</v>
      </c>
      <c r="L5528">
        <v>1641.5</v>
      </c>
      <c r="M5528">
        <v>-1.3</v>
      </c>
      <c r="N5528">
        <v>-2373.3000000000002</v>
      </c>
      <c r="O5528">
        <v>-733.10000100000002</v>
      </c>
      <c r="P5528">
        <v>-12</v>
      </c>
      <c r="Q5528" t="s">
        <v>230</v>
      </c>
    </row>
    <row r="5529" spans="1:17" customFormat="1" x14ac:dyDescent="0.3">
      <c r="A5529" s="12" t="s">
        <v>1250</v>
      </c>
      <c r="B5529" t="s">
        <v>201</v>
      </c>
      <c r="C5529" t="s">
        <v>213</v>
      </c>
      <c r="E5529" t="s">
        <v>110</v>
      </c>
      <c r="F5529" t="s">
        <v>114</v>
      </c>
      <c r="G5529" t="s">
        <v>51</v>
      </c>
      <c r="I5529">
        <v>25</v>
      </c>
      <c r="L5529">
        <v>-1916.5</v>
      </c>
      <c r="M5529">
        <v>-2.6</v>
      </c>
      <c r="N5529">
        <v>1186</v>
      </c>
      <c r="O5529">
        <v>-733.10000100000002</v>
      </c>
      <c r="P5529">
        <v>-15.75</v>
      </c>
    </row>
    <row r="5530" spans="1:17" customFormat="1" x14ac:dyDescent="0.3">
      <c r="A5530" s="12" t="s">
        <v>1250</v>
      </c>
      <c r="B5530" t="s">
        <v>201</v>
      </c>
      <c r="C5530" t="s">
        <v>123</v>
      </c>
      <c r="D5530" t="s">
        <v>209</v>
      </c>
      <c r="E5530" t="s">
        <v>110</v>
      </c>
      <c r="F5530" t="s">
        <v>114</v>
      </c>
      <c r="G5530" t="s">
        <v>83</v>
      </c>
      <c r="H5530" t="s">
        <v>1296</v>
      </c>
      <c r="I5530">
        <v>50</v>
      </c>
      <c r="J5530">
        <v>231</v>
      </c>
      <c r="K5530">
        <v>233.5</v>
      </c>
      <c r="L5530">
        <v>-11550</v>
      </c>
      <c r="M5530">
        <v>0</v>
      </c>
      <c r="N5530">
        <v>11550</v>
      </c>
      <c r="O5530">
        <v>0</v>
      </c>
      <c r="P5530">
        <v>125</v>
      </c>
      <c r="Q5530" t="s">
        <v>215</v>
      </c>
    </row>
    <row r="5531" spans="1:17" customFormat="1" x14ac:dyDescent="0.3">
      <c r="A5531" s="12" t="s">
        <v>1250</v>
      </c>
      <c r="B5531" t="s">
        <v>201</v>
      </c>
      <c r="C5531" t="s">
        <v>213</v>
      </c>
      <c r="E5531" t="s">
        <v>110</v>
      </c>
      <c r="F5531" t="s">
        <v>114</v>
      </c>
      <c r="G5531" t="s">
        <v>83</v>
      </c>
      <c r="I5531">
        <v>50</v>
      </c>
      <c r="L5531">
        <v>-11550</v>
      </c>
      <c r="M5531">
        <v>0</v>
      </c>
      <c r="N5531">
        <v>11550</v>
      </c>
      <c r="O5531">
        <v>0</v>
      </c>
      <c r="P5531">
        <v>125</v>
      </c>
    </row>
    <row r="5532" spans="1:17" customFormat="1" x14ac:dyDescent="0.3">
      <c r="A5532" s="12" t="s">
        <v>1250</v>
      </c>
      <c r="B5532" t="s">
        <v>201</v>
      </c>
      <c r="C5532" t="s">
        <v>123</v>
      </c>
      <c r="D5532" t="s">
        <v>209</v>
      </c>
      <c r="E5532" t="s">
        <v>110</v>
      </c>
      <c r="F5532" t="s">
        <v>114</v>
      </c>
      <c r="G5532" t="s">
        <v>77</v>
      </c>
      <c r="H5532" t="s">
        <v>1297</v>
      </c>
      <c r="I5532">
        <v>-100</v>
      </c>
      <c r="J5532">
        <v>217.21</v>
      </c>
      <c r="K5532">
        <v>217.97</v>
      </c>
      <c r="L5532">
        <v>21721</v>
      </c>
      <c r="M5532">
        <v>-1.3</v>
      </c>
      <c r="N5532">
        <v>-22042.799999999999</v>
      </c>
      <c r="O5532">
        <v>-323.10000000000002</v>
      </c>
      <c r="P5532">
        <v>-76</v>
      </c>
      <c r="Q5532" t="s">
        <v>646</v>
      </c>
    </row>
    <row r="5533" spans="1:17" customFormat="1" x14ac:dyDescent="0.3">
      <c r="A5533" s="12" t="s">
        <v>1250</v>
      </c>
      <c r="B5533" t="s">
        <v>201</v>
      </c>
      <c r="C5533" t="s">
        <v>123</v>
      </c>
      <c r="D5533" t="s">
        <v>209</v>
      </c>
      <c r="E5533" t="s">
        <v>110</v>
      </c>
      <c r="F5533" t="s">
        <v>114</v>
      </c>
      <c r="G5533" t="s">
        <v>77</v>
      </c>
      <c r="H5533" t="s">
        <v>1298</v>
      </c>
      <c r="I5533">
        <v>80</v>
      </c>
      <c r="J5533">
        <v>215.92</v>
      </c>
      <c r="K5533">
        <v>217.97</v>
      </c>
      <c r="L5533">
        <v>-17273.599999999999</v>
      </c>
      <c r="M5533">
        <v>-1.3</v>
      </c>
      <c r="N5533">
        <v>17376.8</v>
      </c>
      <c r="O5533">
        <v>101.9</v>
      </c>
      <c r="P5533">
        <v>164</v>
      </c>
      <c r="Q5533" t="s">
        <v>3</v>
      </c>
    </row>
    <row r="5534" spans="1:17" customFormat="1" x14ac:dyDescent="0.3">
      <c r="A5534" s="12" t="s">
        <v>1250</v>
      </c>
      <c r="B5534" t="s">
        <v>201</v>
      </c>
      <c r="C5534" t="s">
        <v>213</v>
      </c>
      <c r="E5534" t="s">
        <v>110</v>
      </c>
      <c r="F5534" t="s">
        <v>114</v>
      </c>
      <c r="G5534" t="s">
        <v>77</v>
      </c>
      <c r="I5534">
        <v>-20</v>
      </c>
      <c r="L5534">
        <v>4447.3999999999996</v>
      </c>
      <c r="M5534">
        <v>-2.6</v>
      </c>
      <c r="N5534">
        <v>-4666</v>
      </c>
      <c r="O5534">
        <v>-221.2</v>
      </c>
      <c r="P5534">
        <v>88</v>
      </c>
    </row>
    <row r="5535" spans="1:17" customFormat="1" x14ac:dyDescent="0.3">
      <c r="A5535" s="12" t="s">
        <v>1250</v>
      </c>
      <c r="B5535" t="s">
        <v>201</v>
      </c>
      <c r="C5535" t="s">
        <v>123</v>
      </c>
      <c r="D5535" t="s">
        <v>209</v>
      </c>
      <c r="E5535" t="s">
        <v>110</v>
      </c>
      <c r="F5535" t="s">
        <v>114</v>
      </c>
      <c r="G5535" t="s">
        <v>87</v>
      </c>
      <c r="H5535" t="s">
        <v>1299</v>
      </c>
      <c r="I5535">
        <v>-15</v>
      </c>
      <c r="J5535">
        <v>397.92</v>
      </c>
      <c r="K5535">
        <v>399.72</v>
      </c>
      <c r="L5535">
        <v>5968.8</v>
      </c>
      <c r="M5535">
        <v>0</v>
      </c>
      <c r="N5535">
        <v>-4716.45</v>
      </c>
      <c r="O5535">
        <v>1252.3499999999999</v>
      </c>
      <c r="P5535">
        <v>-27</v>
      </c>
      <c r="Q5535" t="s">
        <v>3</v>
      </c>
    </row>
    <row r="5536" spans="1:17" customFormat="1" x14ac:dyDescent="0.3">
      <c r="A5536" s="12" t="s">
        <v>1250</v>
      </c>
      <c r="B5536" t="s">
        <v>201</v>
      </c>
      <c r="C5536" t="s">
        <v>213</v>
      </c>
      <c r="E5536" t="s">
        <v>110</v>
      </c>
      <c r="F5536" t="s">
        <v>114</v>
      </c>
      <c r="G5536" t="s">
        <v>87</v>
      </c>
      <c r="I5536">
        <v>-15</v>
      </c>
      <c r="L5536">
        <v>5968.8</v>
      </c>
      <c r="M5536">
        <v>0</v>
      </c>
      <c r="N5536">
        <v>-4716.45</v>
      </c>
      <c r="O5536">
        <v>1252.3499999999999</v>
      </c>
      <c r="P5536">
        <v>-27</v>
      </c>
    </row>
    <row r="5537" spans="1:17" customFormat="1" x14ac:dyDescent="0.3">
      <c r="A5537" s="12" t="s">
        <v>1250</v>
      </c>
      <c r="B5537" t="s">
        <v>201</v>
      </c>
      <c r="C5537" t="s">
        <v>123</v>
      </c>
      <c r="D5537" t="s">
        <v>209</v>
      </c>
      <c r="E5537" t="s">
        <v>110</v>
      </c>
      <c r="F5537" t="s">
        <v>114</v>
      </c>
      <c r="G5537" t="s">
        <v>78</v>
      </c>
      <c r="H5537" t="s">
        <v>1300</v>
      </c>
      <c r="I5537">
        <v>-30</v>
      </c>
      <c r="J5537">
        <v>204.57</v>
      </c>
      <c r="K5537">
        <v>204.97</v>
      </c>
      <c r="L5537">
        <v>6137.1</v>
      </c>
      <c r="M5537">
        <v>0</v>
      </c>
      <c r="N5537">
        <v>-5925.9</v>
      </c>
      <c r="O5537">
        <v>211.2</v>
      </c>
      <c r="P5537">
        <v>-12</v>
      </c>
      <c r="Q5537" t="s">
        <v>3</v>
      </c>
    </row>
    <row r="5538" spans="1:17" customFormat="1" x14ac:dyDescent="0.3">
      <c r="A5538" s="12" t="s">
        <v>1250</v>
      </c>
      <c r="B5538" t="s">
        <v>201</v>
      </c>
      <c r="C5538" t="s">
        <v>213</v>
      </c>
      <c r="E5538" t="s">
        <v>110</v>
      </c>
      <c r="F5538" t="s">
        <v>114</v>
      </c>
      <c r="G5538" t="s">
        <v>78</v>
      </c>
      <c r="I5538">
        <v>-30</v>
      </c>
      <c r="L5538">
        <v>6137.1</v>
      </c>
      <c r="M5538">
        <v>0</v>
      </c>
      <c r="N5538">
        <v>-5925.9</v>
      </c>
      <c r="O5538">
        <v>211.2</v>
      </c>
      <c r="P5538">
        <v>-12</v>
      </c>
    </row>
    <row r="5539" spans="1:17" customFormat="1" x14ac:dyDescent="0.3">
      <c r="A5539" s="12" t="s">
        <v>1250</v>
      </c>
      <c r="B5539" t="s">
        <v>201</v>
      </c>
      <c r="C5539" t="s">
        <v>123</v>
      </c>
      <c r="D5539" t="s">
        <v>209</v>
      </c>
      <c r="E5539" t="s">
        <v>110</v>
      </c>
      <c r="F5539" t="s">
        <v>114</v>
      </c>
      <c r="G5539" t="s">
        <v>32</v>
      </c>
      <c r="H5539" t="s">
        <v>1301</v>
      </c>
      <c r="I5539">
        <v>-70</v>
      </c>
      <c r="J5539">
        <v>80.92</v>
      </c>
      <c r="K5539">
        <v>86.34</v>
      </c>
      <c r="L5539">
        <v>5664.4</v>
      </c>
      <c r="M5539">
        <v>-1.3</v>
      </c>
      <c r="N5539">
        <v>-4634</v>
      </c>
      <c r="O5539">
        <v>1029.0999999999999</v>
      </c>
      <c r="P5539">
        <v>-379.4</v>
      </c>
      <c r="Q5539" t="s">
        <v>3</v>
      </c>
    </row>
    <row r="5540" spans="1:17" customFormat="1" x14ac:dyDescent="0.3">
      <c r="A5540" s="12" t="s">
        <v>1250</v>
      </c>
      <c r="B5540" t="s">
        <v>201</v>
      </c>
      <c r="C5540" t="s">
        <v>213</v>
      </c>
      <c r="E5540" t="s">
        <v>110</v>
      </c>
      <c r="F5540" t="s">
        <v>114</v>
      </c>
      <c r="G5540" t="s">
        <v>32</v>
      </c>
      <c r="I5540">
        <v>-70</v>
      </c>
      <c r="L5540">
        <v>5664.4</v>
      </c>
      <c r="M5540">
        <v>-1.3</v>
      </c>
      <c r="N5540">
        <v>-4634</v>
      </c>
      <c r="O5540">
        <v>1029.0999999999999</v>
      </c>
      <c r="P5540">
        <v>-379.4</v>
      </c>
    </row>
    <row r="5541" spans="1:17" customFormat="1" x14ac:dyDescent="0.3">
      <c r="A5541" s="12" t="s">
        <v>1250</v>
      </c>
      <c r="B5541" t="s">
        <v>201</v>
      </c>
      <c r="C5541" t="s">
        <v>123</v>
      </c>
      <c r="D5541" t="s">
        <v>209</v>
      </c>
      <c r="E5541" t="s">
        <v>110</v>
      </c>
      <c r="F5541" t="s">
        <v>114</v>
      </c>
      <c r="G5541" t="s">
        <v>1256</v>
      </c>
      <c r="H5541" t="s">
        <v>1302</v>
      </c>
      <c r="I5541">
        <v>20</v>
      </c>
      <c r="J5541">
        <v>205</v>
      </c>
      <c r="K5541">
        <v>204.55</v>
      </c>
      <c r="L5541">
        <v>-4100</v>
      </c>
      <c r="M5541">
        <v>-1.3</v>
      </c>
      <c r="N5541">
        <v>4101.3</v>
      </c>
      <c r="O5541">
        <v>0</v>
      </c>
      <c r="P5541">
        <v>-9</v>
      </c>
      <c r="Q5541" t="s">
        <v>215</v>
      </c>
    </row>
    <row r="5542" spans="1:17" customFormat="1" x14ac:dyDescent="0.3">
      <c r="A5542" s="12" t="s">
        <v>1250</v>
      </c>
      <c r="B5542" t="s">
        <v>201</v>
      </c>
      <c r="C5542" t="s">
        <v>213</v>
      </c>
      <c r="E5542" t="s">
        <v>110</v>
      </c>
      <c r="F5542" t="s">
        <v>114</v>
      </c>
      <c r="G5542" t="s">
        <v>1256</v>
      </c>
      <c r="I5542">
        <v>20</v>
      </c>
      <c r="L5542">
        <v>-4100</v>
      </c>
      <c r="M5542">
        <v>-1.3</v>
      </c>
      <c r="N5542">
        <v>4101.3</v>
      </c>
      <c r="O5542">
        <v>0</v>
      </c>
      <c r="P5542">
        <v>-9</v>
      </c>
    </row>
    <row r="5543" spans="1:17" customFormat="1" x14ac:dyDescent="0.3">
      <c r="A5543" s="12" t="s">
        <v>1250</v>
      </c>
      <c r="B5543" t="s">
        <v>201</v>
      </c>
      <c r="C5543" t="s">
        <v>123</v>
      </c>
      <c r="D5543" t="s">
        <v>209</v>
      </c>
      <c r="E5543" t="s">
        <v>110</v>
      </c>
      <c r="F5543" t="s">
        <v>114</v>
      </c>
      <c r="G5543" t="s">
        <v>1257</v>
      </c>
      <c r="H5543" t="s">
        <v>1303</v>
      </c>
      <c r="I5543">
        <v>100</v>
      </c>
      <c r="J5543">
        <v>97.25</v>
      </c>
      <c r="K5543">
        <v>97.56</v>
      </c>
      <c r="L5543">
        <v>-9725</v>
      </c>
      <c r="M5543">
        <v>-1.3</v>
      </c>
      <c r="N5543">
        <v>9726.2999999999993</v>
      </c>
      <c r="O5543">
        <v>0</v>
      </c>
      <c r="P5543">
        <v>31</v>
      </c>
      <c r="Q5543" t="s">
        <v>215</v>
      </c>
    </row>
    <row r="5544" spans="1:17" customFormat="1" x14ac:dyDescent="0.3">
      <c r="A5544" s="12" t="s">
        <v>1250</v>
      </c>
      <c r="B5544" t="s">
        <v>201</v>
      </c>
      <c r="C5544" t="s">
        <v>213</v>
      </c>
      <c r="E5544" t="s">
        <v>110</v>
      </c>
      <c r="F5544" t="s">
        <v>114</v>
      </c>
      <c r="G5544" t="s">
        <v>1257</v>
      </c>
      <c r="I5544">
        <v>100</v>
      </c>
      <c r="L5544">
        <v>-9725</v>
      </c>
      <c r="M5544">
        <v>-1.3</v>
      </c>
      <c r="N5544">
        <v>9726.2999999999993</v>
      </c>
      <c r="O5544">
        <v>0</v>
      </c>
      <c r="P5544">
        <v>31</v>
      </c>
    </row>
    <row r="5545" spans="1:17" customFormat="1" x14ac:dyDescent="0.3">
      <c r="A5545" s="12" t="s">
        <v>1250</v>
      </c>
      <c r="B5545" t="s">
        <v>201</v>
      </c>
      <c r="C5545" t="s">
        <v>123</v>
      </c>
      <c r="D5545" t="s">
        <v>209</v>
      </c>
      <c r="E5545" t="s">
        <v>110</v>
      </c>
      <c r="F5545" t="s">
        <v>114</v>
      </c>
      <c r="G5545" t="s">
        <v>1258</v>
      </c>
      <c r="H5545" t="s">
        <v>1304</v>
      </c>
      <c r="I5545">
        <v>30</v>
      </c>
      <c r="J5545">
        <v>532.16</v>
      </c>
      <c r="K5545">
        <v>532.98</v>
      </c>
      <c r="L5545">
        <v>-15964.8</v>
      </c>
      <c r="M5545">
        <v>-1.3</v>
      </c>
      <c r="N5545">
        <v>15966.1</v>
      </c>
      <c r="O5545">
        <v>0</v>
      </c>
      <c r="P5545">
        <v>24.6</v>
      </c>
      <c r="Q5545" t="s">
        <v>215</v>
      </c>
    </row>
    <row r="5546" spans="1:17" customFormat="1" x14ac:dyDescent="0.3">
      <c r="A5546" s="12" t="s">
        <v>1250</v>
      </c>
      <c r="B5546" t="s">
        <v>201</v>
      </c>
      <c r="C5546" t="s">
        <v>123</v>
      </c>
      <c r="D5546" t="s">
        <v>209</v>
      </c>
      <c r="E5546" t="s">
        <v>110</v>
      </c>
      <c r="F5546" t="s">
        <v>114</v>
      </c>
      <c r="G5546" t="s">
        <v>1258</v>
      </c>
      <c r="H5546" t="s">
        <v>1305</v>
      </c>
      <c r="I5546">
        <v>30</v>
      </c>
      <c r="J5546">
        <v>530</v>
      </c>
      <c r="K5546">
        <v>531.27</v>
      </c>
      <c r="L5546">
        <v>-15900</v>
      </c>
      <c r="M5546">
        <v>-1.3</v>
      </c>
      <c r="N5546">
        <v>15901.3</v>
      </c>
      <c r="O5546">
        <v>0</v>
      </c>
      <c r="P5546">
        <v>38.1</v>
      </c>
      <c r="Q5546" t="s">
        <v>215</v>
      </c>
    </row>
    <row r="5547" spans="1:17" customFormat="1" x14ac:dyDescent="0.3">
      <c r="A5547" s="12" t="s">
        <v>1250</v>
      </c>
      <c r="B5547" t="s">
        <v>201</v>
      </c>
      <c r="C5547" t="s">
        <v>213</v>
      </c>
      <c r="E5547" t="s">
        <v>110</v>
      </c>
      <c r="F5547" t="s">
        <v>114</v>
      </c>
      <c r="G5547" t="s">
        <v>1258</v>
      </c>
      <c r="I5547">
        <v>60</v>
      </c>
      <c r="L5547">
        <v>-31864.799999999999</v>
      </c>
      <c r="M5547">
        <v>-2.6</v>
      </c>
      <c r="N5547">
        <v>31867.4</v>
      </c>
      <c r="O5547">
        <v>0</v>
      </c>
      <c r="P5547">
        <v>62.7</v>
      </c>
    </row>
    <row r="5548" spans="1:17" customFormat="1" x14ac:dyDescent="0.3">
      <c r="A5548" s="12" t="s">
        <v>1250</v>
      </c>
      <c r="B5548" t="s">
        <v>201</v>
      </c>
      <c r="C5548" t="s">
        <v>123</v>
      </c>
      <c r="D5548" t="s">
        <v>209</v>
      </c>
      <c r="E5548" t="s">
        <v>110</v>
      </c>
      <c r="F5548" t="s">
        <v>114</v>
      </c>
      <c r="G5548" t="s">
        <v>61</v>
      </c>
      <c r="H5548" t="s">
        <v>1306</v>
      </c>
      <c r="I5548">
        <v>70</v>
      </c>
      <c r="J5548">
        <v>89.995642857000007</v>
      </c>
      <c r="K5548">
        <v>90.72</v>
      </c>
      <c r="L5548">
        <v>-6299.6949999999997</v>
      </c>
      <c r="M5548">
        <v>0</v>
      </c>
      <c r="N5548">
        <v>6299.6949999999997</v>
      </c>
      <c r="O5548">
        <v>0</v>
      </c>
      <c r="P5548">
        <v>50.704999999999998</v>
      </c>
      <c r="Q5548" t="s">
        <v>211</v>
      </c>
    </row>
    <row r="5549" spans="1:17" customFormat="1" x14ac:dyDescent="0.3">
      <c r="A5549" s="12" t="s">
        <v>1250</v>
      </c>
      <c r="B5549" t="s">
        <v>201</v>
      </c>
      <c r="C5549" t="s">
        <v>123</v>
      </c>
      <c r="D5549" t="s">
        <v>209</v>
      </c>
      <c r="E5549" t="s">
        <v>110</v>
      </c>
      <c r="F5549" t="s">
        <v>114</v>
      </c>
      <c r="G5549" t="s">
        <v>61</v>
      </c>
      <c r="H5549" t="s">
        <v>1307</v>
      </c>
      <c r="I5549">
        <v>70</v>
      </c>
      <c r="J5549">
        <v>89.88</v>
      </c>
      <c r="K5549">
        <v>90.21</v>
      </c>
      <c r="L5549">
        <v>-6291.6</v>
      </c>
      <c r="M5549">
        <v>-1.3</v>
      </c>
      <c r="N5549">
        <v>6292.9</v>
      </c>
      <c r="O5549">
        <v>0</v>
      </c>
      <c r="P5549">
        <v>23.1</v>
      </c>
      <c r="Q5549" t="s">
        <v>215</v>
      </c>
    </row>
    <row r="5550" spans="1:17" customFormat="1" x14ac:dyDescent="0.3">
      <c r="A5550" s="12" t="s">
        <v>1250</v>
      </c>
      <c r="B5550" t="s">
        <v>201</v>
      </c>
      <c r="C5550" t="s">
        <v>123</v>
      </c>
      <c r="D5550" t="s">
        <v>209</v>
      </c>
      <c r="E5550" t="s">
        <v>110</v>
      </c>
      <c r="F5550" t="s">
        <v>114</v>
      </c>
      <c r="G5550" t="s">
        <v>61</v>
      </c>
      <c r="H5550" t="s">
        <v>1308</v>
      </c>
      <c r="I5550">
        <v>-140</v>
      </c>
      <c r="J5550">
        <v>88.74</v>
      </c>
      <c r="K5550">
        <v>89.2</v>
      </c>
      <c r="L5550">
        <v>12423.6</v>
      </c>
      <c r="M5550">
        <v>-1.3</v>
      </c>
      <c r="N5550">
        <v>-12592.594999999999</v>
      </c>
      <c r="O5550">
        <v>-170.29499999999999</v>
      </c>
      <c r="P5550">
        <v>-64.400000000000006</v>
      </c>
      <c r="Q5550" t="s">
        <v>3</v>
      </c>
    </row>
    <row r="5551" spans="1:17" customFormat="1" x14ac:dyDescent="0.3">
      <c r="A5551" s="12" t="s">
        <v>1250</v>
      </c>
      <c r="B5551" t="s">
        <v>201</v>
      </c>
      <c r="C5551" t="s">
        <v>213</v>
      </c>
      <c r="E5551" t="s">
        <v>110</v>
      </c>
      <c r="F5551" t="s">
        <v>114</v>
      </c>
      <c r="G5551" t="s">
        <v>61</v>
      </c>
      <c r="I5551">
        <v>0</v>
      </c>
      <c r="L5551">
        <v>-167.69499999999999</v>
      </c>
      <c r="M5551">
        <v>-2.6</v>
      </c>
      <c r="N5551">
        <v>0</v>
      </c>
      <c r="O5551">
        <v>-170.29499999999999</v>
      </c>
      <c r="P5551">
        <v>9.4049999999999994</v>
      </c>
    </row>
    <row r="5552" spans="1:17" customFormat="1" x14ac:dyDescent="0.3">
      <c r="A5552" s="12" t="s">
        <v>1250</v>
      </c>
      <c r="B5552" t="s">
        <v>201</v>
      </c>
      <c r="C5552" t="s">
        <v>123</v>
      </c>
      <c r="D5552" t="s">
        <v>209</v>
      </c>
      <c r="E5552" t="s">
        <v>110</v>
      </c>
      <c r="F5552" t="s">
        <v>114</v>
      </c>
      <c r="G5552" t="s">
        <v>41</v>
      </c>
      <c r="H5552" t="s">
        <v>1309</v>
      </c>
      <c r="I5552">
        <v>-500</v>
      </c>
      <c r="J5552">
        <v>48.682479999999998</v>
      </c>
      <c r="K5552">
        <v>48.47</v>
      </c>
      <c r="L5552">
        <v>24341.24</v>
      </c>
      <c r="M5552">
        <v>-3.5</v>
      </c>
      <c r="N5552">
        <v>-20954.255000000001</v>
      </c>
      <c r="O5552">
        <v>3383.4850000000001</v>
      </c>
      <c r="P5552">
        <v>106.24</v>
      </c>
      <c r="Q5552" t="s">
        <v>230</v>
      </c>
    </row>
    <row r="5553" spans="1:17" customFormat="1" x14ac:dyDescent="0.3">
      <c r="A5553" s="12" t="s">
        <v>1250</v>
      </c>
      <c r="B5553" t="s">
        <v>201</v>
      </c>
      <c r="C5553" t="s">
        <v>213</v>
      </c>
      <c r="E5553" t="s">
        <v>110</v>
      </c>
      <c r="F5553" t="s">
        <v>114</v>
      </c>
      <c r="G5553" t="s">
        <v>41</v>
      </c>
      <c r="I5553">
        <v>-500</v>
      </c>
      <c r="L5553">
        <v>24341.24</v>
      </c>
      <c r="M5553">
        <v>-3.5</v>
      </c>
      <c r="N5553">
        <v>-20954.255000000001</v>
      </c>
      <c r="O5553">
        <v>3383.4850000000001</v>
      </c>
      <c r="P5553">
        <v>106.24</v>
      </c>
    </row>
    <row r="5554" spans="1:17" customFormat="1" x14ac:dyDescent="0.3">
      <c r="A5554" s="12" t="s">
        <v>1250</v>
      </c>
      <c r="B5554" t="s">
        <v>201</v>
      </c>
      <c r="C5554" t="s">
        <v>97</v>
      </c>
      <c r="E5554" t="s">
        <v>110</v>
      </c>
      <c r="F5554" t="s">
        <v>114</v>
      </c>
      <c r="L5554">
        <v>58990.16</v>
      </c>
      <c r="M5554">
        <v>-45.1</v>
      </c>
      <c r="N5554">
        <v>-33828.543329</v>
      </c>
      <c r="O5554">
        <v>20302.383339</v>
      </c>
      <c r="P5554">
        <v>55.8</v>
      </c>
      <c r="Q5554" t="s">
        <v>257</v>
      </c>
    </row>
    <row r="5555" spans="1:17" customFormat="1" x14ac:dyDescent="0.3">
      <c r="A5555" s="12" t="s">
        <v>1250</v>
      </c>
      <c r="B5555" t="s">
        <v>201</v>
      </c>
      <c r="C5555" t="s">
        <v>120</v>
      </c>
      <c r="D5555" t="s">
        <v>192</v>
      </c>
      <c r="E5555" t="s">
        <v>100</v>
      </c>
      <c r="F5555" t="s">
        <v>181</v>
      </c>
      <c r="G5555" t="s">
        <v>0</v>
      </c>
      <c r="H5555" t="s">
        <v>202</v>
      </c>
      <c r="I5555" t="s">
        <v>193</v>
      </c>
      <c r="J5555" t="s">
        <v>203</v>
      </c>
      <c r="K5555" t="s">
        <v>204</v>
      </c>
      <c r="L5555" t="s">
        <v>258</v>
      </c>
      <c r="M5555" t="s">
        <v>206</v>
      </c>
      <c r="N5555" t="s">
        <v>1</v>
      </c>
      <c r="O5555" t="s">
        <v>207</v>
      </c>
      <c r="P5555" t="s">
        <v>208</v>
      </c>
      <c r="Q5555" t="s">
        <v>165</v>
      </c>
    </row>
    <row r="5556" spans="1:17" customFormat="1" x14ac:dyDescent="0.3">
      <c r="A5556" s="12" t="s">
        <v>1250</v>
      </c>
      <c r="B5556" t="s">
        <v>201</v>
      </c>
      <c r="C5556" t="s">
        <v>123</v>
      </c>
      <c r="D5556" t="s">
        <v>209</v>
      </c>
      <c r="E5556" t="s">
        <v>112</v>
      </c>
      <c r="F5556" t="s">
        <v>114</v>
      </c>
      <c r="G5556" t="s">
        <v>1157</v>
      </c>
      <c r="H5556" t="s">
        <v>1310</v>
      </c>
      <c r="I5556">
        <v>2</v>
      </c>
      <c r="J5556">
        <v>5737</v>
      </c>
      <c r="K5556">
        <v>5800.5</v>
      </c>
      <c r="L5556">
        <v>-57370</v>
      </c>
      <c r="M5556">
        <v>0</v>
      </c>
      <c r="N5556">
        <v>57750</v>
      </c>
      <c r="O5556">
        <v>380</v>
      </c>
      <c r="P5556">
        <v>635</v>
      </c>
      <c r="Q5556" t="s">
        <v>3</v>
      </c>
    </row>
    <row r="5557" spans="1:17" customFormat="1" x14ac:dyDescent="0.3">
      <c r="A5557" s="12" t="s">
        <v>1250</v>
      </c>
      <c r="B5557" t="s">
        <v>201</v>
      </c>
      <c r="C5557" t="s">
        <v>123</v>
      </c>
      <c r="D5557" t="s">
        <v>209</v>
      </c>
      <c r="E5557" t="s">
        <v>112</v>
      </c>
      <c r="F5557" t="s">
        <v>114</v>
      </c>
      <c r="G5557" t="s">
        <v>1157</v>
      </c>
      <c r="H5557" t="s">
        <v>1311</v>
      </c>
      <c r="I5557">
        <v>-2</v>
      </c>
      <c r="J5557">
        <v>5895</v>
      </c>
      <c r="K5557">
        <v>5892.5</v>
      </c>
      <c r="L5557">
        <v>58950</v>
      </c>
      <c r="M5557">
        <v>-6</v>
      </c>
      <c r="N5557">
        <v>-58944</v>
      </c>
      <c r="O5557">
        <v>0</v>
      </c>
      <c r="P5557">
        <v>25</v>
      </c>
      <c r="Q5557" t="s">
        <v>215</v>
      </c>
    </row>
    <row r="5558" spans="1:17" customFormat="1" x14ac:dyDescent="0.3">
      <c r="A5558" s="12" t="s">
        <v>1250</v>
      </c>
      <c r="B5558" t="s">
        <v>201</v>
      </c>
      <c r="C5558" t="s">
        <v>123</v>
      </c>
      <c r="D5558" t="s">
        <v>209</v>
      </c>
      <c r="E5558" t="s">
        <v>112</v>
      </c>
      <c r="F5558" t="s">
        <v>114</v>
      </c>
      <c r="G5558" t="s">
        <v>1157</v>
      </c>
      <c r="H5558" t="s">
        <v>1312</v>
      </c>
      <c r="I5558">
        <v>2</v>
      </c>
      <c r="J5558">
        <v>5888.5</v>
      </c>
      <c r="K5558">
        <v>5892.5</v>
      </c>
      <c r="L5558">
        <v>-58885</v>
      </c>
      <c r="M5558">
        <v>-6</v>
      </c>
      <c r="N5558">
        <v>58944</v>
      </c>
      <c r="O5558">
        <v>53</v>
      </c>
      <c r="P5558">
        <v>40</v>
      </c>
      <c r="Q5558" t="s">
        <v>3</v>
      </c>
    </row>
    <row r="5559" spans="1:17" customFormat="1" x14ac:dyDescent="0.3">
      <c r="A5559" s="12" t="s">
        <v>1250</v>
      </c>
      <c r="B5559" t="s">
        <v>201</v>
      </c>
      <c r="C5559" t="s">
        <v>213</v>
      </c>
      <c r="E5559" t="s">
        <v>112</v>
      </c>
      <c r="F5559" t="s">
        <v>114</v>
      </c>
      <c r="G5559" t="s">
        <v>1157</v>
      </c>
      <c r="I5559">
        <v>2</v>
      </c>
      <c r="L5559">
        <v>-57305</v>
      </c>
      <c r="M5559">
        <v>-12</v>
      </c>
      <c r="N5559">
        <v>57750</v>
      </c>
      <c r="O5559">
        <v>433</v>
      </c>
      <c r="P5559">
        <v>700</v>
      </c>
    </row>
    <row r="5560" spans="1:17" customFormat="1" x14ac:dyDescent="0.3">
      <c r="A5560" s="12" t="s">
        <v>1250</v>
      </c>
      <c r="B5560" t="s">
        <v>201</v>
      </c>
      <c r="C5560" t="s">
        <v>123</v>
      </c>
      <c r="D5560" t="s">
        <v>209</v>
      </c>
      <c r="E5560" t="s">
        <v>112</v>
      </c>
      <c r="F5560" t="s">
        <v>114</v>
      </c>
      <c r="G5560" t="s">
        <v>1158</v>
      </c>
      <c r="H5560" t="s">
        <v>1313</v>
      </c>
      <c r="I5560">
        <v>-1</v>
      </c>
      <c r="J5560">
        <v>20036.25</v>
      </c>
      <c r="K5560">
        <v>19975</v>
      </c>
      <c r="L5560">
        <v>40072.5</v>
      </c>
      <c r="M5560">
        <v>0</v>
      </c>
      <c r="N5560">
        <v>-40072.5</v>
      </c>
      <c r="O5560">
        <v>0</v>
      </c>
      <c r="P5560">
        <v>122.5</v>
      </c>
      <c r="Q5560" t="s">
        <v>215</v>
      </c>
    </row>
    <row r="5561" spans="1:17" customFormat="1" x14ac:dyDescent="0.3">
      <c r="A5561" s="12" t="s">
        <v>1250</v>
      </c>
      <c r="B5561" t="s">
        <v>201</v>
      </c>
      <c r="C5561" t="s">
        <v>123</v>
      </c>
      <c r="D5561" t="s">
        <v>209</v>
      </c>
      <c r="E5561" t="s">
        <v>112</v>
      </c>
      <c r="F5561" t="s">
        <v>114</v>
      </c>
      <c r="G5561" t="s">
        <v>1158</v>
      </c>
      <c r="H5561" t="s">
        <v>1314</v>
      </c>
      <c r="I5561">
        <v>1</v>
      </c>
      <c r="J5561">
        <v>19987</v>
      </c>
      <c r="K5561">
        <v>19975</v>
      </c>
      <c r="L5561">
        <v>-39974</v>
      </c>
      <c r="M5561">
        <v>0</v>
      </c>
      <c r="N5561">
        <v>40127.5</v>
      </c>
      <c r="O5561">
        <v>153.5</v>
      </c>
      <c r="P5561">
        <v>-24</v>
      </c>
      <c r="Q5561" t="s">
        <v>3</v>
      </c>
    </row>
    <row r="5562" spans="1:17" customFormat="1" x14ac:dyDescent="0.3">
      <c r="A5562" s="12" t="s">
        <v>1250</v>
      </c>
      <c r="B5562" t="s">
        <v>201</v>
      </c>
      <c r="C5562" t="s">
        <v>123</v>
      </c>
      <c r="D5562" t="s">
        <v>209</v>
      </c>
      <c r="E5562" t="s">
        <v>112</v>
      </c>
      <c r="F5562" t="s">
        <v>114</v>
      </c>
      <c r="G5562" t="s">
        <v>1158</v>
      </c>
      <c r="H5562" t="s">
        <v>1315</v>
      </c>
      <c r="I5562">
        <v>-1</v>
      </c>
      <c r="J5562">
        <v>19966.25</v>
      </c>
      <c r="K5562">
        <v>19990.25</v>
      </c>
      <c r="L5562">
        <v>39932.5</v>
      </c>
      <c r="M5562">
        <v>0</v>
      </c>
      <c r="N5562">
        <v>-39932.5</v>
      </c>
      <c r="O5562">
        <v>0</v>
      </c>
      <c r="P5562">
        <v>-48</v>
      </c>
      <c r="Q5562" t="s">
        <v>215</v>
      </c>
    </row>
    <row r="5563" spans="1:17" customFormat="1" x14ac:dyDescent="0.3">
      <c r="A5563" s="12" t="s">
        <v>1250</v>
      </c>
      <c r="B5563" t="s">
        <v>201</v>
      </c>
      <c r="C5563" t="s">
        <v>123</v>
      </c>
      <c r="D5563" t="s">
        <v>209</v>
      </c>
      <c r="E5563" t="s">
        <v>112</v>
      </c>
      <c r="F5563" t="s">
        <v>114</v>
      </c>
      <c r="G5563" t="s">
        <v>1158</v>
      </c>
      <c r="H5563" t="s">
        <v>1316</v>
      </c>
      <c r="I5563">
        <v>1</v>
      </c>
      <c r="J5563">
        <v>19893.75</v>
      </c>
      <c r="K5563">
        <v>19990.25</v>
      </c>
      <c r="L5563">
        <v>-39787.5</v>
      </c>
      <c r="M5563">
        <v>0</v>
      </c>
      <c r="N5563">
        <v>40127.5</v>
      </c>
      <c r="O5563">
        <v>340</v>
      </c>
      <c r="P5563">
        <v>193</v>
      </c>
      <c r="Q5563" t="s">
        <v>3</v>
      </c>
    </row>
    <row r="5564" spans="1:17" customFormat="1" x14ac:dyDescent="0.3">
      <c r="A5564" s="12" t="s">
        <v>1250</v>
      </c>
      <c r="B5564" t="s">
        <v>201</v>
      </c>
      <c r="C5564" t="s">
        <v>123</v>
      </c>
      <c r="D5564" t="s">
        <v>209</v>
      </c>
      <c r="E5564" t="s">
        <v>112</v>
      </c>
      <c r="F5564" t="s">
        <v>114</v>
      </c>
      <c r="G5564" t="s">
        <v>1158</v>
      </c>
      <c r="H5564" t="s">
        <v>1317</v>
      </c>
      <c r="I5564">
        <v>-1</v>
      </c>
      <c r="J5564">
        <v>19949</v>
      </c>
      <c r="K5564">
        <v>19990.25</v>
      </c>
      <c r="L5564">
        <v>39898</v>
      </c>
      <c r="M5564">
        <v>0</v>
      </c>
      <c r="N5564">
        <v>-39898</v>
      </c>
      <c r="O5564">
        <v>0</v>
      </c>
      <c r="P5564">
        <v>-82.5</v>
      </c>
      <c r="Q5564" t="s">
        <v>215</v>
      </c>
    </row>
    <row r="5565" spans="1:17" customFormat="1" x14ac:dyDescent="0.3">
      <c r="A5565" s="12" t="s">
        <v>1250</v>
      </c>
      <c r="B5565" t="s">
        <v>201</v>
      </c>
      <c r="C5565" t="s">
        <v>123</v>
      </c>
      <c r="D5565" t="s">
        <v>209</v>
      </c>
      <c r="E5565" t="s">
        <v>112</v>
      </c>
      <c r="F5565" t="s">
        <v>114</v>
      </c>
      <c r="G5565" t="s">
        <v>1158</v>
      </c>
      <c r="H5565" t="s">
        <v>1318</v>
      </c>
      <c r="I5565">
        <v>1</v>
      </c>
      <c r="J5565">
        <v>19962.75</v>
      </c>
      <c r="K5565">
        <v>19990.25</v>
      </c>
      <c r="L5565">
        <v>-39925.5</v>
      </c>
      <c r="M5565">
        <v>0</v>
      </c>
      <c r="N5565">
        <v>40127.5</v>
      </c>
      <c r="O5565">
        <v>202</v>
      </c>
      <c r="P5565">
        <v>55</v>
      </c>
      <c r="Q5565" t="s">
        <v>3</v>
      </c>
    </row>
    <row r="5566" spans="1:17" customFormat="1" x14ac:dyDescent="0.3">
      <c r="A5566" s="12" t="s">
        <v>1250</v>
      </c>
      <c r="B5566" t="s">
        <v>201</v>
      </c>
      <c r="C5566" t="s">
        <v>123</v>
      </c>
      <c r="D5566" t="s">
        <v>209</v>
      </c>
      <c r="E5566" t="s">
        <v>112</v>
      </c>
      <c r="F5566" t="s">
        <v>114</v>
      </c>
      <c r="G5566" t="s">
        <v>1158</v>
      </c>
      <c r="H5566" t="s">
        <v>1319</v>
      </c>
      <c r="I5566">
        <v>-1</v>
      </c>
      <c r="J5566">
        <v>19976.5</v>
      </c>
      <c r="K5566">
        <v>20298.5</v>
      </c>
      <c r="L5566">
        <v>39953</v>
      </c>
      <c r="M5566">
        <v>0</v>
      </c>
      <c r="N5566">
        <v>-39953</v>
      </c>
      <c r="O5566">
        <v>0</v>
      </c>
      <c r="P5566">
        <v>-644</v>
      </c>
      <c r="Q5566" t="s">
        <v>215</v>
      </c>
    </row>
    <row r="5567" spans="1:17" customFormat="1" x14ac:dyDescent="0.3">
      <c r="A5567" s="12" t="s">
        <v>1250</v>
      </c>
      <c r="B5567" t="s">
        <v>201</v>
      </c>
      <c r="C5567" t="s">
        <v>123</v>
      </c>
      <c r="D5567" t="s">
        <v>209</v>
      </c>
      <c r="E5567" t="s">
        <v>112</v>
      </c>
      <c r="F5567" t="s">
        <v>114</v>
      </c>
      <c r="G5567" t="s">
        <v>1158</v>
      </c>
      <c r="H5567" t="s">
        <v>1320</v>
      </c>
      <c r="I5567">
        <v>-1</v>
      </c>
      <c r="J5567">
        <v>20250</v>
      </c>
      <c r="K5567">
        <v>20298.5</v>
      </c>
      <c r="L5567">
        <v>40500</v>
      </c>
      <c r="M5567">
        <v>0</v>
      </c>
      <c r="N5567">
        <v>-40500</v>
      </c>
      <c r="O5567">
        <v>0</v>
      </c>
      <c r="P5567">
        <v>-97</v>
      </c>
      <c r="Q5567" t="s">
        <v>215</v>
      </c>
    </row>
    <row r="5568" spans="1:17" customFormat="1" x14ac:dyDescent="0.3">
      <c r="A5568" s="12" t="s">
        <v>1250</v>
      </c>
      <c r="B5568" t="s">
        <v>201</v>
      </c>
      <c r="C5568" t="s">
        <v>123</v>
      </c>
      <c r="D5568" t="s">
        <v>209</v>
      </c>
      <c r="E5568" t="s">
        <v>112</v>
      </c>
      <c r="F5568" t="s">
        <v>114</v>
      </c>
      <c r="G5568" t="s">
        <v>1158</v>
      </c>
      <c r="H5568" t="s">
        <v>1321</v>
      </c>
      <c r="I5568">
        <v>1</v>
      </c>
      <c r="J5568">
        <v>20441</v>
      </c>
      <c r="K5568">
        <v>20429.75</v>
      </c>
      <c r="L5568">
        <v>-40882</v>
      </c>
      <c r="M5568">
        <v>0</v>
      </c>
      <c r="N5568">
        <v>40127.5</v>
      </c>
      <c r="O5568">
        <v>-754.5</v>
      </c>
      <c r="P5568">
        <v>-22.5</v>
      </c>
      <c r="Q5568" t="s">
        <v>3</v>
      </c>
    </row>
    <row r="5569" spans="1:17" customFormat="1" x14ac:dyDescent="0.3">
      <c r="A5569" s="12" t="s">
        <v>1250</v>
      </c>
      <c r="B5569" t="s">
        <v>201</v>
      </c>
      <c r="C5569" t="s">
        <v>123</v>
      </c>
      <c r="D5569" t="s">
        <v>209</v>
      </c>
      <c r="E5569" t="s">
        <v>112</v>
      </c>
      <c r="F5569" t="s">
        <v>114</v>
      </c>
      <c r="G5569" t="s">
        <v>1158</v>
      </c>
      <c r="H5569" t="s">
        <v>1322</v>
      </c>
      <c r="I5569">
        <v>1</v>
      </c>
      <c r="J5569">
        <v>20475.75</v>
      </c>
      <c r="K5569">
        <v>20450</v>
      </c>
      <c r="L5569">
        <v>-40951.5</v>
      </c>
      <c r="M5569">
        <v>-3</v>
      </c>
      <c r="N5569">
        <v>40128</v>
      </c>
      <c r="O5569">
        <v>-826.5</v>
      </c>
      <c r="P5569">
        <v>-51.5</v>
      </c>
      <c r="Q5569" t="s">
        <v>3</v>
      </c>
    </row>
    <row r="5570" spans="1:17" customFormat="1" x14ac:dyDescent="0.3">
      <c r="A5570" s="12" t="s">
        <v>1250</v>
      </c>
      <c r="B5570" t="s">
        <v>201</v>
      </c>
      <c r="C5570" t="s">
        <v>123</v>
      </c>
      <c r="D5570" t="s">
        <v>209</v>
      </c>
      <c r="E5570" t="s">
        <v>112</v>
      </c>
      <c r="F5570" t="s">
        <v>114</v>
      </c>
      <c r="G5570" t="s">
        <v>1158</v>
      </c>
      <c r="H5570" t="s">
        <v>1323</v>
      </c>
      <c r="I5570">
        <v>-1</v>
      </c>
      <c r="J5570">
        <v>20485</v>
      </c>
      <c r="K5570">
        <v>20450</v>
      </c>
      <c r="L5570">
        <v>40970</v>
      </c>
      <c r="M5570">
        <v>-3</v>
      </c>
      <c r="N5570">
        <v>-40967</v>
      </c>
      <c r="O5570">
        <v>0</v>
      </c>
      <c r="P5570">
        <v>70</v>
      </c>
      <c r="Q5570" t="s">
        <v>215</v>
      </c>
    </row>
    <row r="5571" spans="1:17" customFormat="1" x14ac:dyDescent="0.3">
      <c r="A5571" s="12" t="s">
        <v>1250</v>
      </c>
      <c r="B5571" t="s">
        <v>201</v>
      </c>
      <c r="C5571" t="s">
        <v>123</v>
      </c>
      <c r="D5571" t="s">
        <v>209</v>
      </c>
      <c r="E5571" t="s">
        <v>112</v>
      </c>
      <c r="F5571" t="s">
        <v>114</v>
      </c>
      <c r="G5571" t="s">
        <v>1158</v>
      </c>
      <c r="H5571" t="s">
        <v>1324</v>
      </c>
      <c r="I5571">
        <v>1</v>
      </c>
      <c r="J5571">
        <v>20593.5</v>
      </c>
      <c r="K5571">
        <v>20619.25</v>
      </c>
      <c r="L5571">
        <v>-41187</v>
      </c>
      <c r="M5571">
        <v>-3</v>
      </c>
      <c r="N5571">
        <v>40128</v>
      </c>
      <c r="O5571">
        <v>-1062</v>
      </c>
      <c r="P5571">
        <v>51.5</v>
      </c>
      <c r="Q5571" t="s">
        <v>3</v>
      </c>
    </row>
    <row r="5572" spans="1:17" customFormat="1" x14ac:dyDescent="0.3">
      <c r="A5572" s="12" t="s">
        <v>1250</v>
      </c>
      <c r="B5572" t="s">
        <v>201</v>
      </c>
      <c r="C5572" t="s">
        <v>123</v>
      </c>
      <c r="D5572" t="s">
        <v>209</v>
      </c>
      <c r="E5572" t="s">
        <v>112</v>
      </c>
      <c r="F5572" t="s">
        <v>114</v>
      </c>
      <c r="G5572" t="s">
        <v>1158</v>
      </c>
      <c r="H5572" t="s">
        <v>1325</v>
      </c>
      <c r="I5572">
        <v>2</v>
      </c>
      <c r="J5572">
        <v>20440</v>
      </c>
      <c r="K5572">
        <v>20342</v>
      </c>
      <c r="L5572">
        <v>-81760</v>
      </c>
      <c r="M5572">
        <v>-6</v>
      </c>
      <c r="N5572">
        <v>80244.5</v>
      </c>
      <c r="O5572">
        <v>-1521.5</v>
      </c>
      <c r="P5572">
        <v>-392</v>
      </c>
      <c r="Q5572" t="s">
        <v>3</v>
      </c>
    </row>
    <row r="5573" spans="1:17" customFormat="1" x14ac:dyDescent="0.3">
      <c r="A5573" s="12" t="s">
        <v>1250</v>
      </c>
      <c r="B5573" t="s">
        <v>201</v>
      </c>
      <c r="C5573" t="s">
        <v>123</v>
      </c>
      <c r="D5573" t="s">
        <v>209</v>
      </c>
      <c r="E5573" t="s">
        <v>112</v>
      </c>
      <c r="F5573" t="s">
        <v>114</v>
      </c>
      <c r="G5573" t="s">
        <v>1158</v>
      </c>
      <c r="H5573" t="s">
        <v>1326</v>
      </c>
      <c r="I5573">
        <v>1</v>
      </c>
      <c r="J5573">
        <v>20353.25</v>
      </c>
      <c r="K5573">
        <v>20349.5</v>
      </c>
      <c r="L5573">
        <v>-40706.5</v>
      </c>
      <c r="M5573">
        <v>-3</v>
      </c>
      <c r="N5573">
        <v>40072.5</v>
      </c>
      <c r="O5573">
        <v>-637</v>
      </c>
      <c r="P5573">
        <v>-7.5</v>
      </c>
      <c r="Q5573" t="s">
        <v>3</v>
      </c>
    </row>
    <row r="5574" spans="1:17" customFormat="1" x14ac:dyDescent="0.3">
      <c r="A5574" s="12" t="s">
        <v>1250</v>
      </c>
      <c r="B5574" t="s">
        <v>201</v>
      </c>
      <c r="C5574" t="s">
        <v>123</v>
      </c>
      <c r="D5574" t="s">
        <v>209</v>
      </c>
      <c r="E5574" t="s">
        <v>112</v>
      </c>
      <c r="F5574" t="s">
        <v>114</v>
      </c>
      <c r="G5574" t="s">
        <v>1158</v>
      </c>
      <c r="H5574" t="s">
        <v>1327</v>
      </c>
      <c r="I5574">
        <v>1</v>
      </c>
      <c r="J5574">
        <v>20374</v>
      </c>
      <c r="K5574">
        <v>20368</v>
      </c>
      <c r="L5574">
        <v>-40748</v>
      </c>
      <c r="M5574">
        <v>-3</v>
      </c>
      <c r="N5574">
        <v>39932.5</v>
      </c>
      <c r="O5574">
        <v>-818.5</v>
      </c>
      <c r="P5574">
        <v>-12</v>
      </c>
      <c r="Q5574" t="s">
        <v>3</v>
      </c>
    </row>
    <row r="5575" spans="1:17" customFormat="1" x14ac:dyDescent="0.3">
      <c r="A5575" s="12" t="s">
        <v>1250</v>
      </c>
      <c r="B5575" t="s">
        <v>201</v>
      </c>
      <c r="C5575" t="s">
        <v>123</v>
      </c>
      <c r="D5575" t="s">
        <v>209</v>
      </c>
      <c r="E5575" t="s">
        <v>112</v>
      </c>
      <c r="F5575" t="s">
        <v>114</v>
      </c>
      <c r="G5575" t="s">
        <v>1158</v>
      </c>
      <c r="H5575" t="s">
        <v>1328</v>
      </c>
      <c r="I5575">
        <v>-1</v>
      </c>
      <c r="J5575">
        <v>20361</v>
      </c>
      <c r="K5575">
        <v>20368</v>
      </c>
      <c r="L5575">
        <v>40722</v>
      </c>
      <c r="M5575">
        <v>-3</v>
      </c>
      <c r="N5575">
        <v>-40719</v>
      </c>
      <c r="O5575">
        <v>0</v>
      </c>
      <c r="P5575">
        <v>-14</v>
      </c>
      <c r="Q5575" t="s">
        <v>215</v>
      </c>
    </row>
    <row r="5576" spans="1:17" customFormat="1" x14ac:dyDescent="0.3">
      <c r="A5576" s="12" t="s">
        <v>1250</v>
      </c>
      <c r="B5576" t="s">
        <v>201</v>
      </c>
      <c r="C5576" t="s">
        <v>123</v>
      </c>
      <c r="D5576" t="s">
        <v>209</v>
      </c>
      <c r="E5576" t="s">
        <v>112</v>
      </c>
      <c r="F5576" t="s">
        <v>114</v>
      </c>
      <c r="G5576" t="s">
        <v>1158</v>
      </c>
      <c r="H5576" t="s">
        <v>1329</v>
      </c>
      <c r="I5576">
        <v>1</v>
      </c>
      <c r="J5576">
        <v>20364.75</v>
      </c>
      <c r="K5576">
        <v>20220.5</v>
      </c>
      <c r="L5576">
        <v>-40729.5</v>
      </c>
      <c r="M5576">
        <v>-3</v>
      </c>
      <c r="N5576">
        <v>39898</v>
      </c>
      <c r="O5576">
        <v>-834.5</v>
      </c>
      <c r="P5576">
        <v>-288.5</v>
      </c>
      <c r="Q5576" t="s">
        <v>3</v>
      </c>
    </row>
    <row r="5577" spans="1:17" customFormat="1" x14ac:dyDescent="0.3">
      <c r="A5577" s="12" t="s">
        <v>1250</v>
      </c>
      <c r="B5577" t="s">
        <v>201</v>
      </c>
      <c r="C5577" t="s">
        <v>123</v>
      </c>
      <c r="D5577" t="s">
        <v>209</v>
      </c>
      <c r="E5577" t="s">
        <v>112</v>
      </c>
      <c r="F5577" t="s">
        <v>114</v>
      </c>
      <c r="G5577" t="s">
        <v>1158</v>
      </c>
      <c r="H5577" t="s">
        <v>1330</v>
      </c>
      <c r="I5577">
        <v>1</v>
      </c>
      <c r="J5577">
        <v>20174.5</v>
      </c>
      <c r="K5577">
        <v>20220.5</v>
      </c>
      <c r="L5577">
        <v>-40349</v>
      </c>
      <c r="M5577">
        <v>-3</v>
      </c>
      <c r="N5577">
        <v>39953</v>
      </c>
      <c r="O5577">
        <v>-399</v>
      </c>
      <c r="P5577">
        <v>92</v>
      </c>
      <c r="Q5577" t="s">
        <v>3</v>
      </c>
    </row>
    <row r="5578" spans="1:17" customFormat="1" x14ac:dyDescent="0.3">
      <c r="A5578" s="12" t="s">
        <v>1250</v>
      </c>
      <c r="B5578" t="s">
        <v>201</v>
      </c>
      <c r="C5578" t="s">
        <v>123</v>
      </c>
      <c r="D5578" t="s">
        <v>209</v>
      </c>
      <c r="E5578" t="s">
        <v>112</v>
      </c>
      <c r="F5578" t="s">
        <v>114</v>
      </c>
      <c r="G5578" t="s">
        <v>1158</v>
      </c>
      <c r="H5578" t="s">
        <v>1331</v>
      </c>
      <c r="I5578">
        <v>-1</v>
      </c>
      <c r="J5578">
        <v>20277.5</v>
      </c>
      <c r="K5578">
        <v>20380.25</v>
      </c>
      <c r="L5578">
        <v>40555</v>
      </c>
      <c r="M5578">
        <v>-3</v>
      </c>
      <c r="N5578">
        <v>-40552</v>
      </c>
      <c r="O5578">
        <v>0</v>
      </c>
      <c r="P5578">
        <v>-205.5</v>
      </c>
      <c r="Q5578" t="s">
        <v>215</v>
      </c>
    </row>
    <row r="5579" spans="1:17" customFormat="1" x14ac:dyDescent="0.3">
      <c r="A5579" s="12" t="s">
        <v>1250</v>
      </c>
      <c r="B5579" t="s">
        <v>201</v>
      </c>
      <c r="C5579" t="s">
        <v>123</v>
      </c>
      <c r="D5579" t="s">
        <v>209</v>
      </c>
      <c r="E5579" t="s">
        <v>112</v>
      </c>
      <c r="F5579" t="s">
        <v>114</v>
      </c>
      <c r="G5579" t="s">
        <v>1158</v>
      </c>
      <c r="H5579" t="s">
        <v>1332</v>
      </c>
      <c r="I5579">
        <v>-2</v>
      </c>
      <c r="J5579">
        <v>20623</v>
      </c>
      <c r="K5579">
        <v>20498.75</v>
      </c>
      <c r="L5579">
        <v>82492</v>
      </c>
      <c r="M5579">
        <v>-6</v>
      </c>
      <c r="N5579">
        <v>-82486</v>
      </c>
      <c r="O5579">
        <v>0</v>
      </c>
      <c r="P5579">
        <v>497</v>
      </c>
      <c r="Q5579" t="s">
        <v>215</v>
      </c>
    </row>
    <row r="5580" spans="1:17" customFormat="1" x14ac:dyDescent="0.3">
      <c r="A5580" s="12" t="s">
        <v>1250</v>
      </c>
      <c r="B5580" t="s">
        <v>201</v>
      </c>
      <c r="C5580" t="s">
        <v>123</v>
      </c>
      <c r="D5580" t="s">
        <v>209</v>
      </c>
      <c r="E5580" t="s">
        <v>112</v>
      </c>
      <c r="F5580" t="s">
        <v>114</v>
      </c>
      <c r="G5580" t="s">
        <v>1158</v>
      </c>
      <c r="H5580" t="s">
        <v>1333</v>
      </c>
      <c r="I5580">
        <v>-1</v>
      </c>
      <c r="J5580">
        <v>20500</v>
      </c>
      <c r="K5580">
        <v>20696.5</v>
      </c>
      <c r="L5580">
        <v>41000</v>
      </c>
      <c r="M5580">
        <v>-3</v>
      </c>
      <c r="N5580">
        <v>-40997</v>
      </c>
      <c r="O5580">
        <v>0</v>
      </c>
      <c r="P5580">
        <v>-393</v>
      </c>
      <c r="Q5580" t="s">
        <v>215</v>
      </c>
    </row>
    <row r="5581" spans="1:17" customFormat="1" x14ac:dyDescent="0.3">
      <c r="A5581" s="12" t="s">
        <v>1250</v>
      </c>
      <c r="B5581" t="s">
        <v>201</v>
      </c>
      <c r="C5581" t="s">
        <v>123</v>
      </c>
      <c r="D5581" t="s">
        <v>209</v>
      </c>
      <c r="E5581" t="s">
        <v>112</v>
      </c>
      <c r="F5581" t="s">
        <v>114</v>
      </c>
      <c r="G5581" t="s">
        <v>1158</v>
      </c>
      <c r="H5581" t="s">
        <v>1334</v>
      </c>
      <c r="I5581">
        <v>1</v>
      </c>
      <c r="J5581">
        <v>20703.25</v>
      </c>
      <c r="K5581">
        <v>20534.75</v>
      </c>
      <c r="L5581">
        <v>-41406.5</v>
      </c>
      <c r="M5581">
        <v>-3</v>
      </c>
      <c r="N5581">
        <v>40500</v>
      </c>
      <c r="O5581">
        <v>-909.5</v>
      </c>
      <c r="P5581">
        <v>-337</v>
      </c>
      <c r="Q5581" t="s">
        <v>3</v>
      </c>
    </row>
    <row r="5582" spans="1:17" customFormat="1" x14ac:dyDescent="0.3">
      <c r="A5582" s="12" t="s">
        <v>1250</v>
      </c>
      <c r="B5582" t="s">
        <v>201</v>
      </c>
      <c r="C5582" t="s">
        <v>123</v>
      </c>
      <c r="D5582" t="s">
        <v>209</v>
      </c>
      <c r="E5582" t="s">
        <v>112</v>
      </c>
      <c r="F5582" t="s">
        <v>114</v>
      </c>
      <c r="G5582" t="s">
        <v>1158</v>
      </c>
      <c r="H5582" t="s">
        <v>1335</v>
      </c>
      <c r="I5582">
        <v>1</v>
      </c>
      <c r="J5582">
        <v>20490.25</v>
      </c>
      <c r="K5582">
        <v>20534.75</v>
      </c>
      <c r="L5582">
        <v>-40980.5</v>
      </c>
      <c r="M5582">
        <v>-3</v>
      </c>
      <c r="N5582">
        <v>40967</v>
      </c>
      <c r="O5582">
        <v>-16.5</v>
      </c>
      <c r="P5582">
        <v>89</v>
      </c>
      <c r="Q5582" t="s">
        <v>3</v>
      </c>
    </row>
    <row r="5583" spans="1:17" customFormat="1" x14ac:dyDescent="0.3">
      <c r="A5583" s="12" t="s">
        <v>1250</v>
      </c>
      <c r="B5583" t="s">
        <v>201</v>
      </c>
      <c r="C5583" t="s">
        <v>123</v>
      </c>
      <c r="D5583" t="s">
        <v>209</v>
      </c>
      <c r="E5583" t="s">
        <v>112</v>
      </c>
      <c r="F5583" t="s">
        <v>114</v>
      </c>
      <c r="G5583" t="s">
        <v>1158</v>
      </c>
      <c r="H5583" t="s">
        <v>1336</v>
      </c>
      <c r="I5583">
        <v>1</v>
      </c>
      <c r="J5583">
        <v>20095</v>
      </c>
      <c r="K5583">
        <v>20021.75</v>
      </c>
      <c r="L5583">
        <v>-40190</v>
      </c>
      <c r="M5583">
        <v>-3</v>
      </c>
      <c r="N5583">
        <v>40719</v>
      </c>
      <c r="O5583">
        <v>526</v>
      </c>
      <c r="P5583">
        <v>-146.5</v>
      </c>
      <c r="Q5583" t="s">
        <v>3</v>
      </c>
    </row>
    <row r="5584" spans="1:17" customFormat="1" x14ac:dyDescent="0.3">
      <c r="A5584" s="12" t="s">
        <v>1250</v>
      </c>
      <c r="B5584" t="s">
        <v>201</v>
      </c>
      <c r="C5584" t="s">
        <v>213</v>
      </c>
      <c r="E5584" t="s">
        <v>112</v>
      </c>
      <c r="F5584" t="s">
        <v>114</v>
      </c>
      <c r="G5584" t="s">
        <v>1158</v>
      </c>
      <c r="I5584">
        <v>4</v>
      </c>
      <c r="L5584">
        <v>-163482.5</v>
      </c>
      <c r="M5584">
        <v>-51</v>
      </c>
      <c r="N5584">
        <v>156975.5</v>
      </c>
      <c r="O5584">
        <v>-6558</v>
      </c>
      <c r="P5584">
        <v>-1595.5</v>
      </c>
    </row>
    <row r="5585" spans="1:17" customFormat="1" x14ac:dyDescent="0.3">
      <c r="A5585" s="12" t="s">
        <v>1250</v>
      </c>
      <c r="B5585" t="s">
        <v>201</v>
      </c>
      <c r="C5585" t="s">
        <v>97</v>
      </c>
      <c r="E5585" t="s">
        <v>112</v>
      </c>
      <c r="F5585" t="s">
        <v>114</v>
      </c>
      <c r="L5585">
        <v>-220787.5</v>
      </c>
      <c r="M5585">
        <v>-63</v>
      </c>
      <c r="N5585">
        <v>214725.5</v>
      </c>
      <c r="O5585">
        <v>-6125</v>
      </c>
      <c r="P5585">
        <v>-895.5</v>
      </c>
      <c r="Q5585" t="s">
        <v>257</v>
      </c>
    </row>
    <row r="5586" spans="1:17" customFormat="1" x14ac:dyDescent="0.3">
      <c r="A5586" s="12" t="s">
        <v>1250</v>
      </c>
      <c r="B5586" t="s">
        <v>157</v>
      </c>
      <c r="C5586" t="s">
        <v>120</v>
      </c>
      <c r="D5586" t="s">
        <v>181</v>
      </c>
      <c r="E5586" t="s">
        <v>268</v>
      </c>
      <c r="F5586" t="s">
        <v>269</v>
      </c>
      <c r="G5586" t="s">
        <v>270</v>
      </c>
    </row>
    <row r="5587" spans="1:17" customFormat="1" x14ac:dyDescent="0.3">
      <c r="A5587" s="12" t="s">
        <v>1250</v>
      </c>
      <c r="B5587" t="s">
        <v>157</v>
      </c>
      <c r="C5587" t="s">
        <v>123</v>
      </c>
      <c r="D5587" t="s">
        <v>114</v>
      </c>
      <c r="E5587" s="1">
        <v>45574</v>
      </c>
      <c r="F5587" t="s">
        <v>1337</v>
      </c>
      <c r="G5587">
        <v>11.55</v>
      </c>
    </row>
    <row r="5588" spans="1:17" customFormat="1" x14ac:dyDescent="0.3">
      <c r="A5588" s="12" t="s">
        <v>1250</v>
      </c>
      <c r="B5588" t="s">
        <v>157</v>
      </c>
      <c r="C5588" t="s">
        <v>123</v>
      </c>
      <c r="D5588" t="s">
        <v>114</v>
      </c>
      <c r="E5588" s="1">
        <v>45590</v>
      </c>
      <c r="F5588" t="s">
        <v>753</v>
      </c>
      <c r="G5588">
        <v>18.2</v>
      </c>
    </row>
    <row r="5589" spans="1:17" customFormat="1" x14ac:dyDescent="0.3">
      <c r="A5589" s="12" t="s">
        <v>1250</v>
      </c>
      <c r="B5589" t="s">
        <v>157</v>
      </c>
      <c r="C5589" t="s">
        <v>123</v>
      </c>
      <c r="D5589" t="s">
        <v>114</v>
      </c>
      <c r="E5589" s="1">
        <v>45596</v>
      </c>
      <c r="F5589" t="s">
        <v>1338</v>
      </c>
      <c r="G5589">
        <v>37.5</v>
      </c>
    </row>
    <row r="5590" spans="1:17" customFormat="1" x14ac:dyDescent="0.3">
      <c r="A5590" s="12" t="s">
        <v>1250</v>
      </c>
      <c r="B5590" t="s">
        <v>157</v>
      </c>
      <c r="C5590" t="s">
        <v>123</v>
      </c>
      <c r="D5590" t="s">
        <v>114</v>
      </c>
      <c r="E5590" s="1">
        <v>45596</v>
      </c>
      <c r="F5590" t="s">
        <v>1339</v>
      </c>
      <c r="G5590">
        <v>87.99</v>
      </c>
    </row>
    <row r="5591" spans="1:17" customFormat="1" x14ac:dyDescent="0.3">
      <c r="A5591" s="12" t="s">
        <v>1250</v>
      </c>
      <c r="B5591" t="s">
        <v>157</v>
      </c>
      <c r="C5591" t="s">
        <v>123</v>
      </c>
      <c r="D5591" t="s">
        <v>114</v>
      </c>
      <c r="E5591" s="1">
        <v>45596</v>
      </c>
      <c r="F5591" t="s">
        <v>1340</v>
      </c>
      <c r="G5591">
        <v>69.819999999999993</v>
      </c>
    </row>
    <row r="5592" spans="1:17" customFormat="1" x14ac:dyDescent="0.3">
      <c r="A5592" s="12" t="s">
        <v>1250</v>
      </c>
      <c r="B5592" t="s">
        <v>157</v>
      </c>
      <c r="C5592" t="s">
        <v>123</v>
      </c>
      <c r="D5592" t="s">
        <v>97</v>
      </c>
      <c r="G5592">
        <v>225.06</v>
      </c>
    </row>
    <row r="5593" spans="1:17" customFormat="1" x14ac:dyDescent="0.3">
      <c r="A5593" s="12" t="s">
        <v>1250</v>
      </c>
      <c r="B5593" t="s">
        <v>158</v>
      </c>
      <c r="C5593" t="s">
        <v>120</v>
      </c>
      <c r="D5593" t="s">
        <v>181</v>
      </c>
      <c r="E5593" t="s">
        <v>268</v>
      </c>
      <c r="F5593" t="s">
        <v>269</v>
      </c>
      <c r="G5593" t="s">
        <v>270</v>
      </c>
      <c r="H5593" t="s">
        <v>165</v>
      </c>
    </row>
    <row r="5594" spans="1:17" customFormat="1" x14ac:dyDescent="0.3">
      <c r="A5594" s="12" t="s">
        <v>1250</v>
      </c>
      <c r="B5594" t="s">
        <v>158</v>
      </c>
      <c r="C5594" t="s">
        <v>123</v>
      </c>
      <c r="D5594" t="s">
        <v>114</v>
      </c>
      <c r="E5594" s="1">
        <v>45574</v>
      </c>
      <c r="F5594" t="s">
        <v>1341</v>
      </c>
      <c r="G5594">
        <v>-2.89</v>
      </c>
    </row>
    <row r="5595" spans="1:17" customFormat="1" x14ac:dyDescent="0.3">
      <c r="A5595" s="12" t="s">
        <v>1250</v>
      </c>
      <c r="B5595" t="s">
        <v>158</v>
      </c>
      <c r="C5595" t="s">
        <v>123</v>
      </c>
      <c r="D5595" t="s">
        <v>114</v>
      </c>
      <c r="E5595" s="1">
        <v>45590</v>
      </c>
      <c r="F5595" t="s">
        <v>758</v>
      </c>
      <c r="G5595">
        <v>-4.55</v>
      </c>
    </row>
    <row r="5596" spans="1:17" customFormat="1" x14ac:dyDescent="0.3">
      <c r="A5596" s="12" t="s">
        <v>1250</v>
      </c>
      <c r="B5596" t="s">
        <v>158</v>
      </c>
      <c r="C5596" t="s">
        <v>123</v>
      </c>
      <c r="D5596" t="s">
        <v>114</v>
      </c>
      <c r="E5596" s="1">
        <v>45596</v>
      </c>
      <c r="F5596" t="s">
        <v>1342</v>
      </c>
      <c r="G5596">
        <v>-9.3800000000000008</v>
      </c>
    </row>
    <row r="5597" spans="1:17" customFormat="1" x14ac:dyDescent="0.3">
      <c r="A5597" s="12" t="s">
        <v>1250</v>
      </c>
      <c r="B5597" t="s">
        <v>158</v>
      </c>
      <c r="C5597" t="s">
        <v>123</v>
      </c>
      <c r="D5597" t="s">
        <v>114</v>
      </c>
      <c r="E5597" s="1">
        <v>45596</v>
      </c>
      <c r="F5597" t="s">
        <v>1343</v>
      </c>
      <c r="G5597">
        <v>-22</v>
      </c>
    </row>
    <row r="5598" spans="1:17" customFormat="1" x14ac:dyDescent="0.3">
      <c r="A5598" s="12" t="s">
        <v>1250</v>
      </c>
      <c r="B5598" t="s">
        <v>158</v>
      </c>
      <c r="C5598" t="s">
        <v>123</v>
      </c>
      <c r="D5598" t="s">
        <v>114</v>
      </c>
      <c r="E5598" s="1">
        <v>45596</v>
      </c>
      <c r="F5598" t="s">
        <v>1344</v>
      </c>
      <c r="G5598">
        <v>-17.46</v>
      </c>
    </row>
    <row r="5599" spans="1:17" customFormat="1" x14ac:dyDescent="0.3">
      <c r="A5599" s="12" t="s">
        <v>1250</v>
      </c>
      <c r="B5599" t="s">
        <v>158</v>
      </c>
      <c r="C5599" t="s">
        <v>123</v>
      </c>
      <c r="D5599" t="s">
        <v>97</v>
      </c>
      <c r="G5599">
        <v>-56.28</v>
      </c>
    </row>
    <row r="5600" spans="1:17" customFormat="1" x14ac:dyDescent="0.3">
      <c r="A5600" s="12" t="s">
        <v>1250</v>
      </c>
      <c r="B5600" t="s">
        <v>160</v>
      </c>
      <c r="C5600" t="s">
        <v>120</v>
      </c>
      <c r="D5600" t="s">
        <v>181</v>
      </c>
      <c r="E5600" t="s">
        <v>268</v>
      </c>
      <c r="F5600" t="s">
        <v>269</v>
      </c>
      <c r="G5600" t="s">
        <v>270</v>
      </c>
    </row>
    <row r="5601" spans="1:16" customFormat="1" x14ac:dyDescent="0.3">
      <c r="A5601" s="12" t="s">
        <v>1250</v>
      </c>
      <c r="B5601" t="s">
        <v>160</v>
      </c>
      <c r="C5601" t="s">
        <v>123</v>
      </c>
      <c r="D5601" t="s">
        <v>114</v>
      </c>
      <c r="E5601" s="1">
        <v>45568</v>
      </c>
      <c r="F5601" t="s">
        <v>1345</v>
      </c>
      <c r="G5601">
        <v>-53</v>
      </c>
    </row>
    <row r="5602" spans="1:16" customFormat="1" x14ac:dyDescent="0.3">
      <c r="A5602" s="12" t="s">
        <v>1250</v>
      </c>
      <c r="B5602" t="s">
        <v>160</v>
      </c>
      <c r="C5602" t="s">
        <v>123</v>
      </c>
      <c r="D5602" t="s">
        <v>97</v>
      </c>
      <c r="G5602">
        <v>-53</v>
      </c>
    </row>
    <row r="5603" spans="1:16" customFormat="1" x14ac:dyDescent="0.3">
      <c r="A5603" s="12" t="s">
        <v>1250</v>
      </c>
      <c r="B5603" t="s">
        <v>151</v>
      </c>
      <c r="C5603" t="s">
        <v>120</v>
      </c>
      <c r="D5603" t="s">
        <v>181</v>
      </c>
      <c r="E5603" t="s">
        <v>121</v>
      </c>
      <c r="F5603" t="s">
        <v>122</v>
      </c>
    </row>
    <row r="5604" spans="1:16" customFormat="1" x14ac:dyDescent="0.3">
      <c r="A5604" s="12" t="s">
        <v>1250</v>
      </c>
      <c r="B5604" t="s">
        <v>151</v>
      </c>
      <c r="C5604" t="s">
        <v>123</v>
      </c>
      <c r="D5604" t="s">
        <v>184</v>
      </c>
      <c r="E5604" t="s">
        <v>278</v>
      </c>
      <c r="F5604">
        <v>-51.91</v>
      </c>
    </row>
    <row r="5605" spans="1:16" customFormat="1" x14ac:dyDescent="0.3">
      <c r="A5605" s="12" t="s">
        <v>1250</v>
      </c>
      <c r="B5605" t="s">
        <v>151</v>
      </c>
      <c r="C5605" t="s">
        <v>123</v>
      </c>
      <c r="D5605" t="s">
        <v>184</v>
      </c>
      <c r="E5605" t="s">
        <v>279</v>
      </c>
      <c r="F5605">
        <v>51.69</v>
      </c>
    </row>
    <row r="5606" spans="1:16" customFormat="1" x14ac:dyDescent="0.3">
      <c r="A5606" s="12" t="s">
        <v>1250</v>
      </c>
      <c r="B5606" t="s">
        <v>151</v>
      </c>
      <c r="C5606" t="s">
        <v>123</v>
      </c>
      <c r="D5606" t="s">
        <v>184</v>
      </c>
      <c r="E5606" t="s">
        <v>280</v>
      </c>
      <c r="F5606">
        <v>53</v>
      </c>
    </row>
    <row r="5607" spans="1:16" customFormat="1" x14ac:dyDescent="0.3">
      <c r="A5607" s="12" t="s">
        <v>1250</v>
      </c>
      <c r="B5607" t="s">
        <v>151</v>
      </c>
      <c r="C5607" t="s">
        <v>123</v>
      </c>
      <c r="D5607" t="s">
        <v>184</v>
      </c>
      <c r="E5607" t="s">
        <v>281</v>
      </c>
      <c r="F5607">
        <v>0</v>
      </c>
    </row>
    <row r="5608" spans="1:16" customFormat="1" x14ac:dyDescent="0.3">
      <c r="A5608" s="12" t="s">
        <v>1250</v>
      </c>
      <c r="B5608" t="s">
        <v>151</v>
      </c>
      <c r="C5608" t="s">
        <v>123</v>
      </c>
      <c r="D5608" t="s">
        <v>184</v>
      </c>
      <c r="E5608" t="s">
        <v>282</v>
      </c>
      <c r="F5608">
        <v>52.78</v>
      </c>
    </row>
    <row r="5609" spans="1:16" customFormat="1" x14ac:dyDescent="0.3">
      <c r="A5609" s="12" t="s">
        <v>1250</v>
      </c>
      <c r="B5609" t="s">
        <v>159</v>
      </c>
      <c r="C5609" t="s">
        <v>120</v>
      </c>
      <c r="D5609" t="s">
        <v>100</v>
      </c>
      <c r="E5609" t="s">
        <v>181</v>
      </c>
      <c r="F5609" t="s">
        <v>0</v>
      </c>
      <c r="G5609" t="s">
        <v>268</v>
      </c>
      <c r="H5609" t="s">
        <v>283</v>
      </c>
      <c r="I5609" t="s">
        <v>284</v>
      </c>
      <c r="J5609" t="s">
        <v>193</v>
      </c>
      <c r="K5609" t="s">
        <v>285</v>
      </c>
      <c r="L5609" t="s">
        <v>286</v>
      </c>
      <c r="M5609" t="s">
        <v>287</v>
      </c>
      <c r="N5609" t="s">
        <v>288</v>
      </c>
      <c r="O5609" t="s">
        <v>289</v>
      </c>
      <c r="P5609" t="s">
        <v>165</v>
      </c>
    </row>
    <row r="5610" spans="1:16" customFormat="1" x14ac:dyDescent="0.3">
      <c r="A5610" s="12" t="s">
        <v>1250</v>
      </c>
      <c r="B5610" t="s">
        <v>159</v>
      </c>
      <c r="C5610" t="s">
        <v>123</v>
      </c>
      <c r="D5610" t="s">
        <v>290</v>
      </c>
      <c r="O5610">
        <v>140.66</v>
      </c>
    </row>
    <row r="5611" spans="1:16" customFormat="1" x14ac:dyDescent="0.3">
      <c r="A5611" s="12" t="s">
        <v>1250</v>
      </c>
      <c r="B5611" t="s">
        <v>159</v>
      </c>
      <c r="C5611" t="s">
        <v>123</v>
      </c>
      <c r="D5611" t="s">
        <v>110</v>
      </c>
      <c r="E5611" t="s">
        <v>114</v>
      </c>
      <c r="F5611" t="s">
        <v>65</v>
      </c>
      <c r="G5611" s="1">
        <v>45574</v>
      </c>
      <c r="H5611" s="1">
        <v>45552</v>
      </c>
      <c r="I5611" s="1">
        <v>45574</v>
      </c>
      <c r="J5611">
        <v>70</v>
      </c>
      <c r="K5611">
        <v>-2.89</v>
      </c>
      <c r="L5611">
        <v>0</v>
      </c>
      <c r="M5611">
        <v>0.16500000000000001</v>
      </c>
      <c r="N5611">
        <v>-11.55</v>
      </c>
      <c r="O5611">
        <v>-8.66</v>
      </c>
      <c r="P5611" t="s">
        <v>292</v>
      </c>
    </row>
    <row r="5612" spans="1:16" customFormat="1" x14ac:dyDescent="0.3">
      <c r="A5612" s="12" t="s">
        <v>1250</v>
      </c>
      <c r="B5612" t="s">
        <v>159</v>
      </c>
      <c r="C5612" t="s">
        <v>123</v>
      </c>
      <c r="D5612" t="s">
        <v>110</v>
      </c>
      <c r="E5612" t="s">
        <v>114</v>
      </c>
      <c r="F5612" t="s">
        <v>1155</v>
      </c>
      <c r="G5612" s="1">
        <v>45586</v>
      </c>
      <c r="H5612" s="1">
        <v>45587</v>
      </c>
      <c r="I5612" s="1">
        <v>45597</v>
      </c>
      <c r="J5612">
        <v>40</v>
      </c>
      <c r="K5612">
        <v>4.45</v>
      </c>
      <c r="L5612">
        <v>0</v>
      </c>
      <c r="M5612">
        <v>0.44500000000000001</v>
      </c>
      <c r="N5612">
        <v>17.8</v>
      </c>
      <c r="O5612">
        <v>13.35</v>
      </c>
      <c r="P5612" t="s">
        <v>291</v>
      </c>
    </row>
    <row r="5613" spans="1:16" customFormat="1" x14ac:dyDescent="0.3">
      <c r="A5613" s="12" t="s">
        <v>1250</v>
      </c>
      <c r="B5613" t="s">
        <v>159</v>
      </c>
      <c r="C5613" t="s">
        <v>123</v>
      </c>
      <c r="D5613" t="s">
        <v>110</v>
      </c>
      <c r="E5613" t="s">
        <v>114</v>
      </c>
      <c r="F5613" t="s">
        <v>18</v>
      </c>
      <c r="G5613" s="1">
        <v>45575</v>
      </c>
      <c r="H5613" s="1">
        <v>45576</v>
      </c>
      <c r="I5613" s="1">
        <v>45611</v>
      </c>
      <c r="J5613">
        <v>30</v>
      </c>
      <c r="K5613">
        <v>10.65</v>
      </c>
      <c r="L5613">
        <v>0</v>
      </c>
      <c r="M5613">
        <v>1.42</v>
      </c>
      <c r="N5613">
        <v>42.6</v>
      </c>
      <c r="O5613">
        <v>31.95</v>
      </c>
      <c r="P5613" t="s">
        <v>291</v>
      </c>
    </row>
    <row r="5614" spans="1:16" customFormat="1" x14ac:dyDescent="0.3">
      <c r="A5614" s="12" t="s">
        <v>1250</v>
      </c>
      <c r="B5614" t="s">
        <v>159</v>
      </c>
      <c r="C5614" t="s">
        <v>123</v>
      </c>
      <c r="D5614" t="s">
        <v>110</v>
      </c>
      <c r="E5614" t="s">
        <v>114</v>
      </c>
      <c r="F5614" t="s">
        <v>48</v>
      </c>
      <c r="G5614" s="1">
        <v>45590</v>
      </c>
      <c r="H5614" s="1">
        <v>45561</v>
      </c>
      <c r="I5614" s="1">
        <v>45590</v>
      </c>
      <c r="J5614">
        <v>65</v>
      </c>
      <c r="K5614">
        <v>-4.55</v>
      </c>
      <c r="L5614">
        <v>0</v>
      </c>
      <c r="M5614">
        <v>0.28000000000000003</v>
      </c>
      <c r="N5614">
        <v>-18.2</v>
      </c>
      <c r="O5614">
        <v>-13.65</v>
      </c>
      <c r="P5614" t="s">
        <v>292</v>
      </c>
    </row>
    <row r="5615" spans="1:16" customFormat="1" x14ac:dyDescent="0.3">
      <c r="A5615" s="12" t="s">
        <v>1250</v>
      </c>
      <c r="B5615" t="s">
        <v>159</v>
      </c>
      <c r="C5615" t="s">
        <v>123</v>
      </c>
      <c r="D5615" t="s">
        <v>110</v>
      </c>
      <c r="E5615" t="s">
        <v>114</v>
      </c>
      <c r="F5615" t="s">
        <v>70</v>
      </c>
      <c r="G5615" s="1">
        <v>45568</v>
      </c>
      <c r="H5615" s="1">
        <v>45569</v>
      </c>
      <c r="I5615" s="1">
        <v>45596</v>
      </c>
      <c r="J5615">
        <v>30</v>
      </c>
      <c r="K5615">
        <v>9.3800000000000008</v>
      </c>
      <c r="L5615">
        <v>0</v>
      </c>
      <c r="M5615">
        <v>1.25</v>
      </c>
      <c r="N5615">
        <v>37.5</v>
      </c>
      <c r="O5615">
        <v>28.12</v>
      </c>
      <c r="P5615" t="s">
        <v>291</v>
      </c>
    </row>
    <row r="5616" spans="1:16" customFormat="1" x14ac:dyDescent="0.3">
      <c r="A5616" s="12" t="s">
        <v>1250</v>
      </c>
      <c r="B5616" t="s">
        <v>159</v>
      </c>
      <c r="C5616" t="s">
        <v>123</v>
      </c>
      <c r="D5616" t="s">
        <v>110</v>
      </c>
      <c r="E5616" t="s">
        <v>114</v>
      </c>
      <c r="F5616" t="s">
        <v>70</v>
      </c>
      <c r="G5616" s="1">
        <v>45596</v>
      </c>
      <c r="H5616" s="1">
        <v>45569</v>
      </c>
      <c r="I5616" s="1">
        <v>45596</v>
      </c>
      <c r="J5616">
        <v>30</v>
      </c>
      <c r="K5616">
        <v>-9.3800000000000008</v>
      </c>
      <c r="L5616">
        <v>0</v>
      </c>
      <c r="M5616">
        <v>1.25</v>
      </c>
      <c r="N5616">
        <v>-37.5</v>
      </c>
      <c r="O5616">
        <v>-28.12</v>
      </c>
      <c r="P5616" t="s">
        <v>292</v>
      </c>
    </row>
    <row r="5617" spans="1:16" customFormat="1" x14ac:dyDescent="0.3">
      <c r="A5617" s="12" t="s">
        <v>1250</v>
      </c>
      <c r="B5617" t="s">
        <v>159</v>
      </c>
      <c r="C5617" t="s">
        <v>123</v>
      </c>
      <c r="D5617" t="s">
        <v>110</v>
      </c>
      <c r="E5617" t="s">
        <v>114</v>
      </c>
      <c r="F5617" t="s">
        <v>82</v>
      </c>
      <c r="G5617" s="1">
        <v>45596</v>
      </c>
      <c r="H5617" s="1">
        <v>45558</v>
      </c>
      <c r="I5617" s="1">
        <v>45596</v>
      </c>
      <c r="J5617">
        <v>130</v>
      </c>
      <c r="K5617">
        <v>-22</v>
      </c>
      <c r="L5617">
        <v>0</v>
      </c>
      <c r="M5617">
        <v>0.67686000000000002</v>
      </c>
      <c r="N5617">
        <v>-87.99</v>
      </c>
      <c r="O5617">
        <v>-65.989999999999995</v>
      </c>
      <c r="P5617" t="s">
        <v>292</v>
      </c>
    </row>
    <row r="5618" spans="1:16" customFormat="1" x14ac:dyDescent="0.3">
      <c r="A5618" s="12" t="s">
        <v>1250</v>
      </c>
      <c r="B5618" t="s">
        <v>159</v>
      </c>
      <c r="C5618" t="s">
        <v>123</v>
      </c>
      <c r="D5618" t="s">
        <v>110</v>
      </c>
      <c r="E5618" t="s">
        <v>114</v>
      </c>
      <c r="F5618" t="s">
        <v>86</v>
      </c>
      <c r="G5618" s="1">
        <v>45596</v>
      </c>
      <c r="H5618" s="1">
        <v>45555</v>
      </c>
      <c r="I5618" s="1">
        <v>45596</v>
      </c>
      <c r="J5618">
        <v>40</v>
      </c>
      <c r="K5618">
        <v>-17.46</v>
      </c>
      <c r="L5618">
        <v>0</v>
      </c>
      <c r="M5618">
        <v>1.7455309999999999</v>
      </c>
      <c r="N5618">
        <v>-69.819999999999993</v>
      </c>
      <c r="O5618">
        <v>-52.36</v>
      </c>
      <c r="P5618" t="s">
        <v>292</v>
      </c>
    </row>
    <row r="5619" spans="1:16" customFormat="1" x14ac:dyDescent="0.3">
      <c r="A5619" s="12" t="s">
        <v>1250</v>
      </c>
      <c r="B5619" t="s">
        <v>159</v>
      </c>
      <c r="C5619" t="s">
        <v>123</v>
      </c>
      <c r="D5619" t="s">
        <v>97</v>
      </c>
      <c r="K5619">
        <v>-31.8</v>
      </c>
      <c r="L5619">
        <v>0</v>
      </c>
      <c r="N5619">
        <v>-127.16</v>
      </c>
      <c r="O5619">
        <v>-95.36</v>
      </c>
    </row>
    <row r="5620" spans="1:16" customFormat="1" x14ac:dyDescent="0.3">
      <c r="A5620" s="12" t="s">
        <v>1250</v>
      </c>
      <c r="B5620" t="s">
        <v>159</v>
      </c>
      <c r="C5620" t="s">
        <v>123</v>
      </c>
      <c r="D5620" t="s">
        <v>293</v>
      </c>
      <c r="O5620">
        <v>45.3</v>
      </c>
    </row>
    <row r="5621" spans="1:16" customFormat="1" x14ac:dyDescent="0.3">
      <c r="A5621" s="12" t="s">
        <v>1250</v>
      </c>
      <c r="B5621" t="s">
        <v>294</v>
      </c>
      <c r="C5621" t="s">
        <v>120</v>
      </c>
      <c r="D5621" t="s">
        <v>100</v>
      </c>
      <c r="E5621" t="s">
        <v>0</v>
      </c>
      <c r="F5621" t="s">
        <v>269</v>
      </c>
      <c r="G5621" t="s">
        <v>295</v>
      </c>
      <c r="H5621" t="s">
        <v>296</v>
      </c>
      <c r="I5621" t="s">
        <v>1235</v>
      </c>
      <c r="J5621" t="s">
        <v>297</v>
      </c>
      <c r="K5621" t="s">
        <v>298</v>
      </c>
      <c r="L5621" t="s">
        <v>299</v>
      </c>
      <c r="M5621" t="s">
        <v>165</v>
      </c>
    </row>
    <row r="5622" spans="1:16" customFormat="1" x14ac:dyDescent="0.3">
      <c r="A5622" s="12" t="s">
        <v>1250</v>
      </c>
      <c r="B5622" t="s">
        <v>294</v>
      </c>
      <c r="C5622" t="s">
        <v>123</v>
      </c>
      <c r="D5622" t="s">
        <v>110</v>
      </c>
      <c r="E5622" t="s">
        <v>2</v>
      </c>
      <c r="F5622" t="s">
        <v>300</v>
      </c>
      <c r="G5622">
        <v>265598</v>
      </c>
      <c r="H5622" t="s">
        <v>301</v>
      </c>
      <c r="I5622" t="s">
        <v>2</v>
      </c>
      <c r="J5622" t="s">
        <v>302</v>
      </c>
      <c r="K5622">
        <v>1</v>
      </c>
      <c r="L5622" t="s">
        <v>303</v>
      </c>
    </row>
    <row r="5623" spans="1:16" customFormat="1" x14ac:dyDescent="0.3">
      <c r="A5623" s="12" t="s">
        <v>1250</v>
      </c>
      <c r="B5623" t="s">
        <v>294</v>
      </c>
      <c r="C5623" t="s">
        <v>123</v>
      </c>
      <c r="D5623" t="s">
        <v>110</v>
      </c>
      <c r="E5623" t="s">
        <v>45</v>
      </c>
      <c r="F5623" t="s">
        <v>692</v>
      </c>
      <c r="G5623">
        <v>4391</v>
      </c>
      <c r="H5623" t="s">
        <v>693</v>
      </c>
      <c r="I5623" t="s">
        <v>45</v>
      </c>
      <c r="J5623" t="s">
        <v>302</v>
      </c>
      <c r="K5623">
        <v>1</v>
      </c>
      <c r="L5623" t="s">
        <v>303</v>
      </c>
    </row>
    <row r="5624" spans="1:16" customFormat="1" x14ac:dyDescent="0.3">
      <c r="A5624" s="12" t="s">
        <v>1250</v>
      </c>
      <c r="B5624" t="s">
        <v>294</v>
      </c>
      <c r="C5624" t="s">
        <v>123</v>
      </c>
      <c r="D5624" t="s">
        <v>110</v>
      </c>
      <c r="E5624" t="s">
        <v>5</v>
      </c>
      <c r="F5624" t="s">
        <v>308</v>
      </c>
      <c r="G5624">
        <v>3691937</v>
      </c>
      <c r="H5624" t="s">
        <v>309</v>
      </c>
      <c r="I5624" t="s">
        <v>5</v>
      </c>
      <c r="J5624" t="s">
        <v>302</v>
      </c>
      <c r="K5624">
        <v>1</v>
      </c>
      <c r="L5624" t="s">
        <v>303</v>
      </c>
    </row>
    <row r="5625" spans="1:16" customFormat="1" x14ac:dyDescent="0.3">
      <c r="A5625" s="12" t="s">
        <v>1250</v>
      </c>
      <c r="B5625" t="s">
        <v>294</v>
      </c>
      <c r="C5625" t="s">
        <v>123</v>
      </c>
      <c r="D5625" t="s">
        <v>110</v>
      </c>
      <c r="E5625" t="s">
        <v>65</v>
      </c>
      <c r="F5625" t="s">
        <v>944</v>
      </c>
      <c r="G5625">
        <v>4493</v>
      </c>
      <c r="H5625" t="s">
        <v>945</v>
      </c>
      <c r="I5625" t="s">
        <v>65</v>
      </c>
      <c r="J5625" t="s">
        <v>306</v>
      </c>
      <c r="K5625">
        <v>1</v>
      </c>
      <c r="L5625" t="s">
        <v>303</v>
      </c>
    </row>
    <row r="5626" spans="1:16" customFormat="1" x14ac:dyDescent="0.3">
      <c r="A5626" s="12" t="s">
        <v>1250</v>
      </c>
      <c r="B5626" t="s">
        <v>294</v>
      </c>
      <c r="C5626" t="s">
        <v>123</v>
      </c>
      <c r="D5626" t="s">
        <v>110</v>
      </c>
      <c r="E5626" t="s">
        <v>58</v>
      </c>
      <c r="F5626" t="s">
        <v>834</v>
      </c>
      <c r="G5626">
        <v>653400472</v>
      </c>
      <c r="H5626" t="s">
        <v>835</v>
      </c>
      <c r="I5626" t="s">
        <v>58</v>
      </c>
      <c r="J5626" t="s">
        <v>302</v>
      </c>
      <c r="K5626">
        <v>1</v>
      </c>
      <c r="L5626" t="s">
        <v>382</v>
      </c>
    </row>
    <row r="5627" spans="1:16" customFormat="1" x14ac:dyDescent="0.3">
      <c r="A5627" s="12" t="s">
        <v>1250</v>
      </c>
      <c r="B5627" t="s">
        <v>294</v>
      </c>
      <c r="C5627" t="s">
        <v>123</v>
      </c>
      <c r="D5627" t="s">
        <v>110</v>
      </c>
      <c r="E5627" t="s">
        <v>7</v>
      </c>
      <c r="F5627" t="s">
        <v>312</v>
      </c>
      <c r="G5627">
        <v>313130367</v>
      </c>
      <c r="H5627" t="s">
        <v>313</v>
      </c>
      <c r="I5627" t="s">
        <v>7</v>
      </c>
      <c r="J5627" t="s">
        <v>302</v>
      </c>
      <c r="K5627">
        <v>1</v>
      </c>
      <c r="L5627" t="s">
        <v>303</v>
      </c>
    </row>
    <row r="5628" spans="1:16" customFormat="1" x14ac:dyDescent="0.3">
      <c r="A5628" s="12" t="s">
        <v>1250</v>
      </c>
      <c r="B5628" t="s">
        <v>294</v>
      </c>
      <c r="C5628" t="s">
        <v>123</v>
      </c>
      <c r="D5628" t="s">
        <v>110</v>
      </c>
      <c r="E5628" t="s">
        <v>8</v>
      </c>
      <c r="F5628" t="s">
        <v>314</v>
      </c>
      <c r="G5628">
        <v>10098</v>
      </c>
      <c r="H5628" t="s">
        <v>315</v>
      </c>
      <c r="I5628" t="s">
        <v>8</v>
      </c>
      <c r="J5628" t="s">
        <v>306</v>
      </c>
      <c r="K5628">
        <v>1</v>
      </c>
      <c r="L5628" t="s">
        <v>303</v>
      </c>
    </row>
    <row r="5629" spans="1:16" customFormat="1" x14ac:dyDescent="0.3">
      <c r="A5629" s="12" t="s">
        <v>1250</v>
      </c>
      <c r="B5629" t="s">
        <v>294</v>
      </c>
      <c r="C5629" t="s">
        <v>123</v>
      </c>
      <c r="D5629" t="s">
        <v>110</v>
      </c>
      <c r="E5629" t="s">
        <v>9</v>
      </c>
      <c r="F5629" t="s">
        <v>316</v>
      </c>
      <c r="G5629">
        <v>308728373</v>
      </c>
      <c r="H5629" t="s">
        <v>317</v>
      </c>
      <c r="I5629" t="s">
        <v>9</v>
      </c>
      <c r="J5629" t="s">
        <v>302</v>
      </c>
      <c r="K5629">
        <v>1</v>
      </c>
      <c r="L5629" t="s">
        <v>303</v>
      </c>
    </row>
    <row r="5630" spans="1:16" customFormat="1" x14ac:dyDescent="0.3">
      <c r="A5630" s="12" t="s">
        <v>1250</v>
      </c>
      <c r="B5630" t="s">
        <v>294</v>
      </c>
      <c r="C5630" t="s">
        <v>123</v>
      </c>
      <c r="D5630" t="s">
        <v>110</v>
      </c>
      <c r="E5630" t="s">
        <v>3</v>
      </c>
      <c r="F5630" t="s">
        <v>318</v>
      </c>
      <c r="G5630">
        <v>87335484</v>
      </c>
      <c r="H5630" t="s">
        <v>319</v>
      </c>
      <c r="I5630" t="s">
        <v>3</v>
      </c>
      <c r="J5630" t="s">
        <v>306</v>
      </c>
      <c r="K5630">
        <v>1</v>
      </c>
      <c r="L5630" t="s">
        <v>303</v>
      </c>
    </row>
    <row r="5631" spans="1:16" customFormat="1" x14ac:dyDescent="0.3">
      <c r="A5631" s="12" t="s">
        <v>1250</v>
      </c>
      <c r="B5631" t="s">
        <v>294</v>
      </c>
      <c r="C5631" t="s">
        <v>123</v>
      </c>
      <c r="D5631" t="s">
        <v>110</v>
      </c>
      <c r="E5631" t="s">
        <v>11</v>
      </c>
      <c r="F5631" t="s">
        <v>322</v>
      </c>
      <c r="G5631">
        <v>272997</v>
      </c>
      <c r="H5631" t="s">
        <v>323</v>
      </c>
      <c r="I5631" t="s">
        <v>11</v>
      </c>
      <c r="J5631" t="s">
        <v>302</v>
      </c>
      <c r="K5631">
        <v>1</v>
      </c>
      <c r="L5631" t="s">
        <v>303</v>
      </c>
    </row>
    <row r="5632" spans="1:16" customFormat="1" x14ac:dyDescent="0.3">
      <c r="A5632" s="12" t="s">
        <v>1250</v>
      </c>
      <c r="B5632" t="s">
        <v>294</v>
      </c>
      <c r="C5632" t="s">
        <v>123</v>
      </c>
      <c r="D5632" t="s">
        <v>110</v>
      </c>
      <c r="E5632" t="s">
        <v>1155</v>
      </c>
      <c r="F5632" t="s">
        <v>1236</v>
      </c>
      <c r="G5632">
        <v>346218218</v>
      </c>
      <c r="H5632" t="s">
        <v>1237</v>
      </c>
      <c r="I5632" t="s">
        <v>1155</v>
      </c>
      <c r="J5632" t="s">
        <v>306</v>
      </c>
      <c r="K5632">
        <v>1</v>
      </c>
      <c r="L5632" t="s">
        <v>303</v>
      </c>
    </row>
    <row r="5633" spans="1:12" customFormat="1" x14ac:dyDescent="0.3">
      <c r="A5633" s="12" t="s">
        <v>1250</v>
      </c>
      <c r="B5633" t="s">
        <v>294</v>
      </c>
      <c r="C5633" t="s">
        <v>123</v>
      </c>
      <c r="D5633" t="s">
        <v>110</v>
      </c>
      <c r="E5633" t="s">
        <v>18</v>
      </c>
      <c r="F5633" t="s">
        <v>336</v>
      </c>
      <c r="G5633">
        <v>7496</v>
      </c>
      <c r="H5633" t="s">
        <v>337</v>
      </c>
      <c r="I5633" t="s">
        <v>18</v>
      </c>
      <c r="J5633" t="s">
        <v>306</v>
      </c>
      <c r="K5633">
        <v>1</v>
      </c>
      <c r="L5633" t="s">
        <v>303</v>
      </c>
    </row>
    <row r="5634" spans="1:12" customFormat="1" x14ac:dyDescent="0.3">
      <c r="A5634" s="12" t="s">
        <v>1250</v>
      </c>
      <c r="B5634" t="s">
        <v>294</v>
      </c>
      <c r="C5634" t="s">
        <v>123</v>
      </c>
      <c r="D5634" t="s">
        <v>110</v>
      </c>
      <c r="E5634" t="s">
        <v>48</v>
      </c>
      <c r="F5634" t="s">
        <v>1238</v>
      </c>
      <c r="G5634">
        <v>498843743</v>
      </c>
      <c r="H5634" t="s">
        <v>699</v>
      </c>
      <c r="I5634" t="s">
        <v>48</v>
      </c>
      <c r="J5634" t="s">
        <v>306</v>
      </c>
      <c r="K5634">
        <v>1</v>
      </c>
      <c r="L5634" t="s">
        <v>303</v>
      </c>
    </row>
    <row r="5635" spans="1:12" customFormat="1" x14ac:dyDescent="0.3">
      <c r="A5635" s="12" t="s">
        <v>1250</v>
      </c>
      <c r="B5635" t="s">
        <v>294</v>
      </c>
      <c r="C5635" t="s">
        <v>123</v>
      </c>
      <c r="D5635" t="s">
        <v>110</v>
      </c>
      <c r="E5635" t="s">
        <v>54</v>
      </c>
      <c r="F5635" t="s">
        <v>761</v>
      </c>
      <c r="G5635">
        <v>691984365</v>
      </c>
      <c r="H5635" t="s">
        <v>762</v>
      </c>
      <c r="I5635" t="s">
        <v>54</v>
      </c>
      <c r="J5635" t="s">
        <v>306</v>
      </c>
      <c r="K5635">
        <v>1</v>
      </c>
      <c r="L5635" t="s">
        <v>303</v>
      </c>
    </row>
    <row r="5636" spans="1:12" customFormat="1" x14ac:dyDescent="0.3">
      <c r="A5636" s="12" t="s">
        <v>1250</v>
      </c>
      <c r="B5636" t="s">
        <v>294</v>
      </c>
      <c r="C5636" t="s">
        <v>123</v>
      </c>
      <c r="D5636" t="s">
        <v>110</v>
      </c>
      <c r="E5636" t="s">
        <v>19</v>
      </c>
      <c r="F5636" t="s">
        <v>338</v>
      </c>
      <c r="G5636">
        <v>208813719</v>
      </c>
      <c r="H5636" t="s">
        <v>339</v>
      </c>
      <c r="I5636" t="s">
        <v>19</v>
      </c>
      <c r="J5636" t="s">
        <v>302</v>
      </c>
      <c r="K5636">
        <v>1</v>
      </c>
      <c r="L5636" t="s">
        <v>303</v>
      </c>
    </row>
    <row r="5637" spans="1:12" customFormat="1" x14ac:dyDescent="0.3">
      <c r="A5637" s="12" t="s">
        <v>1250</v>
      </c>
      <c r="B5637" t="s">
        <v>294</v>
      </c>
      <c r="C5637" t="s">
        <v>123</v>
      </c>
      <c r="D5637" t="s">
        <v>110</v>
      </c>
      <c r="E5637" t="s">
        <v>22</v>
      </c>
      <c r="F5637" t="s">
        <v>344</v>
      </c>
      <c r="G5637">
        <v>403121976</v>
      </c>
      <c r="H5637" t="s">
        <v>345</v>
      </c>
      <c r="I5637" t="s">
        <v>22</v>
      </c>
      <c r="J5637" t="s">
        <v>306</v>
      </c>
      <c r="K5637">
        <v>1</v>
      </c>
      <c r="L5637" t="s">
        <v>303</v>
      </c>
    </row>
    <row r="5638" spans="1:12" customFormat="1" x14ac:dyDescent="0.3">
      <c r="A5638" s="12" t="s">
        <v>1250</v>
      </c>
      <c r="B5638" t="s">
        <v>294</v>
      </c>
      <c r="C5638" t="s">
        <v>123</v>
      </c>
      <c r="D5638" t="s">
        <v>110</v>
      </c>
      <c r="E5638" t="s">
        <v>24</v>
      </c>
      <c r="F5638" t="s">
        <v>348</v>
      </c>
      <c r="G5638">
        <v>404509190</v>
      </c>
      <c r="H5638" t="s">
        <v>349</v>
      </c>
      <c r="I5638" t="s">
        <v>24</v>
      </c>
      <c r="J5638" t="s">
        <v>306</v>
      </c>
      <c r="K5638">
        <v>1</v>
      </c>
      <c r="L5638" t="s">
        <v>303</v>
      </c>
    </row>
    <row r="5639" spans="1:12" customFormat="1" x14ac:dyDescent="0.3">
      <c r="A5639" s="12" t="s">
        <v>1250</v>
      </c>
      <c r="B5639" t="s">
        <v>294</v>
      </c>
      <c r="C5639" t="s">
        <v>123</v>
      </c>
      <c r="D5639" t="s">
        <v>110</v>
      </c>
      <c r="E5639" t="s">
        <v>1253</v>
      </c>
      <c r="F5639" t="s">
        <v>1346</v>
      </c>
      <c r="G5639">
        <v>39046959</v>
      </c>
      <c r="H5639" t="s">
        <v>1347</v>
      </c>
      <c r="I5639" t="s">
        <v>1253</v>
      </c>
      <c r="J5639" t="s">
        <v>1348</v>
      </c>
      <c r="K5639">
        <v>1</v>
      </c>
      <c r="L5639" t="s">
        <v>413</v>
      </c>
    </row>
    <row r="5640" spans="1:12" customFormat="1" x14ac:dyDescent="0.3">
      <c r="A5640" s="12" t="s">
        <v>1250</v>
      </c>
      <c r="B5640" t="s">
        <v>294</v>
      </c>
      <c r="C5640" t="s">
        <v>123</v>
      </c>
      <c r="D5640" t="s">
        <v>110</v>
      </c>
      <c r="E5640" t="s">
        <v>1254</v>
      </c>
      <c r="F5640" t="s">
        <v>1349</v>
      </c>
      <c r="G5640">
        <v>9579970</v>
      </c>
      <c r="H5640" t="s">
        <v>1350</v>
      </c>
      <c r="I5640" t="s">
        <v>1254</v>
      </c>
      <c r="J5640" t="s">
        <v>623</v>
      </c>
      <c r="K5640">
        <v>1</v>
      </c>
      <c r="L5640" t="s">
        <v>413</v>
      </c>
    </row>
    <row r="5641" spans="1:12" customFormat="1" x14ac:dyDescent="0.3">
      <c r="A5641" s="12" t="s">
        <v>1250</v>
      </c>
      <c r="B5641" t="s">
        <v>294</v>
      </c>
      <c r="C5641" t="s">
        <v>123</v>
      </c>
      <c r="D5641" t="s">
        <v>110</v>
      </c>
      <c r="E5641" t="s">
        <v>70</v>
      </c>
      <c r="F5641" t="s">
        <v>954</v>
      </c>
      <c r="G5641">
        <v>1520593</v>
      </c>
      <c r="H5641" t="s">
        <v>955</v>
      </c>
      <c r="I5641" t="s">
        <v>70</v>
      </c>
      <c r="J5641" t="s">
        <v>306</v>
      </c>
      <c r="K5641">
        <v>1</v>
      </c>
      <c r="L5641" t="s">
        <v>303</v>
      </c>
    </row>
    <row r="5642" spans="1:12" customFormat="1" x14ac:dyDescent="0.3">
      <c r="A5642" s="12" t="s">
        <v>1250</v>
      </c>
      <c r="B5642" t="s">
        <v>294</v>
      </c>
      <c r="C5642" t="s">
        <v>123</v>
      </c>
      <c r="D5642" t="s">
        <v>110</v>
      </c>
      <c r="E5642" t="s">
        <v>49</v>
      </c>
      <c r="F5642" t="s">
        <v>700</v>
      </c>
      <c r="G5642">
        <v>9160</v>
      </c>
      <c r="H5642" t="s">
        <v>701</v>
      </c>
      <c r="I5642" t="s">
        <v>49</v>
      </c>
      <c r="J5642" t="s">
        <v>306</v>
      </c>
      <c r="K5642">
        <v>1</v>
      </c>
      <c r="L5642" t="s">
        <v>303</v>
      </c>
    </row>
    <row r="5643" spans="1:12" customFormat="1" x14ac:dyDescent="0.3">
      <c r="A5643" s="12" t="s">
        <v>1250</v>
      </c>
      <c r="B5643" t="s">
        <v>294</v>
      </c>
      <c r="C5643" t="s">
        <v>123</v>
      </c>
      <c r="D5643" t="s">
        <v>110</v>
      </c>
      <c r="E5643" t="s">
        <v>26</v>
      </c>
      <c r="F5643" t="s">
        <v>352</v>
      </c>
      <c r="G5643">
        <v>6497</v>
      </c>
      <c r="H5643" t="s">
        <v>353</v>
      </c>
      <c r="I5643" t="s">
        <v>26</v>
      </c>
      <c r="J5643" t="s">
        <v>306</v>
      </c>
      <c r="K5643">
        <v>1</v>
      </c>
      <c r="L5643" t="s">
        <v>303</v>
      </c>
    </row>
    <row r="5644" spans="1:12" customFormat="1" x14ac:dyDescent="0.3">
      <c r="A5644" s="12" t="s">
        <v>1250</v>
      </c>
      <c r="B5644" t="s">
        <v>294</v>
      </c>
      <c r="C5644" t="s">
        <v>123</v>
      </c>
      <c r="D5644" t="s">
        <v>110</v>
      </c>
      <c r="E5644" t="s">
        <v>27</v>
      </c>
      <c r="F5644" t="s">
        <v>354</v>
      </c>
      <c r="G5644">
        <v>107113386</v>
      </c>
      <c r="H5644" t="s">
        <v>355</v>
      </c>
      <c r="I5644" t="s">
        <v>27</v>
      </c>
      <c r="J5644" t="s">
        <v>302</v>
      </c>
      <c r="K5644">
        <v>1</v>
      </c>
      <c r="L5644" t="s">
        <v>303</v>
      </c>
    </row>
    <row r="5645" spans="1:12" customFormat="1" x14ac:dyDescent="0.3">
      <c r="A5645" s="12" t="s">
        <v>1250</v>
      </c>
      <c r="B5645" t="s">
        <v>294</v>
      </c>
      <c r="C5645" t="s">
        <v>123</v>
      </c>
      <c r="D5645" t="s">
        <v>110</v>
      </c>
      <c r="E5645" t="s">
        <v>28</v>
      </c>
      <c r="F5645" t="s">
        <v>356</v>
      </c>
      <c r="G5645">
        <v>272093</v>
      </c>
      <c r="H5645" t="s">
        <v>357</v>
      </c>
      <c r="I5645" t="s">
        <v>28</v>
      </c>
      <c r="J5645" t="s">
        <v>302</v>
      </c>
      <c r="K5645">
        <v>1</v>
      </c>
      <c r="L5645" t="s">
        <v>303</v>
      </c>
    </row>
    <row r="5646" spans="1:12" customFormat="1" x14ac:dyDescent="0.3">
      <c r="A5646" s="12" t="s">
        <v>1250</v>
      </c>
      <c r="B5646" t="s">
        <v>294</v>
      </c>
      <c r="C5646" t="s">
        <v>123</v>
      </c>
      <c r="D5646" t="s">
        <v>110</v>
      </c>
      <c r="E5646" t="s">
        <v>71</v>
      </c>
      <c r="F5646" t="s">
        <v>956</v>
      </c>
      <c r="G5646">
        <v>4815747</v>
      </c>
      <c r="H5646" t="s">
        <v>957</v>
      </c>
      <c r="I5646" t="s">
        <v>71</v>
      </c>
      <c r="J5646" t="s">
        <v>302</v>
      </c>
      <c r="K5646">
        <v>1</v>
      </c>
      <c r="L5646" t="s">
        <v>303</v>
      </c>
    </row>
    <row r="5647" spans="1:12" customFormat="1" x14ac:dyDescent="0.3">
      <c r="A5647" s="12" t="s">
        <v>1250</v>
      </c>
      <c r="B5647" t="s">
        <v>294</v>
      </c>
      <c r="C5647" t="s">
        <v>123</v>
      </c>
      <c r="D5647" t="s">
        <v>110</v>
      </c>
      <c r="E5647" t="s">
        <v>29</v>
      </c>
      <c r="F5647" t="s">
        <v>358</v>
      </c>
      <c r="G5647">
        <v>110619459</v>
      </c>
      <c r="H5647" t="s">
        <v>359</v>
      </c>
      <c r="I5647" t="s">
        <v>29</v>
      </c>
      <c r="J5647" t="s">
        <v>302</v>
      </c>
      <c r="K5647">
        <v>1</v>
      </c>
      <c r="L5647" t="s">
        <v>303</v>
      </c>
    </row>
    <row r="5648" spans="1:12" customFormat="1" x14ac:dyDescent="0.3">
      <c r="A5648" s="12" t="s">
        <v>1250</v>
      </c>
      <c r="B5648" t="s">
        <v>294</v>
      </c>
      <c r="C5648" t="s">
        <v>123</v>
      </c>
      <c r="D5648" t="s">
        <v>110</v>
      </c>
      <c r="E5648" t="s">
        <v>39</v>
      </c>
      <c r="F5648" t="s">
        <v>617</v>
      </c>
      <c r="G5648">
        <v>273544</v>
      </c>
      <c r="H5648" t="s">
        <v>618</v>
      </c>
      <c r="I5648" t="s">
        <v>39</v>
      </c>
      <c r="J5648" t="s">
        <v>302</v>
      </c>
      <c r="K5648">
        <v>1</v>
      </c>
      <c r="L5648" t="s">
        <v>303</v>
      </c>
    </row>
    <row r="5649" spans="1:12" customFormat="1" x14ac:dyDescent="0.3">
      <c r="A5649" s="12" t="s">
        <v>1250</v>
      </c>
      <c r="B5649" t="s">
        <v>294</v>
      </c>
      <c r="C5649" t="s">
        <v>123</v>
      </c>
      <c r="D5649" t="s">
        <v>110</v>
      </c>
      <c r="E5649" t="s">
        <v>82</v>
      </c>
      <c r="F5649" t="s">
        <v>1058</v>
      </c>
      <c r="G5649">
        <v>320227571</v>
      </c>
      <c r="H5649" t="s">
        <v>1059</v>
      </c>
      <c r="I5649" t="s">
        <v>82</v>
      </c>
      <c r="J5649" t="s">
        <v>302</v>
      </c>
      <c r="K5649">
        <v>1</v>
      </c>
      <c r="L5649" t="s">
        <v>413</v>
      </c>
    </row>
    <row r="5650" spans="1:12" customFormat="1" x14ac:dyDescent="0.3">
      <c r="A5650" s="12" t="s">
        <v>1250</v>
      </c>
      <c r="B5650" t="s">
        <v>294</v>
      </c>
      <c r="C5650" t="s">
        <v>123</v>
      </c>
      <c r="D5650" t="s">
        <v>110</v>
      </c>
      <c r="E5650" t="s">
        <v>1255</v>
      </c>
      <c r="F5650" t="s">
        <v>1351</v>
      </c>
      <c r="G5650">
        <v>319359375</v>
      </c>
      <c r="H5650" t="s">
        <v>1352</v>
      </c>
      <c r="I5650" t="s">
        <v>1255</v>
      </c>
      <c r="J5650" t="s">
        <v>623</v>
      </c>
      <c r="K5650">
        <v>1</v>
      </c>
      <c r="L5650" t="s">
        <v>413</v>
      </c>
    </row>
    <row r="5651" spans="1:12" customFormat="1" x14ac:dyDescent="0.3">
      <c r="A5651" s="12" t="s">
        <v>1250</v>
      </c>
      <c r="B5651" t="s">
        <v>294</v>
      </c>
      <c r="C5651" t="s">
        <v>123</v>
      </c>
      <c r="D5651" t="s">
        <v>110</v>
      </c>
      <c r="E5651" t="s">
        <v>51</v>
      </c>
      <c r="F5651" t="s">
        <v>704</v>
      </c>
      <c r="G5651">
        <v>731466419</v>
      </c>
      <c r="H5651" t="s">
        <v>1353</v>
      </c>
      <c r="I5651" t="s">
        <v>51</v>
      </c>
      <c r="J5651" t="s">
        <v>302</v>
      </c>
      <c r="K5651">
        <v>1</v>
      </c>
      <c r="L5651" t="s">
        <v>303</v>
      </c>
    </row>
    <row r="5652" spans="1:12" customFormat="1" x14ac:dyDescent="0.3">
      <c r="A5652" s="12" t="s">
        <v>1250</v>
      </c>
      <c r="B5652" t="s">
        <v>294</v>
      </c>
      <c r="C5652" t="s">
        <v>123</v>
      </c>
      <c r="D5652" t="s">
        <v>110</v>
      </c>
      <c r="E5652" t="s">
        <v>83</v>
      </c>
      <c r="F5652" t="s">
        <v>1060</v>
      </c>
      <c r="G5652">
        <v>12658194</v>
      </c>
      <c r="H5652" t="s">
        <v>1061</v>
      </c>
      <c r="I5652" t="s">
        <v>83</v>
      </c>
      <c r="J5652" t="s">
        <v>302</v>
      </c>
      <c r="K5652">
        <v>1</v>
      </c>
      <c r="L5652" t="s">
        <v>413</v>
      </c>
    </row>
    <row r="5653" spans="1:12" customFormat="1" x14ac:dyDescent="0.3">
      <c r="A5653" s="12" t="s">
        <v>1250</v>
      </c>
      <c r="B5653" t="s">
        <v>294</v>
      </c>
      <c r="C5653" t="s">
        <v>123</v>
      </c>
      <c r="D5653" t="s">
        <v>110</v>
      </c>
      <c r="E5653" t="s">
        <v>86</v>
      </c>
      <c r="F5653" t="s">
        <v>1120</v>
      </c>
      <c r="G5653">
        <v>756733</v>
      </c>
      <c r="H5653" t="s">
        <v>1121</v>
      </c>
      <c r="I5653" t="s">
        <v>86</v>
      </c>
      <c r="J5653" t="s">
        <v>623</v>
      </c>
      <c r="K5653">
        <v>1</v>
      </c>
      <c r="L5653" t="s">
        <v>413</v>
      </c>
    </row>
    <row r="5654" spans="1:12" customFormat="1" x14ac:dyDescent="0.3">
      <c r="A5654" s="12" t="s">
        <v>1250</v>
      </c>
      <c r="B5654" t="s">
        <v>294</v>
      </c>
      <c r="C5654" t="s">
        <v>123</v>
      </c>
      <c r="D5654" t="s">
        <v>110</v>
      </c>
      <c r="E5654" t="s">
        <v>77</v>
      </c>
      <c r="F5654" t="s">
        <v>968</v>
      </c>
      <c r="G5654">
        <v>76792991</v>
      </c>
      <c r="H5654" t="s">
        <v>969</v>
      </c>
      <c r="I5654" t="s">
        <v>77</v>
      </c>
      <c r="J5654" t="s">
        <v>302</v>
      </c>
      <c r="K5654">
        <v>1</v>
      </c>
      <c r="L5654" t="s">
        <v>303</v>
      </c>
    </row>
    <row r="5655" spans="1:12" customFormat="1" x14ac:dyDescent="0.3">
      <c r="A5655" s="12" t="s">
        <v>1250</v>
      </c>
      <c r="B5655" t="s">
        <v>294</v>
      </c>
      <c r="C5655" t="s">
        <v>123</v>
      </c>
      <c r="D5655" t="s">
        <v>110</v>
      </c>
      <c r="E5655" t="s">
        <v>87</v>
      </c>
      <c r="F5655" t="s">
        <v>1122</v>
      </c>
      <c r="G5655">
        <v>406709270</v>
      </c>
      <c r="H5655" t="s">
        <v>1123</v>
      </c>
      <c r="I5655" t="s">
        <v>87</v>
      </c>
      <c r="J5655" t="s">
        <v>306</v>
      </c>
      <c r="K5655">
        <v>1</v>
      </c>
      <c r="L5655" t="s">
        <v>303</v>
      </c>
    </row>
    <row r="5656" spans="1:12" customFormat="1" x14ac:dyDescent="0.3">
      <c r="A5656" s="12" t="s">
        <v>1250</v>
      </c>
      <c r="B5656" t="s">
        <v>294</v>
      </c>
      <c r="C5656" t="s">
        <v>123</v>
      </c>
      <c r="D5656" t="s">
        <v>110</v>
      </c>
      <c r="E5656" t="s">
        <v>78</v>
      </c>
      <c r="F5656" t="s">
        <v>970</v>
      </c>
      <c r="G5656">
        <v>13096</v>
      </c>
      <c r="H5656" t="s">
        <v>971</v>
      </c>
      <c r="I5656" t="s">
        <v>78</v>
      </c>
      <c r="J5656" t="s">
        <v>302</v>
      </c>
      <c r="K5656">
        <v>1</v>
      </c>
      <c r="L5656" t="s">
        <v>303</v>
      </c>
    </row>
    <row r="5657" spans="1:12" customFormat="1" x14ac:dyDescent="0.3">
      <c r="A5657" s="12" t="s">
        <v>1250</v>
      </c>
      <c r="B5657" t="s">
        <v>294</v>
      </c>
      <c r="C5657" t="s">
        <v>123</v>
      </c>
      <c r="D5657" t="s">
        <v>110</v>
      </c>
      <c r="E5657" t="s">
        <v>32</v>
      </c>
      <c r="F5657" t="s">
        <v>364</v>
      </c>
      <c r="G5657">
        <v>365207014</v>
      </c>
      <c r="H5657" t="s">
        <v>365</v>
      </c>
      <c r="I5657" t="s">
        <v>32</v>
      </c>
      <c r="J5657" t="s">
        <v>306</v>
      </c>
      <c r="K5657">
        <v>1</v>
      </c>
      <c r="L5657" t="s">
        <v>303</v>
      </c>
    </row>
    <row r="5658" spans="1:12" customFormat="1" x14ac:dyDescent="0.3">
      <c r="A5658" s="12" t="s">
        <v>1250</v>
      </c>
      <c r="B5658" t="s">
        <v>294</v>
      </c>
      <c r="C5658" t="s">
        <v>123</v>
      </c>
      <c r="D5658" t="s">
        <v>110</v>
      </c>
      <c r="E5658" t="s">
        <v>1256</v>
      </c>
      <c r="F5658" t="s">
        <v>1354</v>
      </c>
      <c r="G5658">
        <v>13206</v>
      </c>
      <c r="H5658" t="s">
        <v>1355</v>
      </c>
      <c r="I5658" t="s">
        <v>1256</v>
      </c>
      <c r="J5658" t="s">
        <v>306</v>
      </c>
      <c r="K5658">
        <v>1</v>
      </c>
      <c r="L5658" t="s">
        <v>303</v>
      </c>
    </row>
    <row r="5659" spans="1:12" customFormat="1" x14ac:dyDescent="0.3">
      <c r="A5659" s="12" t="s">
        <v>1250</v>
      </c>
      <c r="B5659" t="s">
        <v>294</v>
      </c>
      <c r="C5659" t="s">
        <v>123</v>
      </c>
      <c r="D5659" t="s">
        <v>110</v>
      </c>
      <c r="E5659" t="s">
        <v>1257</v>
      </c>
      <c r="F5659" t="s">
        <v>1356</v>
      </c>
      <c r="G5659">
        <v>31230302</v>
      </c>
      <c r="H5659" t="s">
        <v>1357</v>
      </c>
      <c r="I5659" t="s">
        <v>1257</v>
      </c>
      <c r="J5659" t="s">
        <v>623</v>
      </c>
      <c r="K5659">
        <v>1</v>
      </c>
      <c r="L5659" t="s">
        <v>413</v>
      </c>
    </row>
    <row r="5660" spans="1:12" customFormat="1" x14ac:dyDescent="0.3">
      <c r="A5660" s="12" t="s">
        <v>1250</v>
      </c>
      <c r="B5660" t="s">
        <v>294</v>
      </c>
      <c r="C5660" t="s">
        <v>123</v>
      </c>
      <c r="D5660" t="s">
        <v>110</v>
      </c>
      <c r="E5660" t="s">
        <v>1258</v>
      </c>
      <c r="F5660" t="s">
        <v>1358</v>
      </c>
      <c r="G5660">
        <v>136155102</v>
      </c>
      <c r="H5660" t="s">
        <v>1359</v>
      </c>
      <c r="I5660" t="s">
        <v>1258</v>
      </c>
      <c r="J5660" t="s">
        <v>623</v>
      </c>
      <c r="K5660">
        <v>1</v>
      </c>
      <c r="L5660" t="s">
        <v>413</v>
      </c>
    </row>
    <row r="5661" spans="1:12" customFormat="1" x14ac:dyDescent="0.3">
      <c r="A5661" s="12" t="s">
        <v>1250</v>
      </c>
      <c r="B5661" t="s">
        <v>294</v>
      </c>
      <c r="C5661" t="s">
        <v>123</v>
      </c>
      <c r="D5661" t="s">
        <v>110</v>
      </c>
      <c r="E5661" t="s">
        <v>1156</v>
      </c>
      <c r="F5661" t="s">
        <v>1239</v>
      </c>
      <c r="G5661">
        <v>4215200</v>
      </c>
      <c r="H5661" t="s">
        <v>1240</v>
      </c>
      <c r="I5661" t="s">
        <v>1156</v>
      </c>
      <c r="J5661" t="s">
        <v>623</v>
      </c>
      <c r="K5661">
        <v>1</v>
      </c>
      <c r="L5661" t="s">
        <v>413</v>
      </c>
    </row>
    <row r="5662" spans="1:12" customFormat="1" x14ac:dyDescent="0.3">
      <c r="A5662" s="12" t="s">
        <v>1250</v>
      </c>
      <c r="B5662" t="s">
        <v>294</v>
      </c>
      <c r="C5662" t="s">
        <v>123</v>
      </c>
      <c r="D5662" t="s">
        <v>110</v>
      </c>
      <c r="E5662" t="s">
        <v>61</v>
      </c>
      <c r="F5662" t="s">
        <v>840</v>
      </c>
      <c r="G5662">
        <v>4215217</v>
      </c>
      <c r="H5662" t="s">
        <v>841</v>
      </c>
      <c r="I5662" t="s">
        <v>61</v>
      </c>
      <c r="J5662" t="s">
        <v>623</v>
      </c>
      <c r="K5662">
        <v>1</v>
      </c>
      <c r="L5662" t="s">
        <v>413</v>
      </c>
    </row>
    <row r="5663" spans="1:12" customFormat="1" x14ac:dyDescent="0.3">
      <c r="A5663" s="12" t="s">
        <v>1250</v>
      </c>
      <c r="B5663" t="s">
        <v>294</v>
      </c>
      <c r="C5663" t="s">
        <v>123</v>
      </c>
      <c r="D5663" t="s">
        <v>110</v>
      </c>
      <c r="E5663" t="s">
        <v>62</v>
      </c>
      <c r="F5663" t="s">
        <v>842</v>
      </c>
      <c r="G5663">
        <v>4215220</v>
      </c>
      <c r="H5663" t="s">
        <v>843</v>
      </c>
      <c r="I5663" t="s">
        <v>62</v>
      </c>
      <c r="J5663" t="s">
        <v>623</v>
      </c>
      <c r="K5663">
        <v>1</v>
      </c>
      <c r="L5663" t="s">
        <v>413</v>
      </c>
    </row>
    <row r="5664" spans="1:12" customFormat="1" x14ac:dyDescent="0.3">
      <c r="A5664" s="12" t="s">
        <v>1250</v>
      </c>
      <c r="B5664" t="s">
        <v>294</v>
      </c>
      <c r="C5664" t="s">
        <v>123</v>
      </c>
      <c r="D5664" t="s">
        <v>110</v>
      </c>
      <c r="E5664" t="s">
        <v>41</v>
      </c>
      <c r="F5664" t="s">
        <v>621</v>
      </c>
      <c r="G5664">
        <v>319359438</v>
      </c>
      <c r="H5664" t="s">
        <v>622</v>
      </c>
      <c r="I5664" t="s">
        <v>41</v>
      </c>
      <c r="J5664" t="s">
        <v>623</v>
      </c>
      <c r="K5664">
        <v>1</v>
      </c>
      <c r="L5664" t="s">
        <v>413</v>
      </c>
    </row>
    <row r="5665" spans="1:13" customFormat="1" x14ac:dyDescent="0.3">
      <c r="A5665" s="12" t="s">
        <v>1250</v>
      </c>
      <c r="B5665" t="s">
        <v>294</v>
      </c>
      <c r="C5665" t="s">
        <v>123</v>
      </c>
      <c r="D5665" t="s">
        <v>110</v>
      </c>
      <c r="E5665" t="s">
        <v>79</v>
      </c>
      <c r="F5665" t="s">
        <v>972</v>
      </c>
      <c r="G5665">
        <v>4215227</v>
      </c>
      <c r="H5665" t="s">
        <v>973</v>
      </c>
      <c r="I5665" t="s">
        <v>79</v>
      </c>
      <c r="J5665" t="s">
        <v>623</v>
      </c>
      <c r="K5665">
        <v>1</v>
      </c>
      <c r="L5665" t="s">
        <v>413</v>
      </c>
    </row>
    <row r="5666" spans="1:13" customFormat="1" x14ac:dyDescent="0.3">
      <c r="A5666" s="12" t="s">
        <v>1250</v>
      </c>
      <c r="B5666" t="s">
        <v>294</v>
      </c>
      <c r="C5666" t="s">
        <v>123</v>
      </c>
      <c r="D5666" t="s">
        <v>110</v>
      </c>
      <c r="E5666" t="s">
        <v>42</v>
      </c>
      <c r="F5666" t="s">
        <v>624</v>
      </c>
      <c r="G5666">
        <v>4215230</v>
      </c>
      <c r="H5666" t="s">
        <v>625</v>
      </c>
      <c r="I5666" t="s">
        <v>42</v>
      </c>
      <c r="J5666" t="s">
        <v>623</v>
      </c>
      <c r="K5666">
        <v>1</v>
      </c>
      <c r="L5666" t="s">
        <v>413</v>
      </c>
    </row>
    <row r="5667" spans="1:13" customFormat="1" x14ac:dyDescent="0.3">
      <c r="A5667" s="12" t="s">
        <v>1250</v>
      </c>
      <c r="B5667" t="s">
        <v>294</v>
      </c>
      <c r="C5667" t="s">
        <v>123</v>
      </c>
      <c r="D5667" t="s">
        <v>110</v>
      </c>
      <c r="E5667" t="s">
        <v>43</v>
      </c>
      <c r="F5667" t="s">
        <v>626</v>
      </c>
      <c r="G5667">
        <v>4215235</v>
      </c>
      <c r="H5667" t="s">
        <v>627</v>
      </c>
      <c r="I5667" t="s">
        <v>43</v>
      </c>
      <c r="J5667" t="s">
        <v>623</v>
      </c>
      <c r="K5667">
        <v>1</v>
      </c>
      <c r="L5667" t="s">
        <v>413</v>
      </c>
    </row>
    <row r="5668" spans="1:13" customFormat="1" x14ac:dyDescent="0.3">
      <c r="A5668" s="12" t="s">
        <v>1250</v>
      </c>
      <c r="B5668" t="s">
        <v>294</v>
      </c>
      <c r="C5668" t="s">
        <v>123</v>
      </c>
      <c r="D5668" t="s">
        <v>110</v>
      </c>
      <c r="E5668" t="s">
        <v>44</v>
      </c>
      <c r="F5668" t="s">
        <v>628</v>
      </c>
      <c r="G5668">
        <v>4215205</v>
      </c>
      <c r="H5668" t="s">
        <v>629</v>
      </c>
      <c r="I5668" t="s">
        <v>44</v>
      </c>
      <c r="J5668" t="s">
        <v>623</v>
      </c>
      <c r="K5668">
        <v>1</v>
      </c>
      <c r="L5668" t="s">
        <v>413</v>
      </c>
    </row>
    <row r="5669" spans="1:13" customFormat="1" x14ac:dyDescent="0.3">
      <c r="A5669" s="12" t="s">
        <v>1250</v>
      </c>
      <c r="B5669" t="s">
        <v>294</v>
      </c>
      <c r="C5669" t="s">
        <v>123</v>
      </c>
      <c r="D5669" t="s">
        <v>110</v>
      </c>
      <c r="E5669" t="s">
        <v>84</v>
      </c>
      <c r="F5669" t="s">
        <v>1062</v>
      </c>
      <c r="G5669">
        <v>4215215</v>
      </c>
      <c r="H5669" t="s">
        <v>1063</v>
      </c>
      <c r="I5669" t="s">
        <v>84</v>
      </c>
      <c r="J5669" t="s">
        <v>623</v>
      </c>
      <c r="K5669">
        <v>1</v>
      </c>
      <c r="L5669" t="s">
        <v>413</v>
      </c>
    </row>
    <row r="5670" spans="1:13" customFormat="1" x14ac:dyDescent="0.3">
      <c r="A5670" s="12" t="s">
        <v>1250</v>
      </c>
      <c r="B5670" t="s">
        <v>294</v>
      </c>
      <c r="C5670" t="s">
        <v>120</v>
      </c>
      <c r="D5670" t="s">
        <v>100</v>
      </c>
      <c r="E5670" t="s">
        <v>0</v>
      </c>
      <c r="F5670" t="s">
        <v>269</v>
      </c>
      <c r="G5670" t="s">
        <v>295</v>
      </c>
      <c r="H5670" t="s">
        <v>1235</v>
      </c>
      <c r="I5670" t="s">
        <v>297</v>
      </c>
      <c r="J5670" t="s">
        <v>298</v>
      </c>
      <c r="K5670" t="s">
        <v>372</v>
      </c>
      <c r="L5670" t="s">
        <v>373</v>
      </c>
      <c r="M5670" t="s">
        <v>165</v>
      </c>
    </row>
    <row r="5671" spans="1:13" customFormat="1" x14ac:dyDescent="0.3">
      <c r="A5671" s="12" t="s">
        <v>1250</v>
      </c>
      <c r="B5671" t="s">
        <v>294</v>
      </c>
      <c r="C5671" t="s">
        <v>123</v>
      </c>
      <c r="D5671" t="s">
        <v>112</v>
      </c>
      <c r="E5671" t="s">
        <v>1157</v>
      </c>
      <c r="F5671" t="s">
        <v>1242</v>
      </c>
      <c r="G5671">
        <v>654503314</v>
      </c>
      <c r="H5671" t="s">
        <v>1241</v>
      </c>
      <c r="I5671" t="s">
        <v>375</v>
      </c>
      <c r="J5671">
        <v>5</v>
      </c>
      <c r="K5671" s="1">
        <v>45646</v>
      </c>
      <c r="L5671" t="s">
        <v>1243</v>
      </c>
    </row>
    <row r="5672" spans="1:13" customFormat="1" x14ac:dyDescent="0.3">
      <c r="A5672" s="12" t="s">
        <v>1250</v>
      </c>
      <c r="B5672" t="s">
        <v>294</v>
      </c>
      <c r="C5672" t="s">
        <v>123</v>
      </c>
      <c r="D5672" t="s">
        <v>112</v>
      </c>
      <c r="E5672" t="s">
        <v>1158</v>
      </c>
      <c r="F5672" t="s">
        <v>1245</v>
      </c>
      <c r="G5672">
        <v>654503320</v>
      </c>
      <c r="H5672" t="s">
        <v>1244</v>
      </c>
      <c r="I5672" t="s">
        <v>375</v>
      </c>
      <c r="J5672">
        <v>2</v>
      </c>
      <c r="K5672" s="1">
        <v>45646</v>
      </c>
      <c r="L5672" t="s">
        <v>1243</v>
      </c>
    </row>
    <row r="5673" spans="1:13" customFormat="1" x14ac:dyDescent="0.3">
      <c r="A5673" s="12" t="s">
        <v>1250</v>
      </c>
      <c r="B5673" t="s">
        <v>376</v>
      </c>
      <c r="C5673" t="s">
        <v>120</v>
      </c>
      <c r="D5673" t="s">
        <v>165</v>
      </c>
      <c r="E5673" t="s">
        <v>377</v>
      </c>
      <c r="F5673" t="s">
        <v>378</v>
      </c>
      <c r="G5673" t="s">
        <v>379</v>
      </c>
    </row>
    <row r="5674" spans="1:13" customFormat="1" x14ac:dyDescent="0.3">
      <c r="A5674" s="12" t="s">
        <v>1250</v>
      </c>
      <c r="B5674" t="s">
        <v>376</v>
      </c>
      <c r="C5674" t="s">
        <v>123</v>
      </c>
      <c r="D5674" t="s">
        <v>380</v>
      </c>
      <c r="E5674" t="s">
        <v>381</v>
      </c>
    </row>
    <row r="5675" spans="1:13" customFormat="1" x14ac:dyDescent="0.3">
      <c r="A5675" s="12" t="s">
        <v>1250</v>
      </c>
      <c r="B5675" t="s">
        <v>376</v>
      </c>
      <c r="C5675" t="s">
        <v>123</v>
      </c>
      <c r="D5675" t="s">
        <v>382</v>
      </c>
      <c r="E5675" t="s">
        <v>383</v>
      </c>
    </row>
    <row r="5676" spans="1:13" customFormat="1" x14ac:dyDescent="0.3">
      <c r="A5676" s="12" t="s">
        <v>1250</v>
      </c>
      <c r="B5676" t="s">
        <v>376</v>
      </c>
      <c r="C5676" t="s">
        <v>123</v>
      </c>
      <c r="D5676" t="s">
        <v>384</v>
      </c>
      <c r="E5676" t="s">
        <v>385</v>
      </c>
    </row>
    <row r="5677" spans="1:13" customFormat="1" x14ac:dyDescent="0.3">
      <c r="A5677" s="12" t="s">
        <v>1250</v>
      </c>
      <c r="B5677" t="s">
        <v>376</v>
      </c>
      <c r="C5677" t="s">
        <v>123</v>
      </c>
      <c r="D5677" t="s">
        <v>386</v>
      </c>
      <c r="E5677" t="s">
        <v>387</v>
      </c>
    </row>
    <row r="5678" spans="1:13" customFormat="1" x14ac:dyDescent="0.3">
      <c r="A5678" s="12" t="s">
        <v>1250</v>
      </c>
      <c r="B5678" t="s">
        <v>376</v>
      </c>
      <c r="C5678" t="s">
        <v>123</v>
      </c>
      <c r="D5678" t="s">
        <v>388</v>
      </c>
      <c r="E5678" t="s">
        <v>389</v>
      </c>
    </row>
    <row r="5679" spans="1:13" customFormat="1" x14ac:dyDescent="0.3">
      <c r="A5679" s="12" t="s">
        <v>1250</v>
      </c>
      <c r="B5679" t="s">
        <v>376</v>
      </c>
      <c r="C5679" t="s">
        <v>123</v>
      </c>
      <c r="D5679" t="s">
        <v>390</v>
      </c>
      <c r="E5679" t="s">
        <v>391</v>
      </c>
    </row>
    <row r="5680" spans="1:13" customFormat="1" x14ac:dyDescent="0.3">
      <c r="A5680" s="12" t="s">
        <v>1250</v>
      </c>
      <c r="B5680" t="s">
        <v>376</v>
      </c>
      <c r="C5680" t="s">
        <v>123</v>
      </c>
      <c r="D5680" t="s">
        <v>392</v>
      </c>
      <c r="E5680" t="s">
        <v>393</v>
      </c>
    </row>
    <row r="5681" spans="1:5" customFormat="1" x14ac:dyDescent="0.3">
      <c r="A5681" s="12" t="s">
        <v>1250</v>
      </c>
      <c r="B5681" t="s">
        <v>376</v>
      </c>
      <c r="C5681" t="s">
        <v>123</v>
      </c>
      <c r="D5681" t="s">
        <v>394</v>
      </c>
      <c r="E5681" t="s">
        <v>395</v>
      </c>
    </row>
    <row r="5682" spans="1:5" customFormat="1" x14ac:dyDescent="0.3">
      <c r="A5682" s="12" t="s">
        <v>1250</v>
      </c>
      <c r="B5682" t="s">
        <v>376</v>
      </c>
      <c r="C5682" t="s">
        <v>123</v>
      </c>
      <c r="D5682" t="s">
        <v>396</v>
      </c>
      <c r="E5682" t="s">
        <v>397</v>
      </c>
    </row>
    <row r="5683" spans="1:5" customFormat="1" x14ac:dyDescent="0.3">
      <c r="A5683" s="12" t="s">
        <v>1250</v>
      </c>
      <c r="B5683" t="s">
        <v>376</v>
      </c>
      <c r="C5683" t="s">
        <v>123</v>
      </c>
      <c r="D5683" t="s">
        <v>3</v>
      </c>
      <c r="E5683" t="s">
        <v>398</v>
      </c>
    </row>
    <row r="5684" spans="1:5" customFormat="1" x14ac:dyDescent="0.3">
      <c r="A5684" s="12" t="s">
        <v>1250</v>
      </c>
      <c r="B5684" t="s">
        <v>376</v>
      </c>
      <c r="C5684" t="s">
        <v>123</v>
      </c>
      <c r="D5684" t="s">
        <v>399</v>
      </c>
      <c r="E5684" t="s">
        <v>400</v>
      </c>
    </row>
    <row r="5685" spans="1:5" customFormat="1" x14ac:dyDescent="0.3">
      <c r="A5685" s="12" t="s">
        <v>1250</v>
      </c>
      <c r="B5685" t="s">
        <v>376</v>
      </c>
      <c r="C5685" t="s">
        <v>123</v>
      </c>
      <c r="D5685" t="s">
        <v>401</v>
      </c>
      <c r="E5685" t="s">
        <v>402</v>
      </c>
    </row>
    <row r="5686" spans="1:5" customFormat="1" x14ac:dyDescent="0.3">
      <c r="A5686" s="12" t="s">
        <v>1250</v>
      </c>
      <c r="B5686" t="s">
        <v>376</v>
      </c>
      <c r="C5686" t="s">
        <v>123</v>
      </c>
      <c r="D5686" t="s">
        <v>403</v>
      </c>
      <c r="E5686" t="s">
        <v>404</v>
      </c>
    </row>
    <row r="5687" spans="1:5" customFormat="1" x14ac:dyDescent="0.3">
      <c r="A5687" s="12" t="s">
        <v>1250</v>
      </c>
      <c r="B5687" t="s">
        <v>376</v>
      </c>
      <c r="C5687" t="s">
        <v>123</v>
      </c>
      <c r="D5687" t="s">
        <v>405</v>
      </c>
      <c r="E5687" t="s">
        <v>406</v>
      </c>
    </row>
    <row r="5688" spans="1:5" customFormat="1" x14ac:dyDescent="0.3">
      <c r="A5688" s="12" t="s">
        <v>1250</v>
      </c>
      <c r="B5688" t="s">
        <v>376</v>
      </c>
      <c r="C5688" t="s">
        <v>123</v>
      </c>
      <c r="D5688" t="s">
        <v>407</v>
      </c>
      <c r="E5688" t="s">
        <v>408</v>
      </c>
    </row>
    <row r="5689" spans="1:5" customFormat="1" x14ac:dyDescent="0.3">
      <c r="A5689" s="12" t="s">
        <v>1250</v>
      </c>
      <c r="B5689" t="s">
        <v>376</v>
      </c>
      <c r="C5689" t="s">
        <v>123</v>
      </c>
      <c r="D5689" t="s">
        <v>409</v>
      </c>
      <c r="E5689" t="s">
        <v>410</v>
      </c>
    </row>
    <row r="5690" spans="1:5" customFormat="1" x14ac:dyDescent="0.3">
      <c r="A5690" s="12" t="s">
        <v>1250</v>
      </c>
      <c r="B5690" t="s">
        <v>376</v>
      </c>
      <c r="C5690" t="s">
        <v>123</v>
      </c>
      <c r="D5690" t="s">
        <v>411</v>
      </c>
      <c r="E5690" t="s">
        <v>412</v>
      </c>
    </row>
    <row r="5691" spans="1:5" customFormat="1" x14ac:dyDescent="0.3">
      <c r="A5691" s="12" t="s">
        <v>1250</v>
      </c>
      <c r="B5691" t="s">
        <v>376</v>
      </c>
      <c r="C5691" t="s">
        <v>123</v>
      </c>
      <c r="D5691" t="s">
        <v>413</v>
      </c>
      <c r="E5691" t="s">
        <v>414</v>
      </c>
    </row>
    <row r="5692" spans="1:5" customFormat="1" x14ac:dyDescent="0.3">
      <c r="A5692" s="12" t="s">
        <v>1250</v>
      </c>
      <c r="B5692" t="s">
        <v>376</v>
      </c>
      <c r="C5692" t="s">
        <v>123</v>
      </c>
      <c r="D5692" t="s">
        <v>415</v>
      </c>
      <c r="E5692" t="s">
        <v>416</v>
      </c>
    </row>
    <row r="5693" spans="1:5" customFormat="1" x14ac:dyDescent="0.3">
      <c r="A5693" s="12" t="s">
        <v>1250</v>
      </c>
      <c r="B5693" t="s">
        <v>376</v>
      </c>
      <c r="C5693" t="s">
        <v>123</v>
      </c>
      <c r="D5693" t="s">
        <v>417</v>
      </c>
      <c r="E5693" t="s">
        <v>418</v>
      </c>
    </row>
    <row r="5694" spans="1:5" customFormat="1" x14ac:dyDescent="0.3">
      <c r="A5694" s="12" t="s">
        <v>1250</v>
      </c>
      <c r="B5694" t="s">
        <v>376</v>
      </c>
      <c r="C5694" t="s">
        <v>123</v>
      </c>
      <c r="D5694" t="s">
        <v>419</v>
      </c>
      <c r="E5694" t="s">
        <v>420</v>
      </c>
    </row>
    <row r="5695" spans="1:5" customFormat="1" x14ac:dyDescent="0.3">
      <c r="A5695" s="12" t="s">
        <v>1250</v>
      </c>
      <c r="B5695" t="s">
        <v>376</v>
      </c>
      <c r="C5695" t="s">
        <v>123</v>
      </c>
      <c r="D5695" t="s">
        <v>421</v>
      </c>
      <c r="E5695" t="s">
        <v>422</v>
      </c>
    </row>
    <row r="5696" spans="1:5" customFormat="1" x14ac:dyDescent="0.3">
      <c r="A5696" s="12" t="s">
        <v>1250</v>
      </c>
      <c r="B5696" t="s">
        <v>376</v>
      </c>
      <c r="C5696" t="s">
        <v>123</v>
      </c>
      <c r="D5696" t="s">
        <v>423</v>
      </c>
      <c r="E5696" t="s">
        <v>424</v>
      </c>
    </row>
    <row r="5697" spans="1:5" customFormat="1" x14ac:dyDescent="0.3">
      <c r="A5697" s="12" t="s">
        <v>1250</v>
      </c>
      <c r="B5697" t="s">
        <v>376</v>
      </c>
      <c r="C5697" t="s">
        <v>123</v>
      </c>
      <c r="D5697" t="s">
        <v>425</v>
      </c>
      <c r="E5697" t="s">
        <v>426</v>
      </c>
    </row>
    <row r="5698" spans="1:5" customFormat="1" x14ac:dyDescent="0.3">
      <c r="A5698" s="12" t="s">
        <v>1250</v>
      </c>
      <c r="B5698" t="s">
        <v>376</v>
      </c>
      <c r="C5698" t="s">
        <v>123</v>
      </c>
      <c r="D5698" t="s">
        <v>427</v>
      </c>
      <c r="E5698" t="s">
        <v>428</v>
      </c>
    </row>
    <row r="5699" spans="1:5" customFormat="1" x14ac:dyDescent="0.3">
      <c r="A5699" s="12" t="s">
        <v>1250</v>
      </c>
      <c r="B5699" t="s">
        <v>376</v>
      </c>
      <c r="C5699" t="s">
        <v>123</v>
      </c>
      <c r="D5699" t="s">
        <v>429</v>
      </c>
      <c r="E5699" t="s">
        <v>430</v>
      </c>
    </row>
    <row r="5700" spans="1:5" customFormat="1" x14ac:dyDescent="0.3">
      <c r="A5700" s="12" t="s">
        <v>1250</v>
      </c>
      <c r="B5700" t="s">
        <v>376</v>
      </c>
      <c r="C5700" t="s">
        <v>123</v>
      </c>
      <c r="D5700" t="s">
        <v>431</v>
      </c>
      <c r="E5700" t="s">
        <v>432</v>
      </c>
    </row>
    <row r="5701" spans="1:5" customFormat="1" x14ac:dyDescent="0.3">
      <c r="A5701" s="12" t="s">
        <v>1250</v>
      </c>
      <c r="B5701" t="s">
        <v>376</v>
      </c>
      <c r="C5701" t="s">
        <v>123</v>
      </c>
      <c r="D5701" t="s">
        <v>433</v>
      </c>
      <c r="E5701" t="s">
        <v>434</v>
      </c>
    </row>
    <row r="5702" spans="1:5" customFormat="1" x14ac:dyDescent="0.3">
      <c r="A5702" s="12" t="s">
        <v>1250</v>
      </c>
      <c r="B5702" t="s">
        <v>376</v>
      </c>
      <c r="C5702" t="s">
        <v>123</v>
      </c>
      <c r="D5702" t="s">
        <v>435</v>
      </c>
      <c r="E5702" t="s">
        <v>436</v>
      </c>
    </row>
    <row r="5703" spans="1:5" customFormat="1" x14ac:dyDescent="0.3">
      <c r="A5703" s="12" t="s">
        <v>1250</v>
      </c>
      <c r="B5703" t="s">
        <v>376</v>
      </c>
      <c r="C5703" t="s">
        <v>123</v>
      </c>
      <c r="D5703" t="s">
        <v>437</v>
      </c>
      <c r="E5703" t="s">
        <v>438</v>
      </c>
    </row>
    <row r="5704" spans="1:5" customFormat="1" x14ac:dyDescent="0.3">
      <c r="A5704" s="12" t="s">
        <v>1250</v>
      </c>
      <c r="B5704" t="s">
        <v>376</v>
      </c>
      <c r="C5704" t="s">
        <v>123</v>
      </c>
      <c r="D5704" t="s">
        <v>439</v>
      </c>
      <c r="E5704" t="s">
        <v>440</v>
      </c>
    </row>
    <row r="5705" spans="1:5" customFormat="1" x14ac:dyDescent="0.3">
      <c r="A5705" s="12" t="s">
        <v>1250</v>
      </c>
      <c r="B5705" t="s">
        <v>376</v>
      </c>
      <c r="C5705" t="s">
        <v>123</v>
      </c>
      <c r="D5705" t="s">
        <v>441</v>
      </c>
      <c r="E5705" t="s">
        <v>442</v>
      </c>
    </row>
    <row r="5706" spans="1:5" customFormat="1" x14ac:dyDescent="0.3">
      <c r="A5706" s="12" t="s">
        <v>1250</v>
      </c>
      <c r="B5706" t="s">
        <v>376</v>
      </c>
      <c r="C5706" t="s">
        <v>123</v>
      </c>
      <c r="D5706" t="s">
        <v>443</v>
      </c>
      <c r="E5706" t="s">
        <v>444</v>
      </c>
    </row>
    <row r="5707" spans="1:5" customFormat="1" x14ac:dyDescent="0.3">
      <c r="A5707" s="12" t="s">
        <v>1250</v>
      </c>
      <c r="B5707" t="s">
        <v>376</v>
      </c>
      <c r="C5707" t="s">
        <v>123</v>
      </c>
      <c r="D5707" t="s">
        <v>445</v>
      </c>
      <c r="E5707" t="s">
        <v>446</v>
      </c>
    </row>
    <row r="5708" spans="1:5" customFormat="1" x14ac:dyDescent="0.3">
      <c r="A5708" s="12" t="s">
        <v>1250</v>
      </c>
      <c r="B5708" t="s">
        <v>376</v>
      </c>
      <c r="C5708" t="s">
        <v>123</v>
      </c>
      <c r="D5708" t="s">
        <v>447</v>
      </c>
      <c r="E5708" t="s">
        <v>448</v>
      </c>
    </row>
    <row r="5709" spans="1:5" customFormat="1" x14ac:dyDescent="0.3">
      <c r="A5709" s="12" t="s">
        <v>1250</v>
      </c>
      <c r="B5709" t="s">
        <v>376</v>
      </c>
      <c r="C5709" t="s">
        <v>123</v>
      </c>
      <c r="D5709" t="s">
        <v>449</v>
      </c>
      <c r="E5709" t="s">
        <v>450</v>
      </c>
    </row>
    <row r="5710" spans="1:5" customFormat="1" x14ac:dyDescent="0.3">
      <c r="A5710" s="12" t="s">
        <v>1250</v>
      </c>
      <c r="B5710" t="s">
        <v>376</v>
      </c>
      <c r="C5710" t="s">
        <v>123</v>
      </c>
      <c r="D5710" t="s">
        <v>451</v>
      </c>
      <c r="E5710" t="s">
        <v>452</v>
      </c>
    </row>
    <row r="5711" spans="1:5" customFormat="1" x14ac:dyDescent="0.3">
      <c r="A5711" s="12" t="s">
        <v>1250</v>
      </c>
      <c r="B5711" t="s">
        <v>376</v>
      </c>
      <c r="C5711" t="s">
        <v>123</v>
      </c>
      <c r="D5711" t="s">
        <v>453</v>
      </c>
      <c r="E5711" t="s">
        <v>454</v>
      </c>
    </row>
    <row r="5712" spans="1:5" customFormat="1" x14ac:dyDescent="0.3">
      <c r="A5712" s="12" t="s">
        <v>1250</v>
      </c>
      <c r="B5712" t="s">
        <v>376</v>
      </c>
      <c r="C5712" t="s">
        <v>123</v>
      </c>
      <c r="D5712" t="s">
        <v>455</v>
      </c>
      <c r="E5712" t="s">
        <v>456</v>
      </c>
    </row>
    <row r="5713" spans="1:5" customFormat="1" x14ac:dyDescent="0.3">
      <c r="A5713" s="12" t="s">
        <v>1250</v>
      </c>
      <c r="B5713" t="s">
        <v>376</v>
      </c>
      <c r="C5713" t="s">
        <v>123</v>
      </c>
      <c r="D5713" t="s">
        <v>457</v>
      </c>
      <c r="E5713" t="s">
        <v>458</v>
      </c>
    </row>
    <row r="5714" spans="1:5" customFormat="1" x14ac:dyDescent="0.3">
      <c r="A5714" s="12" t="s">
        <v>1250</v>
      </c>
      <c r="B5714" t="s">
        <v>376</v>
      </c>
      <c r="C5714" t="s">
        <v>123</v>
      </c>
      <c r="D5714" t="s">
        <v>459</v>
      </c>
      <c r="E5714" t="s">
        <v>460</v>
      </c>
    </row>
    <row r="5715" spans="1:5" customFormat="1" x14ac:dyDescent="0.3">
      <c r="A5715" s="12" t="s">
        <v>1250</v>
      </c>
      <c r="B5715" t="s">
        <v>376</v>
      </c>
      <c r="C5715" t="s">
        <v>123</v>
      </c>
      <c r="D5715" t="s">
        <v>461</v>
      </c>
      <c r="E5715" t="s">
        <v>462</v>
      </c>
    </row>
    <row r="5716" spans="1:5" customFormat="1" x14ac:dyDescent="0.3">
      <c r="A5716" s="12" t="s">
        <v>1250</v>
      </c>
      <c r="B5716" t="s">
        <v>376</v>
      </c>
      <c r="C5716" t="s">
        <v>123</v>
      </c>
      <c r="D5716" t="s">
        <v>463</v>
      </c>
      <c r="E5716" t="s">
        <v>464</v>
      </c>
    </row>
    <row r="5717" spans="1:5" customFormat="1" x14ac:dyDescent="0.3">
      <c r="A5717" s="12" t="s">
        <v>1250</v>
      </c>
      <c r="B5717" t="s">
        <v>376</v>
      </c>
      <c r="C5717" t="s">
        <v>123</v>
      </c>
      <c r="D5717" t="s">
        <v>465</v>
      </c>
      <c r="E5717" t="s">
        <v>466</v>
      </c>
    </row>
    <row r="5718" spans="1:5" customFormat="1" x14ac:dyDescent="0.3">
      <c r="A5718" s="12" t="s">
        <v>1250</v>
      </c>
      <c r="B5718" t="s">
        <v>376</v>
      </c>
      <c r="C5718" t="s">
        <v>123</v>
      </c>
      <c r="D5718" t="s">
        <v>215</v>
      </c>
      <c r="E5718" t="s">
        <v>467</v>
      </c>
    </row>
    <row r="5719" spans="1:5" customFormat="1" x14ac:dyDescent="0.3">
      <c r="A5719" s="12" t="s">
        <v>1250</v>
      </c>
      <c r="B5719" t="s">
        <v>376</v>
      </c>
      <c r="C5719" t="s">
        <v>123</v>
      </c>
      <c r="D5719" t="s">
        <v>468</v>
      </c>
      <c r="E5719" t="s">
        <v>469</v>
      </c>
    </row>
    <row r="5720" spans="1:5" customFormat="1" x14ac:dyDescent="0.3">
      <c r="A5720" s="12" t="s">
        <v>1250</v>
      </c>
      <c r="B5720" t="s">
        <v>376</v>
      </c>
      <c r="C5720" t="s">
        <v>123</v>
      </c>
      <c r="D5720" t="s">
        <v>470</v>
      </c>
      <c r="E5720" t="s">
        <v>471</v>
      </c>
    </row>
    <row r="5721" spans="1:5" customFormat="1" x14ac:dyDescent="0.3">
      <c r="A5721" s="12" t="s">
        <v>1250</v>
      </c>
      <c r="B5721" t="s">
        <v>376</v>
      </c>
      <c r="C5721" t="s">
        <v>123</v>
      </c>
      <c r="D5721" t="s">
        <v>472</v>
      </c>
      <c r="E5721" t="s">
        <v>473</v>
      </c>
    </row>
    <row r="5722" spans="1:5" customFormat="1" x14ac:dyDescent="0.3">
      <c r="A5722" s="12" t="s">
        <v>1250</v>
      </c>
      <c r="B5722" t="s">
        <v>376</v>
      </c>
      <c r="C5722" t="s">
        <v>123</v>
      </c>
      <c r="D5722" t="s">
        <v>474</v>
      </c>
      <c r="E5722" t="s">
        <v>475</v>
      </c>
    </row>
    <row r="5723" spans="1:5" customFormat="1" x14ac:dyDescent="0.3">
      <c r="A5723" s="12" t="s">
        <v>1250</v>
      </c>
      <c r="B5723" t="s">
        <v>376</v>
      </c>
      <c r="C5723" t="s">
        <v>123</v>
      </c>
      <c r="D5723" t="s">
        <v>476</v>
      </c>
      <c r="E5723" t="s">
        <v>477</v>
      </c>
    </row>
    <row r="5724" spans="1:5" customFormat="1" x14ac:dyDescent="0.3">
      <c r="A5724" s="12" t="s">
        <v>1250</v>
      </c>
      <c r="B5724" t="s">
        <v>376</v>
      </c>
      <c r="C5724" t="s">
        <v>123</v>
      </c>
      <c r="D5724" t="s">
        <v>291</v>
      </c>
      <c r="E5724" t="s">
        <v>478</v>
      </c>
    </row>
    <row r="5725" spans="1:5" customFormat="1" x14ac:dyDescent="0.3">
      <c r="A5725" s="12" t="s">
        <v>1250</v>
      </c>
      <c r="B5725" t="s">
        <v>376</v>
      </c>
      <c r="C5725" t="s">
        <v>123</v>
      </c>
      <c r="D5725" t="s">
        <v>479</v>
      </c>
      <c r="E5725" t="s">
        <v>480</v>
      </c>
    </row>
    <row r="5726" spans="1:5" customFormat="1" x14ac:dyDescent="0.3">
      <c r="A5726" s="12" t="s">
        <v>1250</v>
      </c>
      <c r="B5726" t="s">
        <v>376</v>
      </c>
      <c r="C5726" t="s">
        <v>123</v>
      </c>
      <c r="D5726" t="s">
        <v>481</v>
      </c>
      <c r="E5726" t="s">
        <v>482</v>
      </c>
    </row>
    <row r="5727" spans="1:5" customFormat="1" x14ac:dyDescent="0.3">
      <c r="A5727" s="12" t="s">
        <v>1250</v>
      </c>
      <c r="B5727" t="s">
        <v>376</v>
      </c>
      <c r="C5727" t="s">
        <v>123</v>
      </c>
      <c r="D5727" t="s">
        <v>483</v>
      </c>
      <c r="E5727" t="s">
        <v>484</v>
      </c>
    </row>
    <row r="5728" spans="1:5" customFormat="1" x14ac:dyDescent="0.3">
      <c r="A5728" s="12" t="s">
        <v>1250</v>
      </c>
      <c r="B5728" t="s">
        <v>376</v>
      </c>
      <c r="C5728" t="s">
        <v>123</v>
      </c>
      <c r="D5728" t="s">
        <v>485</v>
      </c>
      <c r="E5728" t="s">
        <v>486</v>
      </c>
    </row>
    <row r="5729" spans="1:5" customFormat="1" x14ac:dyDescent="0.3">
      <c r="A5729" s="12" t="s">
        <v>1250</v>
      </c>
      <c r="B5729" t="s">
        <v>376</v>
      </c>
      <c r="C5729" t="s">
        <v>123</v>
      </c>
      <c r="D5729" t="s">
        <v>487</v>
      </c>
      <c r="E5729" t="s">
        <v>488</v>
      </c>
    </row>
    <row r="5730" spans="1:5" customFormat="1" x14ac:dyDescent="0.3">
      <c r="A5730" s="12" t="s">
        <v>1250</v>
      </c>
      <c r="B5730" t="s">
        <v>376</v>
      </c>
      <c r="C5730" t="s">
        <v>123</v>
      </c>
      <c r="D5730" t="s">
        <v>489</v>
      </c>
      <c r="E5730" t="s">
        <v>490</v>
      </c>
    </row>
    <row r="5731" spans="1:5" customFormat="1" x14ac:dyDescent="0.3">
      <c r="A5731" s="12" t="s">
        <v>1250</v>
      </c>
      <c r="B5731" t="s">
        <v>376</v>
      </c>
      <c r="C5731" t="s">
        <v>123</v>
      </c>
      <c r="D5731" t="s">
        <v>491</v>
      </c>
      <c r="E5731" t="s">
        <v>492</v>
      </c>
    </row>
    <row r="5732" spans="1:5" customFormat="1" x14ac:dyDescent="0.3">
      <c r="A5732" s="12" t="s">
        <v>1250</v>
      </c>
      <c r="B5732" t="s">
        <v>376</v>
      </c>
      <c r="C5732" t="s">
        <v>123</v>
      </c>
      <c r="D5732" t="s">
        <v>292</v>
      </c>
      <c r="E5732" t="s">
        <v>493</v>
      </c>
    </row>
    <row r="5733" spans="1:5" customFormat="1" x14ac:dyDescent="0.3">
      <c r="A5733" s="12" t="s">
        <v>1250</v>
      </c>
      <c r="B5733" t="s">
        <v>376</v>
      </c>
      <c r="C5733" t="s">
        <v>123</v>
      </c>
      <c r="D5733" t="s">
        <v>494</v>
      </c>
      <c r="E5733" t="s">
        <v>495</v>
      </c>
    </row>
    <row r="5734" spans="1:5" customFormat="1" x14ac:dyDescent="0.3">
      <c r="A5734" s="12" t="s">
        <v>1250</v>
      </c>
      <c r="B5734" t="s">
        <v>376</v>
      </c>
      <c r="C5734" t="s">
        <v>123</v>
      </c>
      <c r="D5734" t="s">
        <v>496</v>
      </c>
      <c r="E5734" t="s">
        <v>497</v>
      </c>
    </row>
    <row r="5735" spans="1:5" customFormat="1" x14ac:dyDescent="0.3">
      <c r="A5735" s="12" t="s">
        <v>1250</v>
      </c>
      <c r="B5735" t="s">
        <v>376</v>
      </c>
      <c r="C5735" t="s">
        <v>123</v>
      </c>
      <c r="D5735" t="s">
        <v>498</v>
      </c>
      <c r="E5735" t="s">
        <v>499</v>
      </c>
    </row>
    <row r="5736" spans="1:5" customFormat="1" x14ac:dyDescent="0.3">
      <c r="A5736" s="12" t="s">
        <v>1250</v>
      </c>
      <c r="B5736" t="s">
        <v>376</v>
      </c>
      <c r="C5736" t="s">
        <v>123</v>
      </c>
      <c r="D5736" t="s">
        <v>500</v>
      </c>
      <c r="E5736" t="s">
        <v>501</v>
      </c>
    </row>
    <row r="5737" spans="1:5" customFormat="1" x14ac:dyDescent="0.3">
      <c r="A5737" s="12" t="s">
        <v>1250</v>
      </c>
      <c r="B5737" t="s">
        <v>376</v>
      </c>
      <c r="C5737" t="s">
        <v>123</v>
      </c>
      <c r="D5737" t="s">
        <v>502</v>
      </c>
      <c r="E5737" t="s">
        <v>503</v>
      </c>
    </row>
    <row r="5738" spans="1:5" customFormat="1" x14ac:dyDescent="0.3">
      <c r="A5738" s="12" t="s">
        <v>1250</v>
      </c>
      <c r="B5738" t="s">
        <v>376</v>
      </c>
      <c r="C5738" t="s">
        <v>123</v>
      </c>
      <c r="D5738" t="s">
        <v>504</v>
      </c>
      <c r="E5738" t="s">
        <v>505</v>
      </c>
    </row>
    <row r="5739" spans="1:5" customFormat="1" x14ac:dyDescent="0.3">
      <c r="A5739" s="12" t="s">
        <v>1250</v>
      </c>
      <c r="B5739" t="s">
        <v>376</v>
      </c>
      <c r="C5739" t="s">
        <v>123</v>
      </c>
      <c r="D5739" t="s">
        <v>506</v>
      </c>
      <c r="E5739" t="s">
        <v>507</v>
      </c>
    </row>
    <row r="5740" spans="1:5" customFormat="1" x14ac:dyDescent="0.3">
      <c r="A5740" s="12" t="s">
        <v>1250</v>
      </c>
      <c r="B5740" t="s">
        <v>376</v>
      </c>
      <c r="C5740" t="s">
        <v>123</v>
      </c>
      <c r="D5740" t="s">
        <v>508</v>
      </c>
      <c r="E5740" t="s">
        <v>509</v>
      </c>
    </row>
    <row r="5741" spans="1:5" customFormat="1" x14ac:dyDescent="0.3">
      <c r="A5741" s="12" t="s">
        <v>1250</v>
      </c>
      <c r="B5741" t="s">
        <v>376</v>
      </c>
      <c r="C5741" t="s">
        <v>123</v>
      </c>
      <c r="D5741" t="s">
        <v>510</v>
      </c>
      <c r="E5741" t="s">
        <v>511</v>
      </c>
    </row>
    <row r="5742" spans="1:5" customFormat="1" x14ac:dyDescent="0.3">
      <c r="A5742" s="12" t="s">
        <v>1250</v>
      </c>
      <c r="B5742" t="s">
        <v>376</v>
      </c>
      <c r="C5742" t="s">
        <v>123</v>
      </c>
      <c r="D5742" t="s">
        <v>555</v>
      </c>
      <c r="E5742" t="s">
        <v>1360</v>
      </c>
    </row>
    <row r="5743" spans="1:5" customFormat="1" x14ac:dyDescent="0.3">
      <c r="A5743" s="12" t="s">
        <v>1250</v>
      </c>
      <c r="B5743" t="s">
        <v>376</v>
      </c>
      <c r="C5743" t="s">
        <v>123</v>
      </c>
      <c r="D5743" t="s">
        <v>512</v>
      </c>
      <c r="E5743" t="s">
        <v>513</v>
      </c>
    </row>
    <row r="5744" spans="1:5" customFormat="1" x14ac:dyDescent="0.3">
      <c r="A5744" s="12" t="s">
        <v>1250</v>
      </c>
      <c r="B5744" t="s">
        <v>376</v>
      </c>
      <c r="C5744" t="s">
        <v>123</v>
      </c>
      <c r="D5744" t="s">
        <v>514</v>
      </c>
      <c r="E5744" t="s">
        <v>515</v>
      </c>
    </row>
    <row r="5745" spans="1:5" customFormat="1" x14ac:dyDescent="0.3">
      <c r="A5745" s="12" t="s">
        <v>1250</v>
      </c>
      <c r="B5745" t="s">
        <v>376</v>
      </c>
      <c r="C5745" t="s">
        <v>123</v>
      </c>
      <c r="D5745" t="s">
        <v>516</v>
      </c>
      <c r="E5745" t="s">
        <v>517</v>
      </c>
    </row>
    <row r="5746" spans="1:5" customFormat="1" x14ac:dyDescent="0.3">
      <c r="A5746" s="12" t="s">
        <v>1250</v>
      </c>
      <c r="B5746" t="s">
        <v>518</v>
      </c>
      <c r="C5746" t="s">
        <v>120</v>
      </c>
      <c r="D5746" t="s">
        <v>299</v>
      </c>
      <c r="E5746" t="s">
        <v>519</v>
      </c>
    </row>
    <row r="5747" spans="1:5" customFormat="1" x14ac:dyDescent="0.3">
      <c r="A5747" s="12" t="s">
        <v>1250</v>
      </c>
      <c r="B5747" t="s">
        <v>518</v>
      </c>
      <c r="C5747" t="s">
        <v>123</v>
      </c>
      <c r="D5747" t="s">
        <v>520</v>
      </c>
      <c r="E5747" t="s">
        <v>521</v>
      </c>
    </row>
    <row r="5748" spans="1:5" customFormat="1" x14ac:dyDescent="0.3">
      <c r="A5748" s="12" t="s">
        <v>1250</v>
      </c>
      <c r="B5748" t="s">
        <v>518</v>
      </c>
      <c r="C5748" t="s">
        <v>123</v>
      </c>
      <c r="D5748" t="s">
        <v>520</v>
      </c>
      <c r="E5748" t="s">
        <v>522</v>
      </c>
    </row>
    <row r="5749" spans="1:5" customFormat="1" x14ac:dyDescent="0.3">
      <c r="A5749" s="12" t="s">
        <v>1250</v>
      </c>
      <c r="B5749" t="s">
        <v>518</v>
      </c>
      <c r="C5749" t="s">
        <v>123</v>
      </c>
      <c r="D5749" t="s">
        <v>520</v>
      </c>
      <c r="E5749" t="s">
        <v>523</v>
      </c>
    </row>
    <row r="5750" spans="1:5" customFormat="1" x14ac:dyDescent="0.3">
      <c r="A5750" s="12" t="s">
        <v>1250</v>
      </c>
      <c r="B5750" t="s">
        <v>518</v>
      </c>
      <c r="C5750" t="s">
        <v>123</v>
      </c>
      <c r="D5750" t="s">
        <v>520</v>
      </c>
      <c r="E5750" t="s">
        <v>524</v>
      </c>
    </row>
    <row r="5751" spans="1:5" customFormat="1" x14ac:dyDescent="0.3">
      <c r="A5751" s="12" t="s">
        <v>1250</v>
      </c>
      <c r="B5751" t="s">
        <v>518</v>
      </c>
      <c r="C5751" t="s">
        <v>123</v>
      </c>
      <c r="D5751" t="s">
        <v>520</v>
      </c>
      <c r="E5751" t="s">
        <v>525</v>
      </c>
    </row>
    <row r="5752" spans="1:5" customFormat="1" x14ac:dyDescent="0.3">
      <c r="A5752" s="12" t="s">
        <v>1250</v>
      </c>
      <c r="B5752" t="s">
        <v>518</v>
      </c>
      <c r="C5752" t="s">
        <v>123</v>
      </c>
      <c r="D5752" t="s">
        <v>520</v>
      </c>
      <c r="E5752" t="s">
        <v>526</v>
      </c>
    </row>
    <row r="5753" spans="1:5" customFormat="1" x14ac:dyDescent="0.3">
      <c r="A5753" s="12" t="s">
        <v>1250</v>
      </c>
      <c r="B5753" t="s">
        <v>518</v>
      </c>
      <c r="C5753" t="s">
        <v>123</v>
      </c>
      <c r="D5753" t="s">
        <v>520</v>
      </c>
      <c r="E5753" t="s">
        <v>527</v>
      </c>
    </row>
    <row r="5754" spans="1:5" customFormat="1" x14ac:dyDescent="0.3">
      <c r="A5754" s="12" t="s">
        <v>1250</v>
      </c>
      <c r="B5754" t="s">
        <v>518</v>
      </c>
      <c r="C5754" t="s">
        <v>123</v>
      </c>
      <c r="D5754" t="s">
        <v>520</v>
      </c>
      <c r="E5754" t="s">
        <v>528</v>
      </c>
    </row>
    <row r="5755" spans="1:5" customFormat="1" x14ac:dyDescent="0.3">
      <c r="A5755" s="12" t="s">
        <v>1250</v>
      </c>
      <c r="B5755" t="s">
        <v>518</v>
      </c>
      <c r="C5755" t="s">
        <v>123</v>
      </c>
      <c r="D5755" t="s">
        <v>520</v>
      </c>
      <c r="E5755" t="s">
        <v>529</v>
      </c>
    </row>
    <row r="5756" spans="1:5" customFormat="1" x14ac:dyDescent="0.3">
      <c r="A5756" s="12" t="s">
        <v>1250</v>
      </c>
      <c r="B5756" t="s">
        <v>518</v>
      </c>
      <c r="C5756" t="s">
        <v>123</v>
      </c>
      <c r="D5756" t="s">
        <v>520</v>
      </c>
      <c r="E5756" t="s">
        <v>530</v>
      </c>
    </row>
    <row r="5757" spans="1:5" customFormat="1" x14ac:dyDescent="0.3">
      <c r="A5757" s="12" t="s">
        <v>1250</v>
      </c>
      <c r="B5757" t="s">
        <v>518</v>
      </c>
      <c r="C5757" t="s">
        <v>123</v>
      </c>
      <c r="D5757" t="s">
        <v>520</v>
      </c>
      <c r="E5757" t="s">
        <v>531</v>
      </c>
    </row>
    <row r="5758" spans="1:5" customFormat="1" x14ac:dyDescent="0.3">
      <c r="A5758" s="12" t="s">
        <v>1250</v>
      </c>
      <c r="B5758" t="s">
        <v>518</v>
      </c>
      <c r="C5758" t="s">
        <v>123</v>
      </c>
      <c r="D5758" t="s">
        <v>520</v>
      </c>
      <c r="E5758" t="s">
        <v>532</v>
      </c>
    </row>
    <row r="5759" spans="1:5" customFormat="1" x14ac:dyDescent="0.3">
      <c r="A5759" s="12" t="s">
        <v>1250</v>
      </c>
      <c r="B5759" t="s">
        <v>518</v>
      </c>
      <c r="C5759" t="s">
        <v>123</v>
      </c>
      <c r="D5759" t="s">
        <v>520</v>
      </c>
      <c r="E5759" t="s">
        <v>533</v>
      </c>
    </row>
    <row r="5760" spans="1:5" customFormat="1" x14ac:dyDescent="0.3">
      <c r="A5760" s="12" t="s">
        <v>1250</v>
      </c>
      <c r="B5760" t="s">
        <v>518</v>
      </c>
      <c r="C5760" t="s">
        <v>123</v>
      </c>
      <c r="D5760" t="s">
        <v>520</v>
      </c>
      <c r="E5760" t="s">
        <v>534</v>
      </c>
    </row>
    <row r="5761" spans="1:5" customFormat="1" x14ac:dyDescent="0.3">
      <c r="A5761" s="12" t="s">
        <v>1250</v>
      </c>
      <c r="B5761" t="s">
        <v>518</v>
      </c>
      <c r="C5761" t="s">
        <v>123</v>
      </c>
      <c r="D5761" t="s">
        <v>520</v>
      </c>
      <c r="E5761" t="s">
        <v>535</v>
      </c>
    </row>
    <row r="5762" spans="1:5" customFormat="1" x14ac:dyDescent="0.3">
      <c r="A5762" s="12" t="s">
        <v>1250</v>
      </c>
      <c r="B5762" t="s">
        <v>518</v>
      </c>
      <c r="C5762" t="s">
        <v>123</v>
      </c>
      <c r="D5762" t="s">
        <v>520</v>
      </c>
      <c r="E5762" t="s">
        <v>536</v>
      </c>
    </row>
    <row r="5763" spans="1:5" customFormat="1" x14ac:dyDescent="0.3">
      <c r="A5763" s="12" t="s">
        <v>1250</v>
      </c>
      <c r="B5763" t="s">
        <v>518</v>
      </c>
      <c r="C5763" t="s">
        <v>123</v>
      </c>
      <c r="D5763" t="s">
        <v>520</v>
      </c>
      <c r="E5763" t="s">
        <v>537</v>
      </c>
    </row>
    <row r="5764" spans="1:5" customFormat="1" x14ac:dyDescent="0.3">
      <c r="A5764" s="12" t="s">
        <v>1250</v>
      </c>
      <c r="B5764" t="s">
        <v>518</v>
      </c>
      <c r="C5764" t="s">
        <v>123</v>
      </c>
      <c r="D5764" t="s">
        <v>538</v>
      </c>
      <c r="E5764" t="s">
        <v>539</v>
      </c>
    </row>
    <row r="5765" spans="1:5" customFormat="1" x14ac:dyDescent="0.3">
      <c r="A5765" s="12" t="s">
        <v>1250</v>
      </c>
      <c r="B5765" t="s">
        <v>518</v>
      </c>
      <c r="C5765" t="s">
        <v>123</v>
      </c>
      <c r="D5765" t="s">
        <v>540</v>
      </c>
      <c r="E5765" t="s">
        <v>1247</v>
      </c>
    </row>
    <row r="5766" spans="1:5" customFormat="1" x14ac:dyDescent="0.3">
      <c r="A5766" s="12" t="s">
        <v>1250</v>
      </c>
      <c r="B5766" t="s">
        <v>518</v>
      </c>
      <c r="C5766" t="s">
        <v>123</v>
      </c>
      <c r="D5766" t="s">
        <v>542</v>
      </c>
      <c r="E5766" t="s">
        <v>1506</v>
      </c>
    </row>
    <row r="5767" spans="1:5" customFormat="1" x14ac:dyDescent="0.3">
      <c r="A5767" s="12" t="s">
        <v>1250</v>
      </c>
      <c r="B5767" t="s">
        <v>518</v>
      </c>
      <c r="C5767" t="s">
        <v>123</v>
      </c>
      <c r="D5767" t="s">
        <v>542</v>
      </c>
      <c r="E5767" t="s">
        <v>1248</v>
      </c>
    </row>
    <row r="5768" spans="1:5" customFormat="1" x14ac:dyDescent="0.3">
      <c r="A5768" s="12" t="s">
        <v>1250</v>
      </c>
      <c r="B5768" t="s">
        <v>518</v>
      </c>
      <c r="C5768" t="s">
        <v>123</v>
      </c>
      <c r="D5768" t="s">
        <v>542</v>
      </c>
      <c r="E5768" t="s">
        <v>544</v>
      </c>
    </row>
    <row r="5769" spans="1:5" customFormat="1" x14ac:dyDescent="0.3">
      <c r="A5769" s="12" t="s">
        <v>1250</v>
      </c>
      <c r="B5769" t="s">
        <v>518</v>
      </c>
      <c r="C5769" t="s">
        <v>123</v>
      </c>
      <c r="D5769" t="s">
        <v>542</v>
      </c>
      <c r="E5769" t="s">
        <v>545</v>
      </c>
    </row>
    <row r="5770" spans="1:5" customFormat="1" x14ac:dyDescent="0.3">
      <c r="A5770" s="12" t="s">
        <v>1250</v>
      </c>
      <c r="B5770" t="s">
        <v>518</v>
      </c>
      <c r="C5770" t="s">
        <v>123</v>
      </c>
      <c r="D5770" t="s">
        <v>542</v>
      </c>
      <c r="E5770" t="s">
        <v>1249</v>
      </c>
    </row>
    <row r="5771" spans="1:5" customFormat="1" x14ac:dyDescent="0.3">
      <c r="A5771" s="12" t="s">
        <v>1250</v>
      </c>
      <c r="B5771" t="s">
        <v>518</v>
      </c>
      <c r="C5771" t="s">
        <v>123</v>
      </c>
      <c r="D5771" t="s">
        <v>542</v>
      </c>
      <c r="E5771" t="s">
        <v>547</v>
      </c>
    </row>
    <row r="5772" spans="1:5" customFormat="1" x14ac:dyDescent="0.3">
      <c r="A5772" s="12" t="s">
        <v>1250</v>
      </c>
      <c r="B5772" t="s">
        <v>518</v>
      </c>
      <c r="C5772" t="s">
        <v>123</v>
      </c>
      <c r="D5772" t="s">
        <v>542</v>
      </c>
      <c r="E5772" t="s">
        <v>1507</v>
      </c>
    </row>
    <row r="5773" spans="1:5" customFormat="1" x14ac:dyDescent="0.3">
      <c r="A5773" s="12" t="s">
        <v>1250</v>
      </c>
      <c r="B5773" t="s">
        <v>518</v>
      </c>
      <c r="C5773" t="s">
        <v>123</v>
      </c>
      <c r="D5773" t="s">
        <v>542</v>
      </c>
      <c r="E5773" t="s">
        <v>1508</v>
      </c>
    </row>
    <row r="5774" spans="1:5" customFormat="1" x14ac:dyDescent="0.3">
      <c r="A5774" s="12" t="s">
        <v>1250</v>
      </c>
      <c r="B5774" t="s">
        <v>518</v>
      </c>
      <c r="C5774" t="s">
        <v>123</v>
      </c>
      <c r="D5774" t="s">
        <v>542</v>
      </c>
      <c r="E5774" t="s">
        <v>548</v>
      </c>
    </row>
    <row r="5775" spans="1:5" customFormat="1" x14ac:dyDescent="0.3">
      <c r="A5775" s="12" t="s">
        <v>1250</v>
      </c>
      <c r="B5775" t="s">
        <v>518</v>
      </c>
      <c r="C5775" t="s">
        <v>123</v>
      </c>
      <c r="D5775" t="s">
        <v>542</v>
      </c>
      <c r="E5775" t="s">
        <v>549</v>
      </c>
    </row>
    <row r="5776" spans="1:5" customFormat="1" x14ac:dyDescent="0.3">
      <c r="A5776" s="12" t="s">
        <v>1250</v>
      </c>
      <c r="B5776" t="s">
        <v>518</v>
      </c>
      <c r="C5776" t="s">
        <v>123</v>
      </c>
      <c r="D5776" t="s">
        <v>542</v>
      </c>
      <c r="E5776" t="s">
        <v>550</v>
      </c>
    </row>
    <row r="5777" spans="1:29" customFormat="1" x14ac:dyDescent="0.3">
      <c r="A5777" s="12" t="s">
        <v>1250</v>
      </c>
      <c r="B5777" t="s">
        <v>518</v>
      </c>
      <c r="C5777" t="s">
        <v>123</v>
      </c>
      <c r="D5777" t="s">
        <v>542</v>
      </c>
      <c r="E5777" t="s">
        <v>551</v>
      </c>
    </row>
    <row r="5778" spans="1:29" customFormat="1" x14ac:dyDescent="0.3">
      <c r="A5778" s="12" t="s">
        <v>1250</v>
      </c>
      <c r="B5778" t="s">
        <v>518</v>
      </c>
      <c r="C5778" t="s">
        <v>123</v>
      </c>
      <c r="E5778" t="s">
        <v>552</v>
      </c>
    </row>
    <row r="5779" spans="1:29" x14ac:dyDescent="0.3">
      <c r="A5779" s="12" t="s">
        <v>1370</v>
      </c>
      <c r="B5779" t="s">
        <v>119</v>
      </c>
      <c r="C5779" t="s">
        <v>120</v>
      </c>
      <c r="D5779" t="s">
        <v>121</v>
      </c>
      <c r="E5779" t="s">
        <v>122</v>
      </c>
      <c r="F5779"/>
      <c r="G5779"/>
      <c r="H5779"/>
      <c r="I5779"/>
      <c r="J5779"/>
      <c r="K5779"/>
      <c r="L5779"/>
      <c r="M5779"/>
      <c r="N5779"/>
      <c r="O5779"/>
      <c r="P5779"/>
      <c r="Q5779"/>
      <c r="R5779"/>
      <c r="S5779"/>
      <c r="T5779"/>
      <c r="U5779"/>
      <c r="V5779"/>
      <c r="W5779"/>
      <c r="X5779"/>
      <c r="Y5779"/>
      <c r="Z5779"/>
      <c r="AA5779"/>
      <c r="AB5779"/>
      <c r="AC5779"/>
    </row>
    <row r="5780" spans="1:29" x14ac:dyDescent="0.3">
      <c r="A5780" s="12" t="s">
        <v>1370</v>
      </c>
      <c r="B5780" t="s">
        <v>119</v>
      </c>
      <c r="C5780" t="s">
        <v>123</v>
      </c>
      <c r="D5780" t="s">
        <v>124</v>
      </c>
      <c r="E5780" t="s">
        <v>125</v>
      </c>
      <c r="F5780"/>
      <c r="G5780"/>
      <c r="H5780"/>
      <c r="I5780"/>
      <c r="J5780"/>
      <c r="K5780"/>
      <c r="L5780"/>
      <c r="M5780"/>
      <c r="N5780"/>
      <c r="O5780"/>
      <c r="P5780"/>
      <c r="Q5780"/>
      <c r="R5780"/>
      <c r="S5780"/>
      <c r="T5780"/>
      <c r="U5780"/>
      <c r="V5780"/>
      <c r="W5780"/>
      <c r="X5780"/>
      <c r="Y5780"/>
      <c r="Z5780"/>
      <c r="AA5780"/>
      <c r="AB5780"/>
      <c r="AC5780"/>
    </row>
    <row r="5781" spans="1:29" x14ac:dyDescent="0.3">
      <c r="A5781" s="12" t="s">
        <v>1370</v>
      </c>
      <c r="B5781" t="s">
        <v>119</v>
      </c>
      <c r="C5781" t="s">
        <v>123</v>
      </c>
      <c r="D5781" t="s">
        <v>126</v>
      </c>
      <c r="E5781"/>
      <c r="F5781"/>
      <c r="G5781"/>
      <c r="H5781"/>
      <c r="I5781"/>
      <c r="J5781"/>
      <c r="K5781"/>
      <c r="L5781"/>
      <c r="M5781"/>
      <c r="N5781"/>
      <c r="O5781"/>
      <c r="P5781"/>
      <c r="Q5781"/>
      <c r="R5781"/>
      <c r="S5781"/>
      <c r="T5781"/>
      <c r="U5781"/>
      <c r="V5781"/>
      <c r="W5781"/>
      <c r="X5781"/>
      <c r="Y5781"/>
      <c r="Z5781"/>
      <c r="AA5781"/>
      <c r="AB5781"/>
      <c r="AC5781"/>
    </row>
    <row r="5782" spans="1:29" x14ac:dyDescent="0.3">
      <c r="A5782" s="12" t="s">
        <v>1370</v>
      </c>
      <c r="B5782" t="s">
        <v>119</v>
      </c>
      <c r="C5782" t="s">
        <v>123</v>
      </c>
      <c r="D5782" t="s">
        <v>127</v>
      </c>
      <c r="E5782" t="s">
        <v>128</v>
      </c>
      <c r="F5782"/>
      <c r="G5782"/>
      <c r="H5782"/>
      <c r="I5782"/>
      <c r="J5782"/>
      <c r="K5782"/>
      <c r="L5782"/>
      <c r="M5782"/>
      <c r="N5782"/>
      <c r="O5782"/>
      <c r="P5782"/>
      <c r="Q5782"/>
      <c r="R5782"/>
      <c r="S5782"/>
      <c r="T5782"/>
      <c r="U5782"/>
      <c r="V5782"/>
      <c r="W5782"/>
      <c r="X5782"/>
      <c r="Y5782"/>
      <c r="Z5782"/>
      <c r="AA5782"/>
      <c r="AB5782"/>
      <c r="AC5782"/>
    </row>
    <row r="5783" spans="1:29" x14ac:dyDescent="0.3">
      <c r="A5783" s="12" t="s">
        <v>1370</v>
      </c>
      <c r="B5783" t="s">
        <v>119</v>
      </c>
      <c r="C5783" t="s">
        <v>123</v>
      </c>
      <c r="D5783" t="s">
        <v>129</v>
      </c>
      <c r="E5783" t="s">
        <v>1371</v>
      </c>
      <c r="F5783"/>
      <c r="G5783"/>
      <c r="H5783"/>
      <c r="I5783"/>
      <c r="J5783"/>
      <c r="K5783"/>
      <c r="L5783"/>
      <c r="M5783"/>
      <c r="N5783"/>
      <c r="O5783"/>
      <c r="P5783"/>
      <c r="Q5783"/>
      <c r="R5783"/>
      <c r="S5783"/>
      <c r="T5783"/>
      <c r="U5783"/>
      <c r="V5783"/>
      <c r="W5783"/>
      <c r="X5783"/>
      <c r="Y5783"/>
      <c r="Z5783"/>
      <c r="AA5783"/>
      <c r="AB5783"/>
      <c r="AC5783"/>
    </row>
    <row r="5784" spans="1:29" x14ac:dyDescent="0.3">
      <c r="A5784" s="12" t="s">
        <v>1370</v>
      </c>
      <c r="B5784" t="s">
        <v>119</v>
      </c>
      <c r="C5784" t="s">
        <v>123</v>
      </c>
      <c r="D5784" t="s">
        <v>131</v>
      </c>
      <c r="E5784" t="s">
        <v>1372</v>
      </c>
      <c r="F5784"/>
      <c r="G5784"/>
      <c r="H5784"/>
      <c r="I5784"/>
      <c r="J5784"/>
      <c r="K5784"/>
      <c r="L5784"/>
      <c r="M5784"/>
      <c r="N5784"/>
      <c r="O5784"/>
      <c r="P5784"/>
      <c r="Q5784"/>
      <c r="R5784"/>
      <c r="S5784"/>
      <c r="T5784"/>
      <c r="U5784"/>
      <c r="V5784"/>
      <c r="W5784"/>
      <c r="X5784"/>
      <c r="Y5784"/>
      <c r="Z5784"/>
      <c r="AA5784"/>
      <c r="AB5784"/>
      <c r="AC5784"/>
    </row>
    <row r="5785" spans="1:29" x14ac:dyDescent="0.3">
      <c r="A5785" s="12" t="s">
        <v>1370</v>
      </c>
      <c r="B5785" t="s">
        <v>133</v>
      </c>
      <c r="C5785" t="s">
        <v>120</v>
      </c>
      <c r="D5785" t="s">
        <v>121</v>
      </c>
      <c r="E5785" t="s">
        <v>122</v>
      </c>
      <c r="F5785"/>
      <c r="G5785"/>
      <c r="H5785"/>
      <c r="I5785"/>
      <c r="J5785"/>
      <c r="K5785"/>
      <c r="L5785"/>
      <c r="M5785"/>
      <c r="N5785"/>
      <c r="O5785"/>
      <c r="P5785"/>
      <c r="Q5785"/>
      <c r="R5785"/>
      <c r="S5785"/>
      <c r="T5785"/>
      <c r="U5785"/>
      <c r="V5785"/>
      <c r="W5785"/>
      <c r="X5785"/>
      <c r="Y5785"/>
      <c r="Z5785"/>
      <c r="AA5785"/>
      <c r="AB5785"/>
      <c r="AC5785"/>
    </row>
    <row r="5786" spans="1:29" x14ac:dyDescent="0.3">
      <c r="A5786" s="12" t="s">
        <v>1370</v>
      </c>
      <c r="B5786" t="s">
        <v>133</v>
      </c>
      <c r="C5786" t="s">
        <v>123</v>
      </c>
      <c r="D5786" t="s">
        <v>134</v>
      </c>
      <c r="E5786"/>
      <c r="F5786"/>
      <c r="G5786"/>
      <c r="H5786"/>
      <c r="I5786"/>
      <c r="J5786"/>
      <c r="K5786"/>
      <c r="L5786"/>
      <c r="M5786"/>
      <c r="N5786"/>
      <c r="O5786"/>
      <c r="P5786"/>
      <c r="Q5786"/>
      <c r="R5786"/>
      <c r="S5786"/>
      <c r="T5786"/>
      <c r="U5786"/>
      <c r="V5786"/>
      <c r="W5786"/>
      <c r="X5786"/>
      <c r="Y5786"/>
      <c r="Z5786"/>
      <c r="AA5786"/>
      <c r="AB5786"/>
      <c r="AC5786"/>
    </row>
    <row r="5787" spans="1:29" x14ac:dyDescent="0.3">
      <c r="A5787" s="12" t="s">
        <v>1370</v>
      </c>
      <c r="B5787" t="s">
        <v>133</v>
      </c>
      <c r="C5787" t="s">
        <v>123</v>
      </c>
      <c r="D5787" t="s">
        <v>135</v>
      </c>
      <c r="E5787"/>
      <c r="F5787"/>
      <c r="G5787"/>
      <c r="H5787"/>
      <c r="I5787"/>
      <c r="J5787"/>
      <c r="K5787"/>
      <c r="L5787"/>
      <c r="M5787"/>
      <c r="N5787"/>
      <c r="O5787"/>
      <c r="P5787"/>
      <c r="Q5787"/>
      <c r="R5787"/>
      <c r="S5787"/>
      <c r="T5787"/>
      <c r="U5787"/>
      <c r="V5787"/>
      <c r="W5787"/>
      <c r="X5787"/>
      <c r="Y5787"/>
      <c r="Z5787"/>
      <c r="AA5787"/>
      <c r="AB5787"/>
      <c r="AC5787"/>
    </row>
    <row r="5788" spans="1:29" x14ac:dyDescent="0.3">
      <c r="A5788" s="12" t="s">
        <v>1370</v>
      </c>
      <c r="B5788" t="s">
        <v>133</v>
      </c>
      <c r="C5788" t="s">
        <v>123</v>
      </c>
      <c r="D5788" t="s">
        <v>136</v>
      </c>
      <c r="E5788"/>
      <c r="F5788"/>
      <c r="G5788"/>
      <c r="H5788"/>
      <c r="I5788"/>
      <c r="J5788"/>
      <c r="K5788"/>
      <c r="L5788"/>
      <c r="M5788"/>
      <c r="N5788"/>
      <c r="O5788"/>
      <c r="P5788"/>
      <c r="Q5788"/>
      <c r="R5788"/>
      <c r="S5788"/>
      <c r="T5788"/>
      <c r="U5788"/>
      <c r="V5788"/>
      <c r="W5788"/>
      <c r="X5788"/>
      <c r="Y5788"/>
      <c r="Z5788"/>
      <c r="AA5788"/>
      <c r="AB5788"/>
      <c r="AC5788"/>
    </row>
    <row r="5789" spans="1:29" x14ac:dyDescent="0.3">
      <c r="A5789" s="12" t="s">
        <v>1370</v>
      </c>
      <c r="B5789" t="s">
        <v>133</v>
      </c>
      <c r="C5789" t="s">
        <v>123</v>
      </c>
      <c r="D5789" t="s">
        <v>137</v>
      </c>
      <c r="E5789"/>
      <c r="F5789"/>
      <c r="G5789"/>
      <c r="H5789"/>
      <c r="I5789"/>
      <c r="J5789"/>
      <c r="K5789"/>
      <c r="L5789"/>
      <c r="M5789"/>
      <c r="N5789"/>
      <c r="O5789"/>
      <c r="P5789"/>
      <c r="Q5789"/>
      <c r="R5789"/>
      <c r="S5789"/>
      <c r="T5789"/>
      <c r="U5789"/>
      <c r="V5789"/>
      <c r="W5789"/>
      <c r="X5789"/>
      <c r="Y5789"/>
      <c r="Z5789"/>
      <c r="AA5789"/>
      <c r="AB5789"/>
      <c r="AC5789"/>
    </row>
    <row r="5790" spans="1:29" x14ac:dyDescent="0.3">
      <c r="A5790" s="12" t="s">
        <v>1370</v>
      </c>
      <c r="B5790" t="s">
        <v>133</v>
      </c>
      <c r="C5790" t="s">
        <v>123</v>
      </c>
      <c r="D5790" t="s">
        <v>138</v>
      </c>
      <c r="E5790" t="s">
        <v>139</v>
      </c>
      <c r="F5790"/>
      <c r="G5790"/>
      <c r="H5790"/>
      <c r="I5790"/>
      <c r="J5790"/>
      <c r="K5790"/>
      <c r="L5790"/>
      <c r="M5790"/>
      <c r="N5790"/>
      <c r="O5790"/>
      <c r="P5790"/>
      <c r="Q5790"/>
      <c r="R5790"/>
      <c r="S5790"/>
      <c r="T5790"/>
      <c r="U5790"/>
      <c r="V5790"/>
      <c r="W5790"/>
      <c r="X5790"/>
      <c r="Y5790"/>
      <c r="Z5790"/>
      <c r="AA5790"/>
      <c r="AB5790"/>
      <c r="AC5790"/>
    </row>
    <row r="5791" spans="1:29" x14ac:dyDescent="0.3">
      <c r="A5791" s="12" t="s">
        <v>1370</v>
      </c>
      <c r="B5791" t="s">
        <v>133</v>
      </c>
      <c r="C5791" t="s">
        <v>123</v>
      </c>
      <c r="D5791" t="s">
        <v>140</v>
      </c>
      <c r="E5791" t="s">
        <v>141</v>
      </c>
      <c r="F5791"/>
      <c r="G5791"/>
      <c r="H5791"/>
      <c r="I5791"/>
      <c r="J5791"/>
      <c r="K5791"/>
      <c r="L5791"/>
      <c r="M5791"/>
      <c r="N5791"/>
      <c r="O5791"/>
      <c r="P5791"/>
      <c r="Q5791"/>
      <c r="R5791"/>
      <c r="S5791"/>
      <c r="T5791"/>
      <c r="U5791"/>
      <c r="V5791"/>
      <c r="W5791"/>
      <c r="X5791"/>
      <c r="Y5791"/>
      <c r="Z5791"/>
      <c r="AA5791"/>
      <c r="AB5791"/>
      <c r="AC5791"/>
    </row>
    <row r="5792" spans="1:29" x14ac:dyDescent="0.3">
      <c r="A5792" s="12" t="s">
        <v>1370</v>
      </c>
      <c r="B5792" t="s">
        <v>133</v>
      </c>
      <c r="C5792" t="s">
        <v>123</v>
      </c>
      <c r="D5792" t="s">
        <v>142</v>
      </c>
      <c r="E5792" t="s">
        <v>114</v>
      </c>
      <c r="F5792"/>
      <c r="G5792"/>
      <c r="H5792"/>
      <c r="I5792"/>
      <c r="J5792"/>
      <c r="K5792"/>
      <c r="L5792"/>
      <c r="M5792"/>
      <c r="N5792"/>
      <c r="O5792"/>
      <c r="P5792"/>
      <c r="Q5792"/>
      <c r="R5792"/>
      <c r="S5792"/>
      <c r="T5792"/>
      <c r="U5792"/>
      <c r="V5792"/>
      <c r="W5792"/>
      <c r="X5792"/>
      <c r="Y5792"/>
      <c r="Z5792"/>
      <c r="AA5792"/>
      <c r="AB5792"/>
      <c r="AC5792"/>
    </row>
    <row r="5793" spans="1:29" x14ac:dyDescent="0.3">
      <c r="A5793" s="12" t="s">
        <v>1370</v>
      </c>
      <c r="B5793" t="s">
        <v>143</v>
      </c>
      <c r="C5793" t="s">
        <v>120</v>
      </c>
      <c r="D5793" t="s">
        <v>144</v>
      </c>
      <c r="E5793" t="s">
        <v>145</v>
      </c>
      <c r="F5793" t="s">
        <v>146</v>
      </c>
      <c r="G5793" t="s">
        <v>147</v>
      </c>
      <c r="H5793" t="s">
        <v>148</v>
      </c>
      <c r="I5793" t="s">
        <v>99</v>
      </c>
      <c r="J5793"/>
      <c r="K5793"/>
      <c r="L5793"/>
      <c r="M5793"/>
      <c r="N5793"/>
      <c r="O5793"/>
      <c r="P5793"/>
      <c r="Q5793"/>
      <c r="R5793"/>
      <c r="S5793"/>
      <c r="T5793"/>
      <c r="U5793"/>
      <c r="V5793"/>
      <c r="W5793"/>
      <c r="X5793"/>
      <c r="Y5793"/>
      <c r="Z5793"/>
      <c r="AA5793"/>
      <c r="AB5793"/>
      <c r="AC5793"/>
    </row>
    <row r="5794" spans="1:29" x14ac:dyDescent="0.3">
      <c r="A5794" s="12" t="s">
        <v>1370</v>
      </c>
      <c r="B5794" t="s">
        <v>143</v>
      </c>
      <c r="C5794" t="s">
        <v>123</v>
      </c>
      <c r="D5794" t="s">
        <v>149</v>
      </c>
      <c r="E5794">
        <v>71547.261125000005</v>
      </c>
      <c r="F5794">
        <v>39630.966124999999</v>
      </c>
      <c r="G5794">
        <v>0</v>
      </c>
      <c r="H5794">
        <v>39630.966124999999</v>
      </c>
      <c r="I5794">
        <v>-31916.294999999998</v>
      </c>
      <c r="J5794"/>
      <c r="K5794"/>
      <c r="L5794"/>
      <c r="M5794"/>
      <c r="N5794"/>
      <c r="O5794"/>
      <c r="P5794"/>
      <c r="Q5794"/>
      <c r="R5794"/>
      <c r="S5794"/>
      <c r="T5794"/>
      <c r="U5794"/>
      <c r="V5794"/>
      <c r="W5794"/>
      <c r="X5794"/>
      <c r="Y5794"/>
      <c r="Z5794"/>
      <c r="AA5794"/>
      <c r="AB5794"/>
      <c r="AC5794"/>
    </row>
    <row r="5795" spans="1:29" x14ac:dyDescent="0.3">
      <c r="A5795" s="12" t="s">
        <v>1370</v>
      </c>
      <c r="B5795" t="s">
        <v>143</v>
      </c>
      <c r="C5795" t="s">
        <v>123</v>
      </c>
      <c r="D5795" t="s">
        <v>150</v>
      </c>
      <c r="E5795">
        <v>436128.83</v>
      </c>
      <c r="F5795">
        <v>488304.8</v>
      </c>
      <c r="G5795">
        <v>0</v>
      </c>
      <c r="H5795">
        <v>488304.8</v>
      </c>
      <c r="I5795">
        <v>52175.97</v>
      </c>
      <c r="J5795"/>
      <c r="K5795"/>
      <c r="L5795"/>
      <c r="M5795"/>
      <c r="N5795"/>
      <c r="O5795"/>
      <c r="P5795"/>
      <c r="Q5795"/>
      <c r="R5795"/>
      <c r="S5795"/>
      <c r="T5795"/>
      <c r="U5795"/>
      <c r="V5795"/>
      <c r="W5795"/>
      <c r="X5795"/>
      <c r="Y5795"/>
      <c r="Z5795"/>
      <c r="AA5795"/>
      <c r="AB5795"/>
      <c r="AC5795"/>
    </row>
    <row r="5796" spans="1:29" x14ac:dyDescent="0.3">
      <c r="A5796" s="12" t="s">
        <v>1370</v>
      </c>
      <c r="B5796" t="s">
        <v>143</v>
      </c>
      <c r="C5796" t="s">
        <v>123</v>
      </c>
      <c r="D5796" t="s">
        <v>151</v>
      </c>
      <c r="E5796">
        <v>52.78</v>
      </c>
      <c r="F5796">
        <v>50.18</v>
      </c>
      <c r="G5796">
        <v>0</v>
      </c>
      <c r="H5796">
        <v>50.18</v>
      </c>
      <c r="I5796">
        <v>-2.6</v>
      </c>
      <c r="J5796"/>
      <c r="K5796"/>
      <c r="L5796"/>
      <c r="M5796"/>
      <c r="N5796"/>
      <c r="O5796"/>
      <c r="P5796"/>
      <c r="Q5796"/>
      <c r="R5796"/>
      <c r="S5796"/>
      <c r="T5796"/>
      <c r="U5796"/>
      <c r="V5796"/>
      <c r="W5796"/>
      <c r="X5796"/>
      <c r="Y5796"/>
      <c r="Z5796"/>
      <c r="AA5796"/>
      <c r="AB5796"/>
      <c r="AC5796"/>
    </row>
    <row r="5797" spans="1:29" x14ac:dyDescent="0.3">
      <c r="A5797" s="12" t="s">
        <v>1370</v>
      </c>
      <c r="B5797" t="s">
        <v>143</v>
      </c>
      <c r="C5797" t="s">
        <v>123</v>
      </c>
      <c r="D5797" t="s">
        <v>152</v>
      </c>
      <c r="E5797">
        <v>45.3</v>
      </c>
      <c r="F5797">
        <v>39.729999999999997</v>
      </c>
      <c r="G5797">
        <v>0</v>
      </c>
      <c r="H5797">
        <v>39.729999999999997</v>
      </c>
      <c r="I5797">
        <v>-5.57</v>
      </c>
      <c r="J5797"/>
      <c r="K5797"/>
      <c r="L5797"/>
      <c r="M5797"/>
      <c r="N5797"/>
      <c r="O5797"/>
      <c r="P5797"/>
      <c r="Q5797"/>
      <c r="R5797"/>
      <c r="S5797"/>
      <c r="T5797"/>
      <c r="U5797"/>
      <c r="V5797"/>
      <c r="W5797"/>
      <c r="X5797"/>
      <c r="Y5797"/>
      <c r="Z5797"/>
      <c r="AA5797"/>
      <c r="AB5797"/>
      <c r="AC5797"/>
    </row>
    <row r="5798" spans="1:29" x14ac:dyDescent="0.3">
      <c r="A5798" s="12" t="s">
        <v>1370</v>
      </c>
      <c r="B5798" t="s">
        <v>143</v>
      </c>
      <c r="C5798" t="s">
        <v>123</v>
      </c>
      <c r="D5798" t="s">
        <v>97</v>
      </c>
      <c r="E5798">
        <v>507774.17112499999</v>
      </c>
      <c r="F5798">
        <v>528025.676125</v>
      </c>
      <c r="G5798">
        <v>0</v>
      </c>
      <c r="H5798">
        <v>528025.676125</v>
      </c>
      <c r="I5798">
        <v>20251.505000000001</v>
      </c>
      <c r="J5798"/>
      <c r="K5798"/>
      <c r="L5798"/>
      <c r="M5798"/>
      <c r="N5798"/>
      <c r="O5798"/>
      <c r="P5798"/>
      <c r="Q5798"/>
      <c r="R5798"/>
      <c r="S5798"/>
      <c r="T5798"/>
      <c r="U5798"/>
      <c r="V5798"/>
      <c r="W5798"/>
      <c r="X5798"/>
      <c r="Y5798"/>
      <c r="Z5798"/>
      <c r="AA5798"/>
      <c r="AB5798"/>
      <c r="AC5798"/>
    </row>
    <row r="5799" spans="1:29" x14ac:dyDescent="0.3">
      <c r="A5799" s="12" t="s">
        <v>1370</v>
      </c>
      <c r="B5799" t="s">
        <v>143</v>
      </c>
      <c r="C5799" t="s">
        <v>120</v>
      </c>
      <c r="D5799" t="s">
        <v>153</v>
      </c>
      <c r="E5799"/>
      <c r="F5799"/>
      <c r="G5799"/>
      <c r="H5799"/>
      <c r="I5799"/>
      <c r="J5799"/>
      <c r="K5799"/>
      <c r="L5799"/>
      <c r="M5799"/>
      <c r="N5799"/>
      <c r="O5799"/>
      <c r="P5799"/>
      <c r="Q5799"/>
      <c r="R5799"/>
      <c r="S5799"/>
      <c r="T5799"/>
      <c r="U5799"/>
      <c r="V5799"/>
      <c r="W5799"/>
      <c r="X5799"/>
      <c r="Y5799"/>
      <c r="Z5799"/>
      <c r="AA5799"/>
      <c r="AB5799"/>
      <c r="AC5799"/>
    </row>
    <row r="5800" spans="1:29" x14ac:dyDescent="0.3">
      <c r="A5800" s="12" t="s">
        <v>1370</v>
      </c>
      <c r="B5800" t="s">
        <v>143</v>
      </c>
      <c r="C5800" t="s">
        <v>123</v>
      </c>
      <c r="D5800" s="32">
        <v>3.9882897069999999E-2</v>
      </c>
      <c r="E5800"/>
      <c r="F5800"/>
      <c r="G5800"/>
      <c r="H5800"/>
      <c r="I5800"/>
      <c r="J5800"/>
      <c r="K5800"/>
      <c r="L5800"/>
      <c r="M5800"/>
      <c r="N5800"/>
      <c r="O5800"/>
      <c r="P5800"/>
      <c r="Q5800"/>
      <c r="R5800"/>
      <c r="S5800"/>
      <c r="T5800"/>
      <c r="U5800"/>
      <c r="V5800"/>
      <c r="W5800"/>
      <c r="X5800"/>
      <c r="Y5800"/>
      <c r="Z5800"/>
      <c r="AA5800"/>
      <c r="AB5800"/>
      <c r="AC5800"/>
    </row>
    <row r="5801" spans="1:29" x14ac:dyDescent="0.3">
      <c r="A5801" s="12" t="s">
        <v>1370</v>
      </c>
      <c r="B5801" t="s">
        <v>154</v>
      </c>
      <c r="C5801" t="s">
        <v>120</v>
      </c>
      <c r="D5801" t="s">
        <v>121</v>
      </c>
      <c r="E5801" t="s">
        <v>122</v>
      </c>
      <c r="F5801"/>
      <c r="G5801"/>
      <c r="H5801"/>
      <c r="I5801"/>
      <c r="J5801"/>
      <c r="K5801"/>
      <c r="L5801"/>
      <c r="M5801"/>
      <c r="N5801"/>
      <c r="O5801"/>
      <c r="P5801"/>
      <c r="Q5801"/>
      <c r="R5801"/>
      <c r="S5801"/>
      <c r="T5801"/>
      <c r="U5801"/>
      <c r="V5801"/>
      <c r="W5801"/>
      <c r="X5801"/>
      <c r="Y5801"/>
      <c r="Z5801"/>
      <c r="AA5801"/>
      <c r="AB5801"/>
      <c r="AC5801"/>
    </row>
    <row r="5802" spans="1:29" x14ac:dyDescent="0.3">
      <c r="A5802" s="12" t="s">
        <v>1370</v>
      </c>
      <c r="B5802" t="s">
        <v>154</v>
      </c>
      <c r="C5802" t="s">
        <v>123</v>
      </c>
      <c r="D5802" t="s">
        <v>155</v>
      </c>
      <c r="E5802">
        <v>507774.17112499999</v>
      </c>
      <c r="F5802"/>
      <c r="G5802"/>
      <c r="H5802"/>
      <c r="I5802"/>
      <c r="J5802"/>
      <c r="K5802"/>
      <c r="L5802"/>
      <c r="M5802"/>
      <c r="N5802"/>
      <c r="O5802"/>
      <c r="P5802"/>
      <c r="Q5802"/>
      <c r="R5802"/>
      <c r="S5802"/>
      <c r="T5802"/>
      <c r="U5802"/>
      <c r="V5802"/>
      <c r="W5802"/>
      <c r="X5802"/>
      <c r="Y5802"/>
      <c r="Z5802"/>
      <c r="AA5802"/>
      <c r="AB5802"/>
      <c r="AC5802"/>
    </row>
    <row r="5803" spans="1:29" x14ac:dyDescent="0.3">
      <c r="A5803" s="12" t="s">
        <v>1370</v>
      </c>
      <c r="B5803" t="s">
        <v>154</v>
      </c>
      <c r="C5803" t="s">
        <v>123</v>
      </c>
      <c r="D5803" t="s">
        <v>156</v>
      </c>
      <c r="E5803">
        <v>20245.645</v>
      </c>
      <c r="F5803"/>
      <c r="G5803"/>
      <c r="H5803"/>
      <c r="I5803"/>
      <c r="J5803"/>
      <c r="K5803"/>
      <c r="L5803"/>
      <c r="M5803"/>
      <c r="N5803"/>
      <c r="O5803"/>
      <c r="P5803"/>
      <c r="Q5803"/>
      <c r="R5803"/>
      <c r="S5803"/>
      <c r="T5803"/>
      <c r="U5803"/>
      <c r="V5803"/>
      <c r="W5803"/>
      <c r="X5803"/>
      <c r="Y5803"/>
      <c r="Z5803"/>
      <c r="AA5803"/>
      <c r="AB5803"/>
      <c r="AC5803"/>
    </row>
    <row r="5804" spans="1:29" x14ac:dyDescent="0.3">
      <c r="A5804" s="12" t="s">
        <v>1370</v>
      </c>
      <c r="B5804" t="s">
        <v>154</v>
      </c>
      <c r="C5804" t="s">
        <v>123</v>
      </c>
      <c r="D5804" t="s">
        <v>157</v>
      </c>
      <c r="E5804">
        <v>60.4</v>
      </c>
      <c r="F5804"/>
      <c r="G5804"/>
      <c r="H5804"/>
      <c r="I5804"/>
      <c r="J5804"/>
      <c r="K5804"/>
      <c r="L5804"/>
      <c r="M5804"/>
      <c r="N5804"/>
      <c r="O5804"/>
      <c r="P5804"/>
      <c r="Q5804"/>
      <c r="R5804"/>
      <c r="S5804"/>
      <c r="T5804"/>
      <c r="U5804"/>
      <c r="V5804"/>
      <c r="W5804"/>
      <c r="X5804"/>
      <c r="Y5804"/>
      <c r="Z5804"/>
      <c r="AA5804"/>
      <c r="AB5804"/>
      <c r="AC5804"/>
    </row>
    <row r="5805" spans="1:29" x14ac:dyDescent="0.3">
      <c r="A5805" s="12" t="s">
        <v>1370</v>
      </c>
      <c r="B5805" t="s">
        <v>154</v>
      </c>
      <c r="C5805" t="s">
        <v>123</v>
      </c>
      <c r="D5805" t="s">
        <v>158</v>
      </c>
      <c r="E5805">
        <v>-15.1</v>
      </c>
      <c r="F5805"/>
      <c r="G5805"/>
      <c r="H5805"/>
      <c r="I5805"/>
      <c r="J5805"/>
      <c r="K5805"/>
      <c r="L5805"/>
      <c r="M5805"/>
      <c r="N5805"/>
      <c r="O5805"/>
      <c r="P5805"/>
      <c r="Q5805"/>
      <c r="R5805"/>
      <c r="S5805"/>
      <c r="T5805"/>
      <c r="U5805"/>
      <c r="V5805"/>
      <c r="W5805"/>
      <c r="X5805"/>
      <c r="Y5805"/>
      <c r="Z5805"/>
      <c r="AA5805"/>
      <c r="AB5805"/>
      <c r="AC5805"/>
    </row>
    <row r="5806" spans="1:29" x14ac:dyDescent="0.3">
      <c r="A5806" s="12" t="s">
        <v>1370</v>
      </c>
      <c r="B5806" t="s">
        <v>154</v>
      </c>
      <c r="C5806" t="s">
        <v>123</v>
      </c>
      <c r="D5806" t="s">
        <v>159</v>
      </c>
      <c r="E5806">
        <v>-5.57</v>
      </c>
      <c r="F5806"/>
      <c r="G5806"/>
      <c r="H5806"/>
      <c r="I5806"/>
      <c r="J5806"/>
      <c r="K5806"/>
      <c r="L5806"/>
      <c r="M5806"/>
      <c r="N5806"/>
      <c r="O5806"/>
      <c r="P5806"/>
      <c r="Q5806"/>
      <c r="R5806"/>
      <c r="S5806"/>
      <c r="T5806"/>
      <c r="U5806"/>
      <c r="V5806"/>
      <c r="W5806"/>
      <c r="X5806"/>
      <c r="Y5806"/>
      <c r="Z5806"/>
      <c r="AA5806"/>
      <c r="AB5806"/>
      <c r="AC5806"/>
    </row>
    <row r="5807" spans="1:29" x14ac:dyDescent="0.3">
      <c r="A5807" s="12" t="s">
        <v>1370</v>
      </c>
      <c r="B5807" t="s">
        <v>154</v>
      </c>
      <c r="C5807" t="s">
        <v>123</v>
      </c>
      <c r="D5807" t="s">
        <v>160</v>
      </c>
      <c r="E5807">
        <v>56.18</v>
      </c>
      <c r="F5807"/>
      <c r="G5807"/>
      <c r="H5807"/>
      <c r="I5807"/>
      <c r="J5807"/>
      <c r="K5807"/>
      <c r="L5807"/>
      <c r="M5807"/>
      <c r="N5807"/>
      <c r="O5807"/>
      <c r="P5807"/>
      <c r="Q5807"/>
      <c r="R5807"/>
      <c r="S5807"/>
      <c r="T5807"/>
      <c r="U5807"/>
      <c r="V5807"/>
      <c r="W5807"/>
      <c r="X5807"/>
      <c r="Y5807"/>
      <c r="Z5807"/>
      <c r="AA5807"/>
      <c r="AB5807"/>
      <c r="AC5807"/>
    </row>
    <row r="5808" spans="1:29" x14ac:dyDescent="0.3">
      <c r="A5808" s="12" t="s">
        <v>1370</v>
      </c>
      <c r="B5808" t="s">
        <v>154</v>
      </c>
      <c r="C5808" t="s">
        <v>123</v>
      </c>
      <c r="D5808" t="s">
        <v>161</v>
      </c>
      <c r="E5808">
        <v>-2.6</v>
      </c>
      <c r="F5808"/>
      <c r="G5808"/>
      <c r="H5808"/>
      <c r="I5808"/>
      <c r="J5808"/>
      <c r="K5808"/>
      <c r="L5808"/>
      <c r="M5808"/>
      <c r="N5808"/>
      <c r="O5808"/>
      <c r="P5808"/>
      <c r="Q5808"/>
      <c r="R5808"/>
      <c r="S5808"/>
      <c r="T5808"/>
      <c r="U5808"/>
      <c r="V5808"/>
      <c r="W5808"/>
      <c r="X5808"/>
      <c r="Y5808"/>
      <c r="Z5808"/>
      <c r="AA5808"/>
      <c r="AB5808"/>
      <c r="AC5808"/>
    </row>
    <row r="5809" spans="1:29" x14ac:dyDescent="0.3">
      <c r="A5809" s="12" t="s">
        <v>1370</v>
      </c>
      <c r="B5809" t="s">
        <v>154</v>
      </c>
      <c r="C5809" t="s">
        <v>123</v>
      </c>
      <c r="D5809" t="s">
        <v>162</v>
      </c>
      <c r="E5809">
        <v>-87.45</v>
      </c>
      <c r="F5809"/>
      <c r="G5809"/>
      <c r="H5809"/>
      <c r="I5809"/>
      <c r="J5809"/>
      <c r="K5809"/>
      <c r="L5809"/>
      <c r="M5809"/>
      <c r="N5809"/>
      <c r="O5809"/>
      <c r="P5809"/>
      <c r="Q5809"/>
      <c r="R5809"/>
      <c r="S5809"/>
      <c r="T5809"/>
      <c r="U5809"/>
      <c r="V5809"/>
      <c r="W5809"/>
      <c r="X5809"/>
      <c r="Y5809"/>
      <c r="Z5809"/>
      <c r="AA5809"/>
      <c r="AB5809"/>
      <c r="AC5809"/>
    </row>
    <row r="5810" spans="1:29" x14ac:dyDescent="0.3">
      <c r="A5810" s="12" t="s">
        <v>1370</v>
      </c>
      <c r="B5810" t="s">
        <v>154</v>
      </c>
      <c r="C5810" t="s">
        <v>123</v>
      </c>
      <c r="D5810" t="s">
        <v>163</v>
      </c>
      <c r="E5810">
        <v>528025.676125</v>
      </c>
      <c r="F5810"/>
      <c r="G5810"/>
      <c r="H5810"/>
      <c r="I5810"/>
      <c r="J5810"/>
      <c r="K5810"/>
      <c r="L5810"/>
      <c r="M5810"/>
      <c r="N5810"/>
      <c r="O5810"/>
      <c r="P5810"/>
      <c r="Q5810"/>
      <c r="R5810"/>
      <c r="S5810"/>
      <c r="T5810"/>
      <c r="U5810"/>
      <c r="V5810"/>
      <c r="W5810"/>
      <c r="X5810"/>
      <c r="Y5810"/>
      <c r="Z5810"/>
      <c r="AA5810"/>
      <c r="AB5810"/>
      <c r="AC5810"/>
    </row>
    <row r="5811" spans="1:29" x14ac:dyDescent="0.3">
      <c r="A5811" s="12" t="s">
        <v>1370</v>
      </c>
      <c r="B5811" t="s">
        <v>164</v>
      </c>
      <c r="C5811" t="s">
        <v>120</v>
      </c>
      <c r="D5811" t="s">
        <v>100</v>
      </c>
      <c r="E5811" t="s">
        <v>0</v>
      </c>
      <c r="F5811" t="s">
        <v>101</v>
      </c>
      <c r="G5811" t="s">
        <v>102</v>
      </c>
      <c r="H5811" t="s">
        <v>103</v>
      </c>
      <c r="I5811" t="s">
        <v>104</v>
      </c>
      <c r="J5811" t="s">
        <v>105</v>
      </c>
      <c r="K5811" t="s">
        <v>106</v>
      </c>
      <c r="L5811" t="s">
        <v>107</v>
      </c>
      <c r="M5811" t="s">
        <v>108</v>
      </c>
      <c r="N5811" t="s">
        <v>109</v>
      </c>
      <c r="O5811" t="s">
        <v>165</v>
      </c>
      <c r="P5811"/>
      <c r="Q5811"/>
      <c r="R5811"/>
      <c r="S5811"/>
      <c r="T5811"/>
      <c r="U5811"/>
      <c r="V5811"/>
      <c r="W5811"/>
      <c r="X5811"/>
      <c r="Y5811"/>
      <c r="Z5811"/>
      <c r="AA5811"/>
      <c r="AB5811"/>
      <c r="AC5811"/>
    </row>
    <row r="5812" spans="1:29" x14ac:dyDescent="0.3">
      <c r="A5812" s="12" t="s">
        <v>1370</v>
      </c>
      <c r="B5812" t="s">
        <v>164</v>
      </c>
      <c r="C5812" t="s">
        <v>123</v>
      </c>
      <c r="D5812" t="s">
        <v>110</v>
      </c>
      <c r="E5812" t="s">
        <v>45</v>
      </c>
      <c r="F5812">
        <v>50</v>
      </c>
      <c r="G5812">
        <v>25</v>
      </c>
      <c r="H5812">
        <v>144.07</v>
      </c>
      <c r="I5812">
        <v>137.17500000000001</v>
      </c>
      <c r="J5812">
        <v>-334.12</v>
      </c>
      <c r="K5812">
        <v>-42.25</v>
      </c>
      <c r="L5812">
        <v>-1.3</v>
      </c>
      <c r="M5812">
        <v>0</v>
      </c>
      <c r="N5812">
        <v>-377.67</v>
      </c>
      <c r="O5812"/>
      <c r="P5812"/>
      <c r="Q5812"/>
      <c r="R5812"/>
      <c r="S5812"/>
      <c r="T5812"/>
      <c r="U5812"/>
      <c r="V5812"/>
      <c r="W5812"/>
      <c r="X5812"/>
      <c r="Y5812"/>
      <c r="Z5812"/>
      <c r="AA5812"/>
      <c r="AB5812"/>
      <c r="AC5812"/>
    </row>
    <row r="5813" spans="1:29" x14ac:dyDescent="0.3">
      <c r="A5813" s="12" t="s">
        <v>1370</v>
      </c>
      <c r="B5813" t="s">
        <v>164</v>
      </c>
      <c r="C5813" t="s">
        <v>123</v>
      </c>
      <c r="D5813" t="s">
        <v>110</v>
      </c>
      <c r="E5813" t="s">
        <v>4</v>
      </c>
      <c r="F5813">
        <v>0</v>
      </c>
      <c r="G5813">
        <v>25</v>
      </c>
      <c r="H5813" t="s">
        <v>111</v>
      </c>
      <c r="I5813">
        <v>209</v>
      </c>
      <c r="J5813">
        <v>346</v>
      </c>
      <c r="K5813">
        <v>-33</v>
      </c>
      <c r="L5813">
        <v>-1.3</v>
      </c>
      <c r="M5813">
        <v>0</v>
      </c>
      <c r="N5813">
        <v>311.7</v>
      </c>
      <c r="O5813"/>
      <c r="P5813"/>
      <c r="Q5813"/>
      <c r="R5813"/>
      <c r="S5813"/>
      <c r="T5813"/>
      <c r="U5813"/>
      <c r="V5813"/>
      <c r="W5813"/>
      <c r="X5813"/>
      <c r="Y5813"/>
      <c r="Z5813"/>
      <c r="AA5813"/>
      <c r="AB5813"/>
      <c r="AC5813"/>
    </row>
    <row r="5814" spans="1:29" x14ac:dyDescent="0.3">
      <c r="A5814" s="12" t="s">
        <v>1370</v>
      </c>
      <c r="B5814" t="s">
        <v>164</v>
      </c>
      <c r="C5814" t="s">
        <v>123</v>
      </c>
      <c r="D5814" t="s">
        <v>110</v>
      </c>
      <c r="E5814" t="s">
        <v>7</v>
      </c>
      <c r="F5814">
        <v>35</v>
      </c>
      <c r="G5814">
        <v>20</v>
      </c>
      <c r="H5814">
        <v>169.77</v>
      </c>
      <c r="I5814">
        <v>162.08000000000001</v>
      </c>
      <c r="J5814">
        <v>-251.6</v>
      </c>
      <c r="K5814">
        <v>-27.824999999999999</v>
      </c>
      <c r="L5814">
        <v>-1.3</v>
      </c>
      <c r="M5814">
        <v>0</v>
      </c>
      <c r="N5814">
        <v>-280.72500000000002</v>
      </c>
      <c r="O5814"/>
      <c r="P5814"/>
      <c r="Q5814"/>
      <c r="R5814"/>
      <c r="S5814"/>
      <c r="T5814"/>
      <c r="U5814"/>
      <c r="V5814"/>
      <c r="W5814"/>
      <c r="X5814"/>
      <c r="Y5814"/>
      <c r="Z5814"/>
      <c r="AA5814"/>
      <c r="AB5814"/>
      <c r="AC5814"/>
    </row>
    <row r="5815" spans="1:29" x14ac:dyDescent="0.3">
      <c r="A5815" s="12" t="s">
        <v>1370</v>
      </c>
      <c r="B5815" t="s">
        <v>164</v>
      </c>
      <c r="C5815" t="s">
        <v>123</v>
      </c>
      <c r="D5815" t="s">
        <v>110</v>
      </c>
      <c r="E5815" t="s">
        <v>1373</v>
      </c>
      <c r="F5815">
        <v>0</v>
      </c>
      <c r="G5815">
        <v>100</v>
      </c>
      <c r="H5815" t="s">
        <v>111</v>
      </c>
      <c r="I5815">
        <v>59.21</v>
      </c>
      <c r="J5815">
        <v>190</v>
      </c>
      <c r="K5815">
        <v>-15</v>
      </c>
      <c r="L5815">
        <v>-1.3</v>
      </c>
      <c r="M5815">
        <v>0</v>
      </c>
      <c r="N5815">
        <v>173.7</v>
      </c>
      <c r="O5815"/>
      <c r="P5815"/>
      <c r="Q5815"/>
      <c r="R5815"/>
      <c r="S5815"/>
      <c r="T5815"/>
      <c r="U5815"/>
      <c r="V5815"/>
      <c r="W5815"/>
      <c r="X5815"/>
      <c r="Y5815"/>
      <c r="Z5815"/>
      <c r="AA5815"/>
      <c r="AB5815"/>
      <c r="AC5815"/>
    </row>
    <row r="5816" spans="1:29" x14ac:dyDescent="0.3">
      <c r="A5816" s="12" t="s">
        <v>1370</v>
      </c>
      <c r="B5816" t="s">
        <v>164</v>
      </c>
      <c r="C5816" t="s">
        <v>123</v>
      </c>
      <c r="D5816" t="s">
        <v>110</v>
      </c>
      <c r="E5816" t="s">
        <v>1155</v>
      </c>
      <c r="F5816">
        <v>40</v>
      </c>
      <c r="G5816">
        <v>40</v>
      </c>
      <c r="H5816">
        <v>123.63</v>
      </c>
      <c r="I5816">
        <v>127.59</v>
      </c>
      <c r="J5816">
        <v>206.8</v>
      </c>
      <c r="K5816">
        <v>175.4</v>
      </c>
      <c r="L5816">
        <v>-2.6</v>
      </c>
      <c r="M5816">
        <v>13.35</v>
      </c>
      <c r="N5816">
        <v>392.95</v>
      </c>
      <c r="O5816"/>
      <c r="P5816"/>
      <c r="Q5816"/>
      <c r="R5816"/>
      <c r="S5816"/>
      <c r="T5816"/>
      <c r="U5816"/>
      <c r="V5816"/>
      <c r="W5816"/>
      <c r="X5816"/>
      <c r="Y5816"/>
      <c r="Z5816"/>
      <c r="AA5816"/>
      <c r="AB5816"/>
      <c r="AC5816"/>
    </row>
    <row r="5817" spans="1:29" x14ac:dyDescent="0.3">
      <c r="A5817" s="12" t="s">
        <v>1370</v>
      </c>
      <c r="B5817" t="s">
        <v>164</v>
      </c>
      <c r="C5817" t="s">
        <v>123</v>
      </c>
      <c r="D5817" t="s">
        <v>110</v>
      </c>
      <c r="E5817" t="s">
        <v>18</v>
      </c>
      <c r="F5817">
        <v>0</v>
      </c>
      <c r="G5817">
        <v>0</v>
      </c>
      <c r="H5817" t="s">
        <v>111</v>
      </c>
      <c r="I5817" t="s">
        <v>111</v>
      </c>
      <c r="J5817">
        <v>0</v>
      </c>
      <c r="K5817">
        <v>0</v>
      </c>
      <c r="L5817">
        <v>0</v>
      </c>
      <c r="M5817">
        <v>31.95</v>
      </c>
      <c r="N5817">
        <v>31.95</v>
      </c>
      <c r="O5817"/>
      <c r="P5817"/>
      <c r="Q5817"/>
      <c r="R5817"/>
      <c r="S5817"/>
      <c r="T5817"/>
      <c r="U5817"/>
      <c r="V5817"/>
      <c r="W5817"/>
      <c r="X5817"/>
      <c r="Y5817"/>
      <c r="Z5817"/>
      <c r="AA5817"/>
      <c r="AB5817"/>
      <c r="AC5817"/>
    </row>
    <row r="5818" spans="1:29" x14ac:dyDescent="0.3">
      <c r="A5818" s="12" t="s">
        <v>1370</v>
      </c>
      <c r="B5818" t="s">
        <v>164</v>
      </c>
      <c r="C5818" t="s">
        <v>123</v>
      </c>
      <c r="D5818" t="s">
        <v>110</v>
      </c>
      <c r="E5818" t="s">
        <v>48</v>
      </c>
      <c r="F5818">
        <v>35</v>
      </c>
      <c r="G5818">
        <v>35</v>
      </c>
      <c r="H5818">
        <v>171.78</v>
      </c>
      <c r="I5818">
        <v>182.16</v>
      </c>
      <c r="J5818">
        <v>363.3</v>
      </c>
      <c r="K5818">
        <v>0</v>
      </c>
      <c r="L5818">
        <v>0</v>
      </c>
      <c r="M5818">
        <v>0</v>
      </c>
      <c r="N5818">
        <v>363.3</v>
      </c>
      <c r="O5818"/>
      <c r="P5818"/>
      <c r="Q5818"/>
      <c r="R5818"/>
      <c r="S5818"/>
      <c r="T5818"/>
      <c r="U5818"/>
      <c r="V5818"/>
      <c r="W5818"/>
      <c r="X5818"/>
      <c r="Y5818"/>
      <c r="Z5818"/>
      <c r="AA5818"/>
      <c r="AB5818"/>
      <c r="AC5818"/>
    </row>
    <row r="5819" spans="1:29" x14ac:dyDescent="0.3">
      <c r="A5819" s="12" t="s">
        <v>1370</v>
      </c>
      <c r="B5819" t="s">
        <v>164</v>
      </c>
      <c r="C5819" t="s">
        <v>123</v>
      </c>
      <c r="D5819" t="s">
        <v>110</v>
      </c>
      <c r="E5819" t="s">
        <v>54</v>
      </c>
      <c r="F5819">
        <v>30</v>
      </c>
      <c r="G5819">
        <v>5</v>
      </c>
      <c r="H5819">
        <v>301.66000000000003</v>
      </c>
      <c r="I5819">
        <v>334.12</v>
      </c>
      <c r="J5819">
        <v>817.65</v>
      </c>
      <c r="K5819">
        <v>150.9</v>
      </c>
      <c r="L5819">
        <v>-2.6</v>
      </c>
      <c r="M5819">
        <v>0</v>
      </c>
      <c r="N5819">
        <v>965.95</v>
      </c>
      <c r="O5819"/>
      <c r="P5819"/>
      <c r="Q5819"/>
      <c r="R5819"/>
      <c r="S5819"/>
      <c r="T5819"/>
      <c r="U5819"/>
      <c r="V5819"/>
      <c r="W5819"/>
      <c r="X5819"/>
      <c r="Y5819"/>
      <c r="Z5819"/>
      <c r="AA5819"/>
      <c r="AB5819"/>
      <c r="AC5819"/>
    </row>
    <row r="5820" spans="1:29" x14ac:dyDescent="0.3">
      <c r="A5820" s="12" t="s">
        <v>1370</v>
      </c>
      <c r="B5820" t="s">
        <v>164</v>
      </c>
      <c r="C5820" t="s">
        <v>123</v>
      </c>
      <c r="D5820" t="s">
        <v>110</v>
      </c>
      <c r="E5820" t="s">
        <v>19</v>
      </c>
      <c r="F5820">
        <v>0</v>
      </c>
      <c r="G5820">
        <v>30</v>
      </c>
      <c r="H5820" t="s">
        <v>111</v>
      </c>
      <c r="I5820">
        <v>168.95</v>
      </c>
      <c r="J5820">
        <v>-180</v>
      </c>
      <c r="K5820">
        <v>-3.3</v>
      </c>
      <c r="L5820">
        <v>-2.6</v>
      </c>
      <c r="M5820">
        <v>0</v>
      </c>
      <c r="N5820">
        <v>-185.9</v>
      </c>
      <c r="O5820"/>
      <c r="P5820"/>
      <c r="Q5820"/>
      <c r="R5820"/>
      <c r="S5820"/>
      <c r="T5820"/>
      <c r="U5820"/>
      <c r="V5820"/>
      <c r="W5820"/>
      <c r="X5820"/>
      <c r="Y5820"/>
      <c r="Z5820"/>
      <c r="AA5820"/>
      <c r="AB5820"/>
      <c r="AC5820"/>
    </row>
    <row r="5821" spans="1:29" x14ac:dyDescent="0.3">
      <c r="A5821" s="12" t="s">
        <v>1370</v>
      </c>
      <c r="B5821" t="s">
        <v>164</v>
      </c>
      <c r="C5821" t="s">
        <v>123</v>
      </c>
      <c r="D5821" t="s">
        <v>110</v>
      </c>
      <c r="E5821" t="s">
        <v>1374</v>
      </c>
      <c r="F5821">
        <v>0</v>
      </c>
      <c r="G5821">
        <v>60</v>
      </c>
      <c r="H5821" t="s">
        <v>111</v>
      </c>
      <c r="I5821">
        <v>123.67</v>
      </c>
      <c r="J5821">
        <v>461.4</v>
      </c>
      <c r="K5821">
        <v>-36.6</v>
      </c>
      <c r="L5821">
        <v>-1.3</v>
      </c>
      <c r="M5821">
        <v>0</v>
      </c>
      <c r="N5821">
        <v>423.5</v>
      </c>
      <c r="O5821"/>
      <c r="P5821"/>
      <c r="Q5821"/>
      <c r="R5821"/>
      <c r="S5821"/>
      <c r="T5821"/>
      <c r="U5821"/>
      <c r="V5821"/>
      <c r="W5821"/>
      <c r="X5821"/>
      <c r="Y5821"/>
      <c r="Z5821"/>
      <c r="AA5821"/>
      <c r="AB5821"/>
      <c r="AC5821"/>
    </row>
    <row r="5822" spans="1:29" x14ac:dyDescent="0.3">
      <c r="A5822" s="12" t="s">
        <v>1370</v>
      </c>
      <c r="B5822" t="s">
        <v>164</v>
      </c>
      <c r="C5822" t="s">
        <v>123</v>
      </c>
      <c r="D5822" t="s">
        <v>110</v>
      </c>
      <c r="E5822" t="s">
        <v>1253</v>
      </c>
      <c r="F5822">
        <v>30</v>
      </c>
      <c r="G5822">
        <v>30</v>
      </c>
      <c r="H5822">
        <v>144.43</v>
      </c>
      <c r="I5822">
        <v>155.57</v>
      </c>
      <c r="J5822">
        <v>334.2</v>
      </c>
      <c r="K5822">
        <v>0</v>
      </c>
      <c r="L5822">
        <v>0</v>
      </c>
      <c r="M5822">
        <v>0</v>
      </c>
      <c r="N5822">
        <v>334.2</v>
      </c>
      <c r="O5822"/>
      <c r="P5822"/>
      <c r="Q5822"/>
      <c r="R5822"/>
      <c r="S5822"/>
      <c r="T5822"/>
      <c r="U5822"/>
      <c r="V5822"/>
      <c r="W5822"/>
      <c r="X5822"/>
      <c r="Y5822"/>
      <c r="Z5822"/>
      <c r="AA5822"/>
      <c r="AB5822"/>
      <c r="AC5822"/>
    </row>
    <row r="5823" spans="1:29" x14ac:dyDescent="0.3">
      <c r="A5823" s="12" t="s">
        <v>1370</v>
      </c>
      <c r="B5823" t="s">
        <v>164</v>
      </c>
      <c r="C5823" t="s">
        <v>123</v>
      </c>
      <c r="D5823" t="s">
        <v>110</v>
      </c>
      <c r="E5823" t="s">
        <v>1254</v>
      </c>
      <c r="F5823">
        <v>50</v>
      </c>
      <c r="G5823">
        <v>50</v>
      </c>
      <c r="H5823">
        <v>217.76</v>
      </c>
      <c r="I5823">
        <v>241.87</v>
      </c>
      <c r="J5823">
        <v>1205.5</v>
      </c>
      <c r="K5823">
        <v>0</v>
      </c>
      <c r="L5823">
        <v>0</v>
      </c>
      <c r="M5823">
        <v>0</v>
      </c>
      <c r="N5823">
        <v>1205.5</v>
      </c>
      <c r="O5823"/>
      <c r="P5823"/>
      <c r="Q5823"/>
      <c r="R5823"/>
      <c r="S5823"/>
      <c r="T5823"/>
      <c r="U5823"/>
      <c r="V5823"/>
      <c r="W5823"/>
      <c r="X5823"/>
      <c r="Y5823"/>
      <c r="Z5823"/>
      <c r="AA5823"/>
      <c r="AB5823"/>
      <c r="AC5823"/>
    </row>
    <row r="5824" spans="1:29" x14ac:dyDescent="0.3">
      <c r="A5824" s="12" t="s">
        <v>1370</v>
      </c>
      <c r="B5824" t="s">
        <v>164</v>
      </c>
      <c r="C5824" t="s">
        <v>123</v>
      </c>
      <c r="D5824" t="s">
        <v>110</v>
      </c>
      <c r="E5824" t="s">
        <v>70</v>
      </c>
      <c r="F5824">
        <v>20</v>
      </c>
      <c r="G5824">
        <v>20</v>
      </c>
      <c r="H5824">
        <v>221.92</v>
      </c>
      <c r="I5824">
        <v>249.72</v>
      </c>
      <c r="J5824">
        <v>556</v>
      </c>
      <c r="K5824">
        <v>0</v>
      </c>
      <c r="L5824">
        <v>0</v>
      </c>
      <c r="M5824">
        <v>0</v>
      </c>
      <c r="N5824">
        <v>556</v>
      </c>
      <c r="O5824"/>
      <c r="P5824"/>
      <c r="Q5824"/>
      <c r="R5824"/>
      <c r="S5824"/>
      <c r="T5824"/>
      <c r="U5824"/>
      <c r="V5824"/>
      <c r="W5824"/>
      <c r="X5824"/>
      <c r="Y5824"/>
      <c r="Z5824"/>
      <c r="AA5824"/>
      <c r="AB5824"/>
      <c r="AC5824"/>
    </row>
    <row r="5825" spans="1:29" x14ac:dyDescent="0.3">
      <c r="A5825" s="12" t="s">
        <v>1370</v>
      </c>
      <c r="B5825" t="s">
        <v>164</v>
      </c>
      <c r="C5825" t="s">
        <v>123</v>
      </c>
      <c r="D5825" t="s">
        <v>110</v>
      </c>
      <c r="E5825" t="s">
        <v>49</v>
      </c>
      <c r="F5825">
        <v>5</v>
      </c>
      <c r="G5825">
        <v>5</v>
      </c>
      <c r="H5825">
        <v>829.74</v>
      </c>
      <c r="I5825">
        <v>795.35</v>
      </c>
      <c r="J5825">
        <v>-171.95</v>
      </c>
      <c r="K5825">
        <v>0</v>
      </c>
      <c r="L5825">
        <v>0</v>
      </c>
      <c r="M5825">
        <v>0</v>
      </c>
      <c r="N5825">
        <v>-171.95</v>
      </c>
      <c r="O5825"/>
      <c r="P5825"/>
      <c r="Q5825"/>
      <c r="R5825"/>
      <c r="S5825"/>
      <c r="T5825"/>
      <c r="U5825"/>
      <c r="V5825"/>
      <c r="W5825"/>
      <c r="X5825"/>
      <c r="Y5825"/>
      <c r="Z5825"/>
      <c r="AA5825"/>
      <c r="AB5825"/>
      <c r="AC5825"/>
    </row>
    <row r="5826" spans="1:29" x14ac:dyDescent="0.3">
      <c r="A5826" s="12" t="s">
        <v>1370</v>
      </c>
      <c r="B5826" t="s">
        <v>164</v>
      </c>
      <c r="C5826" t="s">
        <v>123</v>
      </c>
      <c r="D5826" t="s">
        <v>110</v>
      </c>
      <c r="E5826" t="s">
        <v>1375</v>
      </c>
      <c r="F5826">
        <v>0</v>
      </c>
      <c r="G5826">
        <v>60</v>
      </c>
      <c r="H5826" t="s">
        <v>111</v>
      </c>
      <c r="I5826">
        <v>92.69</v>
      </c>
      <c r="J5826">
        <v>119.4</v>
      </c>
      <c r="K5826">
        <v>6</v>
      </c>
      <c r="L5826">
        <v>-1.3</v>
      </c>
      <c r="M5826">
        <v>0</v>
      </c>
      <c r="N5826">
        <v>124.1</v>
      </c>
      <c r="O5826"/>
      <c r="P5826"/>
      <c r="Q5826"/>
      <c r="R5826"/>
      <c r="S5826"/>
      <c r="T5826"/>
      <c r="U5826"/>
      <c r="V5826"/>
      <c r="W5826"/>
      <c r="X5826"/>
      <c r="Y5826"/>
      <c r="Z5826"/>
      <c r="AA5826"/>
      <c r="AB5826"/>
      <c r="AC5826"/>
    </row>
    <row r="5827" spans="1:29" x14ac:dyDescent="0.3">
      <c r="A5827" s="12" t="s">
        <v>1370</v>
      </c>
      <c r="B5827" t="s">
        <v>164</v>
      </c>
      <c r="C5827" t="s">
        <v>123</v>
      </c>
      <c r="D5827" t="s">
        <v>110</v>
      </c>
      <c r="E5827" t="s">
        <v>28</v>
      </c>
      <c r="F5827">
        <v>56</v>
      </c>
      <c r="G5827">
        <v>56</v>
      </c>
      <c r="H5827">
        <v>406.35</v>
      </c>
      <c r="I5827">
        <v>423.46</v>
      </c>
      <c r="J5827">
        <v>958.16</v>
      </c>
      <c r="K5827">
        <v>0</v>
      </c>
      <c r="L5827">
        <v>0</v>
      </c>
      <c r="M5827">
        <v>0</v>
      </c>
      <c r="N5827">
        <v>958.16</v>
      </c>
      <c r="O5827"/>
      <c r="P5827"/>
      <c r="Q5827"/>
      <c r="R5827"/>
      <c r="S5827"/>
      <c r="T5827"/>
      <c r="U5827"/>
      <c r="V5827"/>
      <c r="W5827"/>
      <c r="X5827"/>
      <c r="Y5827"/>
      <c r="Z5827"/>
      <c r="AA5827"/>
      <c r="AB5827"/>
      <c r="AC5827"/>
    </row>
    <row r="5828" spans="1:29" x14ac:dyDescent="0.3">
      <c r="A5828" s="12" t="s">
        <v>1370</v>
      </c>
      <c r="B5828" t="s">
        <v>164</v>
      </c>
      <c r="C5828" t="s">
        <v>123</v>
      </c>
      <c r="D5828" t="s">
        <v>110</v>
      </c>
      <c r="E5828" t="s">
        <v>71</v>
      </c>
      <c r="F5828">
        <v>100</v>
      </c>
      <c r="G5828">
        <v>40</v>
      </c>
      <c r="H5828">
        <v>132.76</v>
      </c>
      <c r="I5828">
        <v>138.25</v>
      </c>
      <c r="J5828">
        <v>647.4</v>
      </c>
      <c r="K5828">
        <v>-123.1</v>
      </c>
      <c r="L5828">
        <v>-3.9</v>
      </c>
      <c r="M5828">
        <v>0</v>
      </c>
      <c r="N5828">
        <v>520.4</v>
      </c>
      <c r="O5828"/>
      <c r="P5828"/>
      <c r="Q5828"/>
      <c r="R5828"/>
      <c r="S5828"/>
      <c r="T5828"/>
      <c r="U5828"/>
      <c r="V5828"/>
      <c r="W5828"/>
      <c r="X5828"/>
      <c r="Y5828"/>
      <c r="Z5828"/>
      <c r="AA5828"/>
      <c r="AB5828"/>
      <c r="AC5828"/>
    </row>
    <row r="5829" spans="1:29" x14ac:dyDescent="0.3">
      <c r="A5829" s="12" t="s">
        <v>1370</v>
      </c>
      <c r="B5829" t="s">
        <v>164</v>
      </c>
      <c r="C5829" t="s">
        <v>123</v>
      </c>
      <c r="D5829" t="s">
        <v>110</v>
      </c>
      <c r="E5829" t="s">
        <v>29</v>
      </c>
      <c r="F5829">
        <v>15</v>
      </c>
      <c r="G5829">
        <v>9</v>
      </c>
      <c r="H5829">
        <v>360.33</v>
      </c>
      <c r="I5829">
        <v>387.82</v>
      </c>
      <c r="J5829">
        <v>394.47</v>
      </c>
      <c r="K5829">
        <v>82.26</v>
      </c>
      <c r="L5829">
        <v>-2.6</v>
      </c>
      <c r="M5829">
        <v>0</v>
      </c>
      <c r="N5829">
        <v>474.13</v>
      </c>
      <c r="O5829"/>
      <c r="P5829"/>
      <c r="Q5829"/>
      <c r="R5829"/>
      <c r="S5829"/>
      <c r="T5829"/>
      <c r="U5829"/>
      <c r="V5829"/>
      <c r="W5829"/>
      <c r="X5829"/>
      <c r="Y5829"/>
      <c r="Z5829"/>
      <c r="AA5829"/>
      <c r="AB5829"/>
      <c r="AC5829"/>
    </row>
    <row r="5830" spans="1:29" x14ac:dyDescent="0.3">
      <c r="A5830" s="12" t="s">
        <v>1370</v>
      </c>
      <c r="B5830" t="s">
        <v>164</v>
      </c>
      <c r="C5830" t="s">
        <v>123</v>
      </c>
      <c r="D5830" t="s">
        <v>110</v>
      </c>
      <c r="E5830" t="s">
        <v>82</v>
      </c>
      <c r="F5830">
        <v>150</v>
      </c>
      <c r="G5830">
        <v>150</v>
      </c>
      <c r="H5830">
        <v>483.85</v>
      </c>
      <c r="I5830">
        <v>509.74</v>
      </c>
      <c r="J5830">
        <v>3883.5</v>
      </c>
      <c r="K5830">
        <v>0</v>
      </c>
      <c r="L5830">
        <v>0</v>
      </c>
      <c r="M5830">
        <v>0</v>
      </c>
      <c r="N5830">
        <v>3883.5</v>
      </c>
      <c r="O5830"/>
      <c r="P5830"/>
      <c r="Q5830"/>
      <c r="R5830"/>
      <c r="S5830"/>
      <c r="T5830"/>
      <c r="U5830"/>
      <c r="V5830"/>
      <c r="W5830"/>
      <c r="X5830"/>
      <c r="Y5830"/>
      <c r="Z5830"/>
      <c r="AA5830"/>
      <c r="AB5830"/>
      <c r="AC5830"/>
    </row>
    <row r="5831" spans="1:29" x14ac:dyDescent="0.3">
      <c r="A5831" s="12" t="s">
        <v>1370</v>
      </c>
      <c r="B5831" t="s">
        <v>164</v>
      </c>
      <c r="C5831" t="s">
        <v>123</v>
      </c>
      <c r="D5831" t="s">
        <v>110</v>
      </c>
      <c r="E5831" t="s">
        <v>1255</v>
      </c>
      <c r="F5831">
        <v>200</v>
      </c>
      <c r="G5831">
        <v>400</v>
      </c>
      <c r="H5831">
        <v>176.29</v>
      </c>
      <c r="I5831">
        <v>187.62</v>
      </c>
      <c r="J5831">
        <v>3456</v>
      </c>
      <c r="K5831">
        <v>148</v>
      </c>
      <c r="L5831">
        <v>-1.4</v>
      </c>
      <c r="M5831">
        <v>0</v>
      </c>
      <c r="N5831">
        <v>3602.6</v>
      </c>
      <c r="O5831"/>
      <c r="P5831"/>
      <c r="Q5831"/>
      <c r="R5831"/>
      <c r="S5831"/>
      <c r="T5831"/>
      <c r="U5831"/>
      <c r="V5831"/>
      <c r="W5831"/>
      <c r="X5831"/>
      <c r="Y5831"/>
      <c r="Z5831"/>
      <c r="AA5831"/>
      <c r="AB5831"/>
      <c r="AC5831"/>
    </row>
    <row r="5832" spans="1:29" x14ac:dyDescent="0.3">
      <c r="A5832" s="12" t="s">
        <v>1370</v>
      </c>
      <c r="B5832" t="s">
        <v>164</v>
      </c>
      <c r="C5832" t="s">
        <v>123</v>
      </c>
      <c r="D5832" t="s">
        <v>110</v>
      </c>
      <c r="E5832" t="s">
        <v>51</v>
      </c>
      <c r="F5832">
        <v>25</v>
      </c>
      <c r="G5832">
        <v>50</v>
      </c>
      <c r="H5832">
        <v>29.11</v>
      </c>
      <c r="I5832">
        <v>32.64</v>
      </c>
      <c r="J5832">
        <v>88.25</v>
      </c>
      <c r="K5832">
        <v>-59.75</v>
      </c>
      <c r="L5832">
        <v>-1.3</v>
      </c>
      <c r="M5832">
        <v>0</v>
      </c>
      <c r="N5832">
        <v>27.2</v>
      </c>
      <c r="O5832"/>
      <c r="P5832"/>
      <c r="Q5832"/>
      <c r="R5832"/>
      <c r="S5832"/>
      <c r="T5832"/>
      <c r="U5832"/>
      <c r="V5832"/>
      <c r="W5832"/>
      <c r="X5832"/>
      <c r="Y5832"/>
      <c r="Z5832"/>
      <c r="AA5832"/>
      <c r="AB5832"/>
      <c r="AC5832"/>
    </row>
    <row r="5833" spans="1:29" x14ac:dyDescent="0.3">
      <c r="A5833" s="12" t="s">
        <v>1370</v>
      </c>
      <c r="B5833" t="s">
        <v>164</v>
      </c>
      <c r="C5833" t="s">
        <v>123</v>
      </c>
      <c r="D5833" t="s">
        <v>110</v>
      </c>
      <c r="E5833" t="s">
        <v>83</v>
      </c>
      <c r="F5833">
        <v>130</v>
      </c>
      <c r="G5833">
        <v>0</v>
      </c>
      <c r="H5833">
        <v>218.26</v>
      </c>
      <c r="I5833" t="s">
        <v>111</v>
      </c>
      <c r="J5833">
        <v>14.3</v>
      </c>
      <c r="K5833">
        <v>487.5</v>
      </c>
      <c r="L5833">
        <v>-1.3</v>
      </c>
      <c r="M5833">
        <v>0</v>
      </c>
      <c r="N5833">
        <v>500.5</v>
      </c>
      <c r="O5833"/>
      <c r="P5833"/>
      <c r="Q5833"/>
      <c r="R5833"/>
      <c r="S5833"/>
      <c r="T5833"/>
      <c r="U5833"/>
      <c r="V5833"/>
      <c r="W5833"/>
      <c r="X5833"/>
      <c r="Y5833"/>
      <c r="Z5833"/>
      <c r="AA5833"/>
      <c r="AB5833"/>
      <c r="AC5833"/>
    </row>
    <row r="5834" spans="1:29" x14ac:dyDescent="0.3">
      <c r="A5834" s="12" t="s">
        <v>1370</v>
      </c>
      <c r="B5834" t="s">
        <v>164</v>
      </c>
      <c r="C5834" t="s">
        <v>123</v>
      </c>
      <c r="D5834" t="s">
        <v>110</v>
      </c>
      <c r="E5834" t="s">
        <v>86</v>
      </c>
      <c r="F5834">
        <v>40</v>
      </c>
      <c r="G5834">
        <v>40</v>
      </c>
      <c r="H5834">
        <v>568.64</v>
      </c>
      <c r="I5834">
        <v>602.54999999999995</v>
      </c>
      <c r="J5834">
        <v>1356.4</v>
      </c>
      <c r="K5834">
        <v>0</v>
      </c>
      <c r="L5834">
        <v>0</v>
      </c>
      <c r="M5834">
        <v>0</v>
      </c>
      <c r="N5834">
        <v>1356.4</v>
      </c>
      <c r="O5834"/>
      <c r="P5834"/>
      <c r="Q5834"/>
      <c r="R5834"/>
      <c r="S5834"/>
      <c r="T5834"/>
      <c r="U5834"/>
      <c r="V5834"/>
      <c r="W5834"/>
      <c r="X5834"/>
      <c r="Y5834"/>
      <c r="Z5834"/>
      <c r="AA5834"/>
      <c r="AB5834"/>
      <c r="AC5834"/>
    </row>
    <row r="5835" spans="1:29" x14ac:dyDescent="0.3">
      <c r="A5835" s="12" t="s">
        <v>1370</v>
      </c>
      <c r="B5835" t="s">
        <v>164</v>
      </c>
      <c r="C5835" t="s">
        <v>123</v>
      </c>
      <c r="D5835" t="s">
        <v>110</v>
      </c>
      <c r="E5835" t="s">
        <v>1256</v>
      </c>
      <c r="F5835">
        <v>20</v>
      </c>
      <c r="G5835">
        <v>20</v>
      </c>
      <c r="H5835">
        <v>204.31</v>
      </c>
      <c r="I5835">
        <v>205</v>
      </c>
      <c r="J5835">
        <v>13.8</v>
      </c>
      <c r="K5835">
        <v>0</v>
      </c>
      <c r="L5835">
        <v>0</v>
      </c>
      <c r="M5835">
        <v>0</v>
      </c>
      <c r="N5835">
        <v>13.8</v>
      </c>
      <c r="O5835"/>
      <c r="P5835"/>
      <c r="Q5835"/>
      <c r="R5835"/>
      <c r="S5835"/>
      <c r="T5835"/>
      <c r="U5835"/>
      <c r="V5835"/>
      <c r="W5835"/>
      <c r="X5835"/>
      <c r="Y5835"/>
      <c r="Z5835"/>
      <c r="AA5835"/>
      <c r="AB5835"/>
      <c r="AC5835"/>
    </row>
    <row r="5836" spans="1:29" x14ac:dyDescent="0.3">
      <c r="A5836" s="12" t="s">
        <v>1370</v>
      </c>
      <c r="B5836" t="s">
        <v>164</v>
      </c>
      <c r="C5836" t="s">
        <v>123</v>
      </c>
      <c r="D5836" t="s">
        <v>110</v>
      </c>
      <c r="E5836" t="s">
        <v>1257</v>
      </c>
      <c r="F5836">
        <v>100</v>
      </c>
      <c r="G5836">
        <v>100</v>
      </c>
      <c r="H5836">
        <v>94.15</v>
      </c>
      <c r="I5836">
        <v>98.16</v>
      </c>
      <c r="J5836">
        <v>401</v>
      </c>
      <c r="K5836">
        <v>0</v>
      </c>
      <c r="L5836">
        <v>0</v>
      </c>
      <c r="M5836">
        <v>0</v>
      </c>
      <c r="N5836">
        <v>401</v>
      </c>
      <c r="O5836"/>
      <c r="P5836"/>
      <c r="Q5836"/>
      <c r="R5836"/>
      <c r="S5836"/>
      <c r="T5836"/>
      <c r="U5836"/>
      <c r="V5836"/>
      <c r="W5836"/>
      <c r="X5836"/>
      <c r="Y5836"/>
      <c r="Z5836"/>
      <c r="AA5836"/>
      <c r="AB5836"/>
      <c r="AC5836"/>
    </row>
    <row r="5837" spans="1:29" x14ac:dyDescent="0.3">
      <c r="A5837" s="12" t="s">
        <v>1370</v>
      </c>
      <c r="B5837" t="s">
        <v>164</v>
      </c>
      <c r="C5837" t="s">
        <v>123</v>
      </c>
      <c r="D5837" t="s">
        <v>110</v>
      </c>
      <c r="E5837" t="s">
        <v>1258</v>
      </c>
      <c r="F5837">
        <v>60</v>
      </c>
      <c r="G5837">
        <v>60</v>
      </c>
      <c r="H5837">
        <v>522.66999999999996</v>
      </c>
      <c r="I5837">
        <v>553.45000000000005</v>
      </c>
      <c r="J5837">
        <v>1846.8</v>
      </c>
      <c r="K5837">
        <v>0</v>
      </c>
      <c r="L5837">
        <v>0</v>
      </c>
      <c r="M5837">
        <v>0</v>
      </c>
      <c r="N5837">
        <v>1846.8</v>
      </c>
      <c r="O5837"/>
      <c r="P5837"/>
      <c r="Q5837"/>
      <c r="R5837"/>
      <c r="S5837"/>
      <c r="T5837"/>
      <c r="U5837"/>
      <c r="V5837"/>
      <c r="W5837"/>
      <c r="X5837"/>
      <c r="Y5837"/>
      <c r="Z5837"/>
      <c r="AA5837"/>
      <c r="AB5837"/>
      <c r="AC5837"/>
    </row>
    <row r="5838" spans="1:29" x14ac:dyDescent="0.3">
      <c r="A5838" s="12" t="s">
        <v>1370</v>
      </c>
      <c r="B5838" t="s">
        <v>164</v>
      </c>
      <c r="C5838" t="s">
        <v>123</v>
      </c>
      <c r="D5838" t="s">
        <v>110</v>
      </c>
      <c r="E5838" t="s">
        <v>1156</v>
      </c>
      <c r="F5838">
        <v>70</v>
      </c>
      <c r="G5838">
        <v>70</v>
      </c>
      <c r="H5838">
        <v>93.39</v>
      </c>
      <c r="I5838">
        <v>94.78</v>
      </c>
      <c r="J5838">
        <v>97.3</v>
      </c>
      <c r="K5838">
        <v>0</v>
      </c>
      <c r="L5838">
        <v>0</v>
      </c>
      <c r="M5838">
        <v>0</v>
      </c>
      <c r="N5838">
        <v>97.3</v>
      </c>
      <c r="O5838"/>
      <c r="P5838"/>
      <c r="Q5838"/>
      <c r="R5838"/>
      <c r="S5838"/>
      <c r="T5838"/>
      <c r="U5838"/>
      <c r="V5838"/>
      <c r="W5838"/>
      <c r="X5838"/>
      <c r="Y5838"/>
      <c r="Z5838"/>
      <c r="AA5838"/>
      <c r="AB5838"/>
      <c r="AC5838"/>
    </row>
    <row r="5839" spans="1:29" x14ac:dyDescent="0.3">
      <c r="A5839" s="12" t="s">
        <v>1370</v>
      </c>
      <c r="B5839" t="s">
        <v>164</v>
      </c>
      <c r="C5839" t="s">
        <v>123</v>
      </c>
      <c r="D5839" t="s">
        <v>110</v>
      </c>
      <c r="E5839" t="s">
        <v>62</v>
      </c>
      <c r="F5839">
        <v>200</v>
      </c>
      <c r="G5839">
        <v>200</v>
      </c>
      <c r="H5839">
        <v>46.48</v>
      </c>
      <c r="I5839">
        <v>51.34</v>
      </c>
      <c r="J5839">
        <v>972</v>
      </c>
      <c r="K5839">
        <v>0</v>
      </c>
      <c r="L5839">
        <v>0</v>
      </c>
      <c r="M5839">
        <v>0</v>
      </c>
      <c r="N5839">
        <v>972</v>
      </c>
      <c r="O5839"/>
      <c r="P5839"/>
      <c r="Q5839"/>
      <c r="R5839"/>
      <c r="S5839"/>
      <c r="T5839"/>
      <c r="U5839"/>
      <c r="V5839"/>
      <c r="W5839"/>
      <c r="X5839"/>
      <c r="Y5839"/>
      <c r="Z5839"/>
      <c r="AA5839"/>
      <c r="AB5839"/>
      <c r="AC5839"/>
    </row>
    <row r="5840" spans="1:29" x14ac:dyDescent="0.3">
      <c r="A5840" s="12" t="s">
        <v>1370</v>
      </c>
      <c r="B5840" t="s">
        <v>164</v>
      </c>
      <c r="C5840" t="s">
        <v>123</v>
      </c>
      <c r="D5840" t="s">
        <v>110</v>
      </c>
      <c r="E5840" t="s">
        <v>41</v>
      </c>
      <c r="F5840">
        <v>599</v>
      </c>
      <c r="G5840">
        <v>849</v>
      </c>
      <c r="H5840">
        <v>47.22</v>
      </c>
      <c r="I5840">
        <v>49.77</v>
      </c>
      <c r="J5840">
        <v>1552.45</v>
      </c>
      <c r="K5840">
        <v>0</v>
      </c>
      <c r="L5840">
        <v>-1.75</v>
      </c>
      <c r="M5840">
        <v>0</v>
      </c>
      <c r="N5840">
        <v>1550.7</v>
      </c>
      <c r="O5840"/>
      <c r="P5840"/>
      <c r="Q5840"/>
      <c r="R5840"/>
      <c r="S5840"/>
      <c r="T5840"/>
      <c r="U5840"/>
      <c r="V5840"/>
      <c r="W5840"/>
      <c r="X5840"/>
      <c r="Y5840"/>
      <c r="Z5840"/>
      <c r="AA5840"/>
      <c r="AB5840"/>
      <c r="AC5840"/>
    </row>
    <row r="5841" spans="1:29" x14ac:dyDescent="0.3">
      <c r="A5841" s="12" t="s">
        <v>1370</v>
      </c>
      <c r="B5841" t="s">
        <v>164</v>
      </c>
      <c r="C5841" t="s">
        <v>123</v>
      </c>
      <c r="D5841" t="s">
        <v>110</v>
      </c>
      <c r="E5841" t="s">
        <v>79</v>
      </c>
      <c r="F5841">
        <v>80</v>
      </c>
      <c r="G5841">
        <v>80</v>
      </c>
      <c r="H5841">
        <v>133.83000000000001</v>
      </c>
      <c r="I5841">
        <v>143.99</v>
      </c>
      <c r="J5841">
        <v>812.8</v>
      </c>
      <c r="K5841">
        <v>0</v>
      </c>
      <c r="L5841">
        <v>0</v>
      </c>
      <c r="M5841">
        <v>0</v>
      </c>
      <c r="N5841">
        <v>812.8</v>
      </c>
      <c r="O5841"/>
      <c r="P5841"/>
      <c r="Q5841"/>
      <c r="R5841"/>
      <c r="S5841"/>
      <c r="T5841"/>
      <c r="U5841"/>
      <c r="V5841"/>
      <c r="W5841"/>
      <c r="X5841"/>
      <c r="Y5841"/>
      <c r="Z5841"/>
      <c r="AA5841"/>
      <c r="AB5841"/>
      <c r="AC5841"/>
    </row>
    <row r="5842" spans="1:29" x14ac:dyDescent="0.3">
      <c r="A5842" s="12" t="s">
        <v>1370</v>
      </c>
      <c r="B5842" t="s">
        <v>164</v>
      </c>
      <c r="C5842" t="s">
        <v>123</v>
      </c>
      <c r="D5842" t="s">
        <v>110</v>
      </c>
      <c r="E5842" t="s">
        <v>42</v>
      </c>
      <c r="F5842">
        <v>150</v>
      </c>
      <c r="G5842">
        <v>200</v>
      </c>
      <c r="H5842">
        <v>222.24</v>
      </c>
      <c r="I5842">
        <v>233.73</v>
      </c>
      <c r="J5842">
        <v>1974.5</v>
      </c>
      <c r="K5842">
        <v>2.7</v>
      </c>
      <c r="L5842">
        <v>-1.3</v>
      </c>
      <c r="M5842">
        <v>0</v>
      </c>
      <c r="N5842">
        <v>1975.9</v>
      </c>
      <c r="O5842"/>
      <c r="P5842"/>
      <c r="Q5842"/>
      <c r="R5842"/>
      <c r="S5842"/>
      <c r="T5842"/>
      <c r="U5842"/>
      <c r="V5842"/>
      <c r="W5842"/>
      <c r="X5842"/>
      <c r="Y5842"/>
      <c r="Z5842"/>
      <c r="AA5842"/>
      <c r="AB5842"/>
      <c r="AC5842"/>
    </row>
    <row r="5843" spans="1:29" x14ac:dyDescent="0.3">
      <c r="A5843" s="12" t="s">
        <v>1370</v>
      </c>
      <c r="B5843" t="s">
        <v>164</v>
      </c>
      <c r="C5843" t="s">
        <v>123</v>
      </c>
      <c r="D5843" t="s">
        <v>110</v>
      </c>
      <c r="E5843" t="s">
        <v>43</v>
      </c>
      <c r="F5843">
        <v>330</v>
      </c>
      <c r="G5843">
        <v>230</v>
      </c>
      <c r="H5843">
        <v>79.91</v>
      </c>
      <c r="I5843">
        <v>82.93</v>
      </c>
      <c r="J5843">
        <v>892.6</v>
      </c>
      <c r="K5843">
        <v>2</v>
      </c>
      <c r="L5843">
        <v>-1.3</v>
      </c>
      <c r="M5843">
        <v>0</v>
      </c>
      <c r="N5843">
        <v>893.3</v>
      </c>
      <c r="O5843"/>
      <c r="P5843"/>
      <c r="Q5843"/>
      <c r="R5843"/>
      <c r="S5843"/>
      <c r="T5843"/>
      <c r="U5843"/>
      <c r="V5843"/>
      <c r="W5843"/>
      <c r="X5843"/>
      <c r="Y5843"/>
      <c r="Z5843"/>
      <c r="AA5843"/>
      <c r="AB5843"/>
      <c r="AC5843"/>
    </row>
    <row r="5844" spans="1:29" x14ac:dyDescent="0.3">
      <c r="A5844" s="12" t="s">
        <v>1370</v>
      </c>
      <c r="B5844" t="s">
        <v>164</v>
      </c>
      <c r="C5844" t="s">
        <v>123</v>
      </c>
      <c r="D5844" t="s">
        <v>110</v>
      </c>
      <c r="E5844" t="s">
        <v>44</v>
      </c>
      <c r="F5844">
        <v>60</v>
      </c>
      <c r="G5844">
        <v>60</v>
      </c>
      <c r="H5844">
        <v>146.87</v>
      </c>
      <c r="I5844">
        <v>147.41</v>
      </c>
      <c r="J5844">
        <v>32.4</v>
      </c>
      <c r="K5844">
        <v>0</v>
      </c>
      <c r="L5844">
        <v>0</v>
      </c>
      <c r="M5844">
        <v>0</v>
      </c>
      <c r="N5844">
        <v>32.4</v>
      </c>
      <c r="O5844"/>
      <c r="P5844"/>
      <c r="Q5844"/>
      <c r="R5844"/>
      <c r="S5844"/>
      <c r="T5844"/>
      <c r="U5844"/>
      <c r="V5844"/>
      <c r="W5844"/>
      <c r="X5844"/>
      <c r="Y5844"/>
      <c r="Z5844"/>
      <c r="AA5844"/>
      <c r="AB5844"/>
      <c r="AC5844"/>
    </row>
    <row r="5845" spans="1:29" x14ac:dyDescent="0.3">
      <c r="A5845" s="12" t="s">
        <v>1370</v>
      </c>
      <c r="B5845" t="s">
        <v>164</v>
      </c>
      <c r="C5845" t="s">
        <v>123</v>
      </c>
      <c r="D5845" t="s">
        <v>110</v>
      </c>
      <c r="E5845" t="s">
        <v>84</v>
      </c>
      <c r="F5845">
        <v>50</v>
      </c>
      <c r="G5845">
        <v>50</v>
      </c>
      <c r="H5845">
        <v>196.89</v>
      </c>
      <c r="I5845">
        <v>222.3</v>
      </c>
      <c r="J5845">
        <v>1270.5</v>
      </c>
      <c r="K5845">
        <v>0</v>
      </c>
      <c r="L5845">
        <v>0</v>
      </c>
      <c r="M5845">
        <v>0</v>
      </c>
      <c r="N5845">
        <v>1270.5</v>
      </c>
      <c r="O5845"/>
      <c r="P5845"/>
      <c r="Q5845"/>
      <c r="R5845"/>
      <c r="S5845"/>
      <c r="T5845"/>
      <c r="U5845"/>
      <c r="V5845"/>
      <c r="W5845"/>
      <c r="X5845"/>
      <c r="Y5845"/>
      <c r="Z5845"/>
      <c r="AA5845"/>
      <c r="AB5845"/>
      <c r="AC5845"/>
    </row>
    <row r="5846" spans="1:29" x14ac:dyDescent="0.3">
      <c r="A5846" s="12" t="s">
        <v>1370</v>
      </c>
      <c r="B5846" t="s">
        <v>164</v>
      </c>
      <c r="C5846" t="s">
        <v>123</v>
      </c>
      <c r="D5846" t="s">
        <v>97</v>
      </c>
      <c r="E5846"/>
      <c r="F5846"/>
      <c r="G5846"/>
      <c r="H5846"/>
      <c r="I5846"/>
      <c r="J5846">
        <v>24327.21</v>
      </c>
      <c r="K5846">
        <v>713.93499999999995</v>
      </c>
      <c r="L5846">
        <v>-30.45</v>
      </c>
      <c r="M5846">
        <v>45.3</v>
      </c>
      <c r="N5846">
        <v>25055.994999999999</v>
      </c>
      <c r="O5846"/>
      <c r="P5846"/>
      <c r="Q5846"/>
      <c r="R5846"/>
      <c r="S5846"/>
      <c r="T5846"/>
      <c r="U5846"/>
      <c r="V5846"/>
      <c r="W5846"/>
      <c r="X5846"/>
      <c r="Y5846"/>
      <c r="Z5846"/>
      <c r="AA5846"/>
      <c r="AB5846"/>
      <c r="AC5846"/>
    </row>
    <row r="5847" spans="1:29" x14ac:dyDescent="0.3">
      <c r="A5847" s="12" t="s">
        <v>1370</v>
      </c>
      <c r="B5847" t="s">
        <v>164</v>
      </c>
      <c r="C5847" t="s">
        <v>123</v>
      </c>
      <c r="D5847" t="s">
        <v>112</v>
      </c>
      <c r="E5847" t="s">
        <v>1158</v>
      </c>
      <c r="F5847">
        <v>-4</v>
      </c>
      <c r="G5847">
        <v>-3</v>
      </c>
      <c r="H5847" s="33">
        <v>20021.75</v>
      </c>
      <c r="I5847" s="33">
        <v>20993.5</v>
      </c>
      <c r="J5847">
        <v>-4743</v>
      </c>
      <c r="K5847">
        <v>-52.5</v>
      </c>
      <c r="L5847">
        <v>-57</v>
      </c>
      <c r="M5847">
        <v>0</v>
      </c>
      <c r="N5847">
        <v>-4852.5</v>
      </c>
      <c r="O5847"/>
      <c r="P5847"/>
      <c r="Q5847"/>
      <c r="R5847"/>
      <c r="S5847"/>
      <c r="T5847"/>
      <c r="U5847"/>
      <c r="V5847"/>
      <c r="W5847"/>
      <c r="X5847"/>
      <c r="Y5847"/>
      <c r="Z5847"/>
      <c r="AA5847"/>
      <c r="AB5847"/>
      <c r="AC5847"/>
    </row>
    <row r="5848" spans="1:29" x14ac:dyDescent="0.3">
      <c r="A5848" s="12" t="s">
        <v>1370</v>
      </c>
      <c r="B5848" t="s">
        <v>164</v>
      </c>
      <c r="C5848" t="s">
        <v>123</v>
      </c>
      <c r="D5848" t="s">
        <v>97</v>
      </c>
      <c r="E5848"/>
      <c r="F5848"/>
      <c r="G5848"/>
      <c r="H5848"/>
      <c r="I5848"/>
      <c r="J5848">
        <v>-4743</v>
      </c>
      <c r="K5848">
        <v>-52.5</v>
      </c>
      <c r="L5848">
        <v>-57</v>
      </c>
      <c r="M5848">
        <v>0</v>
      </c>
      <c r="N5848">
        <v>-4852.5</v>
      </c>
      <c r="O5848"/>
      <c r="P5848"/>
      <c r="Q5848"/>
      <c r="R5848"/>
      <c r="S5848"/>
      <c r="T5848"/>
      <c r="U5848"/>
      <c r="V5848"/>
      <c r="W5848"/>
      <c r="X5848"/>
      <c r="Y5848"/>
      <c r="Z5848"/>
      <c r="AA5848"/>
      <c r="AB5848"/>
      <c r="AC5848"/>
    </row>
    <row r="5849" spans="1:29" x14ac:dyDescent="0.3">
      <c r="A5849" s="12" t="s">
        <v>1370</v>
      </c>
      <c r="B5849" t="s">
        <v>164</v>
      </c>
      <c r="C5849" t="s">
        <v>123</v>
      </c>
      <c r="D5849" t="s">
        <v>113</v>
      </c>
      <c r="E5849" t="s">
        <v>114</v>
      </c>
      <c r="F5849">
        <v>71547.261125000005</v>
      </c>
      <c r="G5849">
        <v>39630.966124999999</v>
      </c>
      <c r="H5849">
        <v>1</v>
      </c>
      <c r="I5849">
        <v>1</v>
      </c>
      <c r="J5849">
        <v>0</v>
      </c>
      <c r="K5849">
        <v>0</v>
      </c>
      <c r="L5849">
        <v>0</v>
      </c>
      <c r="M5849">
        <v>0</v>
      </c>
      <c r="N5849">
        <v>0</v>
      </c>
      <c r="O5849"/>
      <c r="P5849"/>
      <c r="Q5849"/>
      <c r="R5849"/>
      <c r="S5849"/>
      <c r="T5849"/>
      <c r="U5849"/>
      <c r="V5849"/>
      <c r="W5849"/>
      <c r="X5849"/>
      <c r="Y5849"/>
      <c r="Z5849"/>
      <c r="AA5849"/>
      <c r="AB5849"/>
      <c r="AC5849"/>
    </row>
    <row r="5850" spans="1:29" x14ac:dyDescent="0.3">
      <c r="A5850" s="12" t="s">
        <v>1370</v>
      </c>
      <c r="B5850" t="s">
        <v>164</v>
      </c>
      <c r="C5850" t="s">
        <v>123</v>
      </c>
      <c r="D5850" t="s">
        <v>97</v>
      </c>
      <c r="E5850"/>
      <c r="F5850"/>
      <c r="G5850"/>
      <c r="H5850"/>
      <c r="I5850"/>
      <c r="J5850">
        <v>0</v>
      </c>
      <c r="K5850">
        <v>0</v>
      </c>
      <c r="L5850">
        <v>0</v>
      </c>
      <c r="M5850">
        <v>0</v>
      </c>
      <c r="N5850">
        <v>0</v>
      </c>
      <c r="O5850"/>
      <c r="P5850"/>
      <c r="Q5850"/>
      <c r="R5850"/>
      <c r="S5850"/>
      <c r="T5850"/>
      <c r="U5850"/>
      <c r="V5850"/>
      <c r="W5850"/>
      <c r="X5850"/>
      <c r="Y5850"/>
      <c r="Z5850"/>
      <c r="AA5850"/>
      <c r="AB5850"/>
      <c r="AC5850"/>
    </row>
    <row r="5851" spans="1:29" x14ac:dyDescent="0.3">
      <c r="A5851" s="12" t="s">
        <v>1370</v>
      </c>
      <c r="B5851" t="s">
        <v>164</v>
      </c>
      <c r="C5851" t="s">
        <v>123</v>
      </c>
      <c r="D5851" t="s">
        <v>115</v>
      </c>
      <c r="E5851"/>
      <c r="F5851"/>
      <c r="G5851"/>
      <c r="H5851"/>
      <c r="I5851"/>
      <c r="J5851">
        <v>19584.21</v>
      </c>
      <c r="K5851">
        <v>661.43499999999995</v>
      </c>
      <c r="L5851">
        <v>-87.45</v>
      </c>
      <c r="M5851">
        <v>45.3</v>
      </c>
      <c r="N5851">
        <v>20203.494999999999</v>
      </c>
      <c r="O5851"/>
      <c r="P5851"/>
      <c r="Q5851"/>
      <c r="R5851"/>
      <c r="S5851"/>
      <c r="T5851"/>
      <c r="U5851"/>
      <c r="V5851"/>
      <c r="W5851"/>
      <c r="X5851"/>
      <c r="Y5851"/>
      <c r="Z5851"/>
      <c r="AA5851"/>
      <c r="AB5851"/>
      <c r="AC5851"/>
    </row>
    <row r="5852" spans="1:29" x14ac:dyDescent="0.3">
      <c r="A5852" s="12" t="s">
        <v>1370</v>
      </c>
      <c r="B5852" t="s">
        <v>164</v>
      </c>
      <c r="C5852" t="s">
        <v>123</v>
      </c>
      <c r="D5852" t="s">
        <v>116</v>
      </c>
      <c r="E5852"/>
      <c r="F5852"/>
      <c r="G5852"/>
      <c r="H5852"/>
      <c r="I5852"/>
      <c r="J5852"/>
      <c r="K5852"/>
      <c r="L5852"/>
      <c r="M5852"/>
      <c r="N5852">
        <v>56.18</v>
      </c>
      <c r="O5852"/>
      <c r="P5852"/>
      <c r="Q5852"/>
      <c r="R5852"/>
      <c r="S5852"/>
      <c r="T5852"/>
      <c r="U5852"/>
      <c r="V5852"/>
      <c r="W5852"/>
      <c r="X5852"/>
      <c r="Y5852"/>
      <c r="Z5852"/>
      <c r="AA5852"/>
      <c r="AB5852"/>
      <c r="AC5852"/>
    </row>
    <row r="5853" spans="1:29" x14ac:dyDescent="0.3">
      <c r="A5853" s="12" t="s">
        <v>1370</v>
      </c>
      <c r="B5853" t="s">
        <v>166</v>
      </c>
      <c r="C5853"/>
      <c r="D5853"/>
      <c r="E5853"/>
      <c r="F5853"/>
      <c r="G5853"/>
      <c r="H5853"/>
      <c r="I5853"/>
      <c r="J5853"/>
      <c r="K5853"/>
      <c r="L5853"/>
      <c r="M5853"/>
      <c r="N5853">
        <v>20259.674999999999</v>
      </c>
      <c r="O5853"/>
      <c r="P5853"/>
      <c r="Q5853"/>
      <c r="R5853"/>
      <c r="S5853"/>
      <c r="T5853"/>
      <c r="U5853"/>
      <c r="V5853"/>
      <c r="W5853"/>
      <c r="X5853"/>
      <c r="Y5853"/>
      <c r="Z5853"/>
      <c r="AA5853"/>
      <c r="AB5853"/>
      <c r="AC5853"/>
    </row>
    <row r="5854" spans="1:29" x14ac:dyDescent="0.3">
      <c r="A5854" s="12" t="s">
        <v>1370</v>
      </c>
      <c r="B5854" t="s">
        <v>167</v>
      </c>
      <c r="C5854" t="s">
        <v>120</v>
      </c>
      <c r="D5854" t="s">
        <v>100</v>
      </c>
      <c r="E5854" t="s">
        <v>0</v>
      </c>
      <c r="F5854" t="s">
        <v>168</v>
      </c>
      <c r="G5854" t="s">
        <v>169</v>
      </c>
      <c r="H5854" t="s">
        <v>170</v>
      </c>
      <c r="I5854" t="s">
        <v>171</v>
      </c>
      <c r="J5854" t="s">
        <v>172</v>
      </c>
      <c r="K5854" t="s">
        <v>173</v>
      </c>
      <c r="L5854" t="s">
        <v>174</v>
      </c>
      <c r="M5854" t="s">
        <v>175</v>
      </c>
      <c r="N5854" t="s">
        <v>176</v>
      </c>
      <c r="O5854" t="s">
        <v>177</v>
      </c>
      <c r="P5854" t="s">
        <v>178</v>
      </c>
      <c r="Q5854" t="s">
        <v>97</v>
      </c>
      <c r="R5854" t="s">
        <v>165</v>
      </c>
      <c r="S5854"/>
      <c r="T5854"/>
      <c r="U5854"/>
      <c r="V5854"/>
      <c r="W5854"/>
      <c r="X5854"/>
      <c r="Y5854"/>
      <c r="Z5854"/>
      <c r="AA5854"/>
      <c r="AB5854"/>
      <c r="AC5854"/>
    </row>
    <row r="5855" spans="1:29" x14ac:dyDescent="0.3">
      <c r="A5855" s="12" t="s">
        <v>1370</v>
      </c>
      <c r="B5855" t="s">
        <v>167</v>
      </c>
      <c r="C5855" t="s">
        <v>123</v>
      </c>
      <c r="D5855" t="s">
        <v>110</v>
      </c>
      <c r="E5855" t="s">
        <v>45</v>
      </c>
      <c r="F5855">
        <v>0</v>
      </c>
      <c r="G5855">
        <v>0</v>
      </c>
      <c r="H5855">
        <v>-325.7</v>
      </c>
      <c r="I5855">
        <v>0</v>
      </c>
      <c r="J5855">
        <v>0</v>
      </c>
      <c r="K5855">
        <v>-325.7</v>
      </c>
      <c r="L5855">
        <v>0</v>
      </c>
      <c r="M5855">
        <v>-292.77</v>
      </c>
      <c r="N5855">
        <v>0</v>
      </c>
      <c r="O5855">
        <v>0</v>
      </c>
      <c r="P5855">
        <v>-292.77</v>
      </c>
      <c r="Q5855">
        <v>-618.47</v>
      </c>
      <c r="R5855"/>
      <c r="S5855"/>
      <c r="T5855"/>
      <c r="U5855"/>
      <c r="V5855"/>
      <c r="W5855"/>
      <c r="X5855"/>
      <c r="Y5855"/>
      <c r="Z5855"/>
      <c r="AA5855"/>
      <c r="AB5855"/>
      <c r="AC5855"/>
    </row>
    <row r="5856" spans="1:29" x14ac:dyDescent="0.3">
      <c r="A5856" s="12" t="s">
        <v>1370</v>
      </c>
      <c r="B5856" t="s">
        <v>167</v>
      </c>
      <c r="C5856" t="s">
        <v>123</v>
      </c>
      <c r="D5856" t="s">
        <v>110</v>
      </c>
      <c r="E5856" t="s">
        <v>4</v>
      </c>
      <c r="F5856">
        <v>0</v>
      </c>
      <c r="G5856">
        <v>0</v>
      </c>
      <c r="H5856">
        <v>0</v>
      </c>
      <c r="I5856">
        <v>0</v>
      </c>
      <c r="J5856">
        <v>0</v>
      </c>
      <c r="K5856">
        <v>0</v>
      </c>
      <c r="L5856">
        <v>311.7</v>
      </c>
      <c r="M5856">
        <v>0</v>
      </c>
      <c r="N5856">
        <v>0</v>
      </c>
      <c r="O5856">
        <v>0</v>
      </c>
      <c r="P5856">
        <v>311.7</v>
      </c>
      <c r="Q5856">
        <v>311.7</v>
      </c>
      <c r="R5856"/>
      <c r="S5856"/>
      <c r="T5856"/>
      <c r="U5856"/>
      <c r="V5856"/>
      <c r="W5856"/>
      <c r="X5856"/>
      <c r="Y5856"/>
      <c r="Z5856"/>
      <c r="AA5856"/>
      <c r="AB5856"/>
      <c r="AC5856"/>
    </row>
    <row r="5857" spans="1:29" x14ac:dyDescent="0.3">
      <c r="A5857" s="12" t="s">
        <v>1370</v>
      </c>
      <c r="B5857" t="s">
        <v>167</v>
      </c>
      <c r="C5857" t="s">
        <v>123</v>
      </c>
      <c r="D5857" t="s">
        <v>110</v>
      </c>
      <c r="E5857" t="s">
        <v>7</v>
      </c>
      <c r="F5857">
        <v>0</v>
      </c>
      <c r="G5857">
        <v>0</v>
      </c>
      <c r="H5857">
        <v>-185.875</v>
      </c>
      <c r="I5857">
        <v>0</v>
      </c>
      <c r="J5857">
        <v>0</v>
      </c>
      <c r="K5857">
        <v>-185.875</v>
      </c>
      <c r="L5857">
        <v>0</v>
      </c>
      <c r="M5857">
        <v>-224.18</v>
      </c>
      <c r="N5857">
        <v>0</v>
      </c>
      <c r="O5857">
        <v>0</v>
      </c>
      <c r="P5857">
        <v>-224.18</v>
      </c>
      <c r="Q5857">
        <v>-410.05500000000001</v>
      </c>
      <c r="R5857"/>
      <c r="S5857"/>
      <c r="T5857"/>
      <c r="U5857"/>
      <c r="V5857"/>
      <c r="W5857"/>
      <c r="X5857"/>
      <c r="Y5857"/>
      <c r="Z5857"/>
      <c r="AA5857"/>
      <c r="AB5857"/>
      <c r="AC5857"/>
    </row>
    <row r="5858" spans="1:29" x14ac:dyDescent="0.3">
      <c r="A5858" s="12" t="s">
        <v>1370</v>
      </c>
      <c r="B5858" t="s">
        <v>167</v>
      </c>
      <c r="C5858" t="s">
        <v>123</v>
      </c>
      <c r="D5858" t="s">
        <v>110</v>
      </c>
      <c r="E5858" t="s">
        <v>1373</v>
      </c>
      <c r="F5858">
        <v>0</v>
      </c>
      <c r="G5858">
        <v>0</v>
      </c>
      <c r="H5858">
        <v>0</v>
      </c>
      <c r="I5858">
        <v>0</v>
      </c>
      <c r="J5858">
        <v>0</v>
      </c>
      <c r="K5858">
        <v>0</v>
      </c>
      <c r="L5858">
        <v>173.7</v>
      </c>
      <c r="M5858">
        <v>0</v>
      </c>
      <c r="N5858">
        <v>0</v>
      </c>
      <c r="O5858">
        <v>0</v>
      </c>
      <c r="P5858">
        <v>173.7</v>
      </c>
      <c r="Q5858">
        <v>173.7</v>
      </c>
      <c r="R5858"/>
      <c r="S5858"/>
      <c r="T5858"/>
      <c r="U5858"/>
      <c r="V5858"/>
      <c r="W5858"/>
      <c r="X5858"/>
      <c r="Y5858"/>
      <c r="Z5858"/>
      <c r="AA5858"/>
      <c r="AB5858"/>
      <c r="AC5858"/>
    </row>
    <row r="5859" spans="1:29" x14ac:dyDescent="0.3">
      <c r="A5859" s="12" t="s">
        <v>1370</v>
      </c>
      <c r="B5859" t="s">
        <v>167</v>
      </c>
      <c r="C5859" t="s">
        <v>123</v>
      </c>
      <c r="D5859" t="s">
        <v>110</v>
      </c>
      <c r="E5859" t="s">
        <v>1155</v>
      </c>
      <c r="F5859">
        <v>0</v>
      </c>
      <c r="G5859">
        <v>471.5</v>
      </c>
      <c r="H5859">
        <v>0</v>
      </c>
      <c r="I5859">
        <v>0</v>
      </c>
      <c r="J5859">
        <v>0</v>
      </c>
      <c r="K5859">
        <v>471.5</v>
      </c>
      <c r="L5859">
        <v>158</v>
      </c>
      <c r="M5859">
        <v>-92.3</v>
      </c>
      <c r="N5859">
        <v>0</v>
      </c>
      <c r="O5859">
        <v>0</v>
      </c>
      <c r="P5859">
        <v>65.7</v>
      </c>
      <c r="Q5859">
        <v>537.20000000000005</v>
      </c>
      <c r="R5859"/>
      <c r="S5859"/>
      <c r="T5859"/>
      <c r="U5859"/>
      <c r="V5859"/>
      <c r="W5859"/>
      <c r="X5859"/>
      <c r="Y5859"/>
      <c r="Z5859"/>
      <c r="AA5859"/>
      <c r="AB5859"/>
      <c r="AC5859"/>
    </row>
    <row r="5860" spans="1:29" x14ac:dyDescent="0.3">
      <c r="A5860" s="12" t="s">
        <v>1370</v>
      </c>
      <c r="B5860" t="s">
        <v>167</v>
      </c>
      <c r="C5860" t="s">
        <v>123</v>
      </c>
      <c r="D5860" t="s">
        <v>110</v>
      </c>
      <c r="E5860" t="s">
        <v>48</v>
      </c>
      <c r="F5860">
        <v>0</v>
      </c>
      <c r="G5860">
        <v>0</v>
      </c>
      <c r="H5860">
        <v>0</v>
      </c>
      <c r="I5860">
        <v>0</v>
      </c>
      <c r="J5860">
        <v>0</v>
      </c>
      <c r="K5860">
        <v>0</v>
      </c>
      <c r="L5860">
        <v>653.79999999999995</v>
      </c>
      <c r="M5860">
        <v>0</v>
      </c>
      <c r="N5860">
        <v>0</v>
      </c>
      <c r="O5860">
        <v>0</v>
      </c>
      <c r="P5860">
        <v>653.79999999999995</v>
      </c>
      <c r="Q5860">
        <v>653.79999999999995</v>
      </c>
      <c r="R5860"/>
      <c r="S5860"/>
      <c r="T5860"/>
      <c r="U5860"/>
      <c r="V5860"/>
      <c r="W5860"/>
      <c r="X5860"/>
      <c r="Y5860"/>
      <c r="Z5860"/>
      <c r="AA5860"/>
      <c r="AB5860"/>
      <c r="AC5860"/>
    </row>
    <row r="5861" spans="1:29" x14ac:dyDescent="0.3">
      <c r="A5861" s="12" t="s">
        <v>1370</v>
      </c>
      <c r="B5861" t="s">
        <v>167</v>
      </c>
      <c r="C5861" t="s">
        <v>123</v>
      </c>
      <c r="D5861" t="s">
        <v>110</v>
      </c>
      <c r="E5861" t="s">
        <v>54</v>
      </c>
      <c r="F5861">
        <v>0</v>
      </c>
      <c r="G5861">
        <v>4217.6499999999996</v>
      </c>
      <c r="H5861">
        <v>0</v>
      </c>
      <c r="I5861">
        <v>0</v>
      </c>
      <c r="J5861">
        <v>0</v>
      </c>
      <c r="K5861">
        <v>4217.6499999999996</v>
      </c>
      <c r="L5861">
        <v>845.1</v>
      </c>
      <c r="M5861">
        <v>0</v>
      </c>
      <c r="N5861">
        <v>0</v>
      </c>
      <c r="O5861">
        <v>0</v>
      </c>
      <c r="P5861">
        <v>845.1</v>
      </c>
      <c r="Q5861">
        <v>5062.75</v>
      </c>
      <c r="R5861"/>
      <c r="S5861"/>
      <c r="T5861"/>
      <c r="U5861"/>
      <c r="V5861"/>
      <c r="W5861"/>
      <c r="X5861"/>
      <c r="Y5861"/>
      <c r="Z5861"/>
      <c r="AA5861"/>
      <c r="AB5861"/>
      <c r="AC5861"/>
    </row>
    <row r="5862" spans="1:29" x14ac:dyDescent="0.3">
      <c r="A5862" s="12" t="s">
        <v>1370</v>
      </c>
      <c r="B5862" t="s">
        <v>167</v>
      </c>
      <c r="C5862" t="s">
        <v>123</v>
      </c>
      <c r="D5862" t="s">
        <v>110</v>
      </c>
      <c r="E5862" t="s">
        <v>19</v>
      </c>
      <c r="F5862">
        <v>0</v>
      </c>
      <c r="G5862">
        <v>0</v>
      </c>
      <c r="H5862">
        <v>-168.75</v>
      </c>
      <c r="I5862">
        <v>0</v>
      </c>
      <c r="J5862">
        <v>0</v>
      </c>
      <c r="K5862">
        <v>-168.75</v>
      </c>
      <c r="L5862">
        <v>0</v>
      </c>
      <c r="M5862">
        <v>-17.149999999999999</v>
      </c>
      <c r="N5862">
        <v>0</v>
      </c>
      <c r="O5862">
        <v>0</v>
      </c>
      <c r="P5862">
        <v>-17.149999999999999</v>
      </c>
      <c r="Q5862">
        <v>-185.9</v>
      </c>
      <c r="R5862"/>
      <c r="S5862"/>
      <c r="T5862"/>
      <c r="U5862"/>
      <c r="V5862"/>
      <c r="W5862"/>
      <c r="X5862"/>
      <c r="Y5862"/>
      <c r="Z5862"/>
      <c r="AA5862"/>
      <c r="AB5862"/>
      <c r="AC5862"/>
    </row>
    <row r="5863" spans="1:29" x14ac:dyDescent="0.3">
      <c r="A5863" s="12" t="s">
        <v>1370</v>
      </c>
      <c r="B5863" t="s">
        <v>167</v>
      </c>
      <c r="C5863" t="s">
        <v>123</v>
      </c>
      <c r="D5863" t="s">
        <v>110</v>
      </c>
      <c r="E5863" t="s">
        <v>1374</v>
      </c>
      <c r="F5863">
        <v>0</v>
      </c>
      <c r="G5863">
        <v>0</v>
      </c>
      <c r="H5863">
        <v>0</v>
      </c>
      <c r="I5863">
        <v>0</v>
      </c>
      <c r="J5863">
        <v>0</v>
      </c>
      <c r="K5863">
        <v>0</v>
      </c>
      <c r="L5863">
        <v>423.5</v>
      </c>
      <c r="M5863">
        <v>0</v>
      </c>
      <c r="N5863">
        <v>0</v>
      </c>
      <c r="O5863">
        <v>0</v>
      </c>
      <c r="P5863">
        <v>423.5</v>
      </c>
      <c r="Q5863">
        <v>423.5</v>
      </c>
      <c r="R5863"/>
      <c r="S5863"/>
      <c r="T5863"/>
      <c r="U5863"/>
      <c r="V5863"/>
      <c r="W5863"/>
      <c r="X5863"/>
      <c r="Y5863"/>
      <c r="Z5863"/>
      <c r="AA5863"/>
      <c r="AB5863"/>
      <c r="AC5863"/>
    </row>
    <row r="5864" spans="1:29" x14ac:dyDescent="0.3">
      <c r="A5864" s="12" t="s">
        <v>1370</v>
      </c>
      <c r="B5864" t="s">
        <v>167</v>
      </c>
      <c r="C5864" t="s">
        <v>123</v>
      </c>
      <c r="D5864" t="s">
        <v>110</v>
      </c>
      <c r="E5864" t="s">
        <v>1253</v>
      </c>
      <c r="F5864">
        <v>0</v>
      </c>
      <c r="G5864">
        <v>0</v>
      </c>
      <c r="H5864">
        <v>0</v>
      </c>
      <c r="I5864">
        <v>0</v>
      </c>
      <c r="J5864">
        <v>0</v>
      </c>
      <c r="K5864">
        <v>0</v>
      </c>
      <c r="L5864">
        <v>245</v>
      </c>
      <c r="M5864">
        <v>0</v>
      </c>
      <c r="N5864">
        <v>0</v>
      </c>
      <c r="O5864">
        <v>0</v>
      </c>
      <c r="P5864">
        <v>245</v>
      </c>
      <c r="Q5864">
        <v>245</v>
      </c>
      <c r="R5864"/>
      <c r="S5864"/>
      <c r="T5864"/>
      <c r="U5864"/>
      <c r="V5864"/>
      <c r="W5864"/>
      <c r="X5864"/>
      <c r="Y5864"/>
      <c r="Z5864"/>
      <c r="AA5864"/>
      <c r="AB5864"/>
      <c r="AC5864"/>
    </row>
    <row r="5865" spans="1:29" x14ac:dyDescent="0.3">
      <c r="A5865" s="12" t="s">
        <v>1370</v>
      </c>
      <c r="B5865" t="s">
        <v>167</v>
      </c>
      <c r="C5865" t="s">
        <v>123</v>
      </c>
      <c r="D5865" t="s">
        <v>110</v>
      </c>
      <c r="E5865" t="s">
        <v>1254</v>
      </c>
      <c r="F5865">
        <v>0</v>
      </c>
      <c r="G5865">
        <v>0</v>
      </c>
      <c r="H5865">
        <v>0</v>
      </c>
      <c r="I5865">
        <v>0</v>
      </c>
      <c r="J5865">
        <v>0</v>
      </c>
      <c r="K5865">
        <v>0</v>
      </c>
      <c r="L5865">
        <v>1188.2</v>
      </c>
      <c r="M5865">
        <v>0</v>
      </c>
      <c r="N5865">
        <v>0</v>
      </c>
      <c r="O5865">
        <v>0</v>
      </c>
      <c r="P5865">
        <v>1188.2</v>
      </c>
      <c r="Q5865">
        <v>1188.2</v>
      </c>
      <c r="R5865"/>
      <c r="S5865"/>
      <c r="T5865"/>
      <c r="U5865"/>
      <c r="V5865"/>
      <c r="W5865"/>
      <c r="X5865"/>
      <c r="Y5865"/>
      <c r="Z5865"/>
      <c r="AA5865"/>
      <c r="AB5865"/>
      <c r="AC5865"/>
    </row>
    <row r="5866" spans="1:29" x14ac:dyDescent="0.3">
      <c r="A5866" s="12" t="s">
        <v>1370</v>
      </c>
      <c r="B5866" t="s">
        <v>167</v>
      </c>
      <c r="C5866" t="s">
        <v>123</v>
      </c>
      <c r="D5866" t="s">
        <v>110</v>
      </c>
      <c r="E5866" t="s">
        <v>70</v>
      </c>
      <c r="F5866">
        <v>0</v>
      </c>
      <c r="G5866">
        <v>0</v>
      </c>
      <c r="H5866">
        <v>0</v>
      </c>
      <c r="I5866">
        <v>0</v>
      </c>
      <c r="J5866">
        <v>0</v>
      </c>
      <c r="K5866">
        <v>0</v>
      </c>
      <c r="L5866">
        <v>785.9</v>
      </c>
      <c r="M5866">
        <v>0</v>
      </c>
      <c r="N5866">
        <v>0</v>
      </c>
      <c r="O5866">
        <v>0</v>
      </c>
      <c r="P5866">
        <v>785.9</v>
      </c>
      <c r="Q5866">
        <v>785.9</v>
      </c>
      <c r="R5866"/>
      <c r="S5866"/>
      <c r="T5866"/>
      <c r="U5866"/>
      <c r="V5866"/>
      <c r="W5866"/>
      <c r="X5866"/>
      <c r="Y5866"/>
      <c r="Z5866"/>
      <c r="AA5866"/>
      <c r="AB5866"/>
      <c r="AC5866"/>
    </row>
    <row r="5867" spans="1:29" x14ac:dyDescent="0.3">
      <c r="A5867" s="12" t="s">
        <v>1370</v>
      </c>
      <c r="B5867" t="s">
        <v>167</v>
      </c>
      <c r="C5867" t="s">
        <v>123</v>
      </c>
      <c r="D5867" t="s">
        <v>110</v>
      </c>
      <c r="E5867" t="s">
        <v>49</v>
      </c>
      <c r="F5867">
        <v>0</v>
      </c>
      <c r="G5867">
        <v>0</v>
      </c>
      <c r="H5867">
        <v>0</v>
      </c>
      <c r="I5867">
        <v>0</v>
      </c>
      <c r="J5867">
        <v>0</v>
      </c>
      <c r="K5867">
        <v>0</v>
      </c>
      <c r="L5867">
        <v>215.5</v>
      </c>
      <c r="M5867">
        <v>0</v>
      </c>
      <c r="N5867">
        <v>0</v>
      </c>
      <c r="O5867">
        <v>0</v>
      </c>
      <c r="P5867">
        <v>215.5</v>
      </c>
      <c r="Q5867">
        <v>215.5</v>
      </c>
      <c r="R5867"/>
      <c r="S5867"/>
      <c r="T5867"/>
      <c r="U5867"/>
      <c r="V5867"/>
      <c r="W5867"/>
      <c r="X5867"/>
      <c r="Y5867"/>
      <c r="Z5867"/>
      <c r="AA5867"/>
      <c r="AB5867"/>
      <c r="AC5867"/>
    </row>
    <row r="5868" spans="1:29" x14ac:dyDescent="0.3">
      <c r="A5868" s="12" t="s">
        <v>1370</v>
      </c>
      <c r="B5868" t="s">
        <v>167</v>
      </c>
      <c r="C5868" t="s">
        <v>123</v>
      </c>
      <c r="D5868" t="s">
        <v>110</v>
      </c>
      <c r="E5868" t="s">
        <v>1375</v>
      </c>
      <c r="F5868">
        <v>0</v>
      </c>
      <c r="G5868">
        <v>0</v>
      </c>
      <c r="H5868">
        <v>0</v>
      </c>
      <c r="I5868">
        <v>0</v>
      </c>
      <c r="J5868">
        <v>0</v>
      </c>
      <c r="K5868">
        <v>0</v>
      </c>
      <c r="L5868">
        <v>124.1</v>
      </c>
      <c r="M5868">
        <v>0</v>
      </c>
      <c r="N5868">
        <v>0</v>
      </c>
      <c r="O5868">
        <v>0</v>
      </c>
      <c r="P5868">
        <v>124.1</v>
      </c>
      <c r="Q5868">
        <v>124.1</v>
      </c>
      <c r="R5868"/>
      <c r="S5868"/>
      <c r="T5868"/>
      <c r="U5868"/>
      <c r="V5868"/>
      <c r="W5868"/>
      <c r="X5868"/>
      <c r="Y5868"/>
      <c r="Z5868"/>
      <c r="AA5868"/>
      <c r="AB5868"/>
      <c r="AC5868"/>
    </row>
    <row r="5869" spans="1:29" x14ac:dyDescent="0.3">
      <c r="A5869" s="12" t="s">
        <v>1370</v>
      </c>
      <c r="B5869" t="s">
        <v>167</v>
      </c>
      <c r="C5869" t="s">
        <v>123</v>
      </c>
      <c r="D5869" t="s">
        <v>110</v>
      </c>
      <c r="E5869" t="s">
        <v>28</v>
      </c>
      <c r="F5869">
        <v>0</v>
      </c>
      <c r="G5869">
        <v>0</v>
      </c>
      <c r="H5869">
        <v>0</v>
      </c>
      <c r="I5869">
        <v>0</v>
      </c>
      <c r="J5869">
        <v>0</v>
      </c>
      <c r="K5869">
        <v>0</v>
      </c>
      <c r="L5869">
        <v>460.77387800000002</v>
      </c>
      <c r="M5869">
        <v>-324.07</v>
      </c>
      <c r="N5869">
        <v>0</v>
      </c>
      <c r="O5869">
        <v>0</v>
      </c>
      <c r="P5869">
        <v>136.703878</v>
      </c>
      <c r="Q5869">
        <v>136.703878</v>
      </c>
      <c r="R5869"/>
      <c r="S5869"/>
      <c r="T5869"/>
      <c r="U5869"/>
      <c r="V5869"/>
      <c r="W5869"/>
      <c r="X5869"/>
      <c r="Y5869"/>
      <c r="Z5869"/>
      <c r="AA5869"/>
      <c r="AB5869"/>
      <c r="AC5869"/>
    </row>
    <row r="5870" spans="1:29" x14ac:dyDescent="0.3">
      <c r="A5870" s="12" t="s">
        <v>1370</v>
      </c>
      <c r="B5870" t="s">
        <v>167</v>
      </c>
      <c r="C5870" t="s">
        <v>123</v>
      </c>
      <c r="D5870" t="s">
        <v>110</v>
      </c>
      <c r="E5870" t="s">
        <v>71</v>
      </c>
      <c r="F5870">
        <v>0</v>
      </c>
      <c r="G5870">
        <v>382.2</v>
      </c>
      <c r="H5870">
        <v>0</v>
      </c>
      <c r="I5870">
        <v>0</v>
      </c>
      <c r="J5870">
        <v>0</v>
      </c>
      <c r="K5870">
        <v>382.2</v>
      </c>
      <c r="L5870">
        <v>67.8</v>
      </c>
      <c r="M5870">
        <v>-140.9</v>
      </c>
      <c r="N5870">
        <v>0</v>
      </c>
      <c r="O5870">
        <v>0</v>
      </c>
      <c r="P5870">
        <v>-73.099999999999994</v>
      </c>
      <c r="Q5870">
        <v>309.10000000000002</v>
      </c>
      <c r="R5870"/>
      <c r="S5870"/>
      <c r="T5870"/>
      <c r="U5870"/>
      <c r="V5870"/>
      <c r="W5870"/>
      <c r="X5870"/>
      <c r="Y5870"/>
      <c r="Z5870"/>
      <c r="AA5870"/>
      <c r="AB5870"/>
      <c r="AC5870"/>
    </row>
    <row r="5871" spans="1:29" x14ac:dyDescent="0.3">
      <c r="A5871" s="12" t="s">
        <v>1370</v>
      </c>
      <c r="B5871" t="s">
        <v>167</v>
      </c>
      <c r="C5871" t="s">
        <v>123</v>
      </c>
      <c r="D5871" t="s">
        <v>110</v>
      </c>
      <c r="E5871" t="s">
        <v>29</v>
      </c>
      <c r="F5871">
        <v>0</v>
      </c>
      <c r="G5871">
        <v>893.8</v>
      </c>
      <c r="H5871">
        <v>0</v>
      </c>
      <c r="I5871">
        <v>0</v>
      </c>
      <c r="J5871">
        <v>0</v>
      </c>
      <c r="K5871">
        <v>893.8</v>
      </c>
      <c r="L5871">
        <v>521.58000000000004</v>
      </c>
      <c r="M5871">
        <v>0</v>
      </c>
      <c r="N5871">
        <v>0</v>
      </c>
      <c r="O5871">
        <v>0</v>
      </c>
      <c r="P5871">
        <v>521.58000000000004</v>
      </c>
      <c r="Q5871">
        <v>1415.38</v>
      </c>
      <c r="R5871"/>
      <c r="S5871"/>
      <c r="T5871"/>
      <c r="U5871"/>
      <c r="V5871"/>
      <c r="W5871"/>
      <c r="X5871"/>
      <c r="Y5871"/>
      <c r="Z5871"/>
      <c r="AA5871"/>
      <c r="AB5871"/>
      <c r="AC5871"/>
    </row>
    <row r="5872" spans="1:29" x14ac:dyDescent="0.3">
      <c r="A5872" s="12" t="s">
        <v>1370</v>
      </c>
      <c r="B5872" t="s">
        <v>167</v>
      </c>
      <c r="C5872" t="s">
        <v>123</v>
      </c>
      <c r="D5872" t="s">
        <v>110</v>
      </c>
      <c r="E5872" t="s">
        <v>82</v>
      </c>
      <c r="F5872">
        <v>0</v>
      </c>
      <c r="G5872">
        <v>0</v>
      </c>
      <c r="H5872">
        <v>0</v>
      </c>
      <c r="I5872">
        <v>0</v>
      </c>
      <c r="J5872">
        <v>0</v>
      </c>
      <c r="K5872">
        <v>0</v>
      </c>
      <c r="L5872">
        <v>4998.8999999999996</v>
      </c>
      <c r="M5872">
        <v>0</v>
      </c>
      <c r="N5872">
        <v>0</v>
      </c>
      <c r="O5872">
        <v>0</v>
      </c>
      <c r="P5872">
        <v>4998.8999999999996</v>
      </c>
      <c r="Q5872">
        <v>4998.8999999999996</v>
      </c>
      <c r="R5872"/>
      <c r="S5872"/>
      <c r="T5872"/>
      <c r="U5872"/>
      <c r="V5872"/>
      <c r="W5872"/>
      <c r="X5872"/>
      <c r="Y5872"/>
      <c r="Z5872"/>
      <c r="AA5872"/>
      <c r="AB5872"/>
      <c r="AC5872"/>
    </row>
    <row r="5873" spans="1:29" x14ac:dyDescent="0.3">
      <c r="A5873" s="12" t="s">
        <v>1370</v>
      </c>
      <c r="B5873" t="s">
        <v>167</v>
      </c>
      <c r="C5873" t="s">
        <v>123</v>
      </c>
      <c r="D5873" t="s">
        <v>110</v>
      </c>
      <c r="E5873" t="s">
        <v>1255</v>
      </c>
      <c r="F5873">
        <v>0</v>
      </c>
      <c r="G5873">
        <v>0</v>
      </c>
      <c r="H5873">
        <v>0</v>
      </c>
      <c r="I5873">
        <v>0</v>
      </c>
      <c r="J5873">
        <v>0</v>
      </c>
      <c r="K5873">
        <v>0</v>
      </c>
      <c r="L5873">
        <v>2816</v>
      </c>
      <c r="M5873">
        <v>0</v>
      </c>
      <c r="N5873">
        <v>0</v>
      </c>
      <c r="O5873">
        <v>0</v>
      </c>
      <c r="P5873">
        <v>2816</v>
      </c>
      <c r="Q5873">
        <v>2816</v>
      </c>
      <c r="R5873"/>
      <c r="S5873"/>
      <c r="T5873"/>
      <c r="U5873"/>
      <c r="V5873"/>
      <c r="W5873"/>
      <c r="X5873"/>
      <c r="Y5873"/>
      <c r="Z5873"/>
      <c r="AA5873"/>
      <c r="AB5873"/>
      <c r="AC5873"/>
    </row>
    <row r="5874" spans="1:29" x14ac:dyDescent="0.3">
      <c r="A5874" s="12" t="s">
        <v>1370</v>
      </c>
      <c r="B5874" t="s">
        <v>167</v>
      </c>
      <c r="C5874" t="s">
        <v>123</v>
      </c>
      <c r="D5874" t="s">
        <v>110</v>
      </c>
      <c r="E5874" t="s">
        <v>51</v>
      </c>
      <c r="F5874">
        <v>0</v>
      </c>
      <c r="G5874">
        <v>0</v>
      </c>
      <c r="H5874">
        <v>0</v>
      </c>
      <c r="I5874">
        <v>0</v>
      </c>
      <c r="J5874">
        <v>0</v>
      </c>
      <c r="K5874">
        <v>0</v>
      </c>
      <c r="L5874">
        <v>0</v>
      </c>
      <c r="M5874">
        <v>-431.05</v>
      </c>
      <c r="N5874">
        <v>0</v>
      </c>
      <c r="O5874">
        <v>0</v>
      </c>
      <c r="P5874">
        <v>-431.05</v>
      </c>
      <c r="Q5874">
        <v>-431.05</v>
      </c>
      <c r="R5874"/>
      <c r="S5874"/>
      <c r="T5874"/>
      <c r="U5874"/>
      <c r="V5874"/>
      <c r="W5874"/>
      <c r="X5874"/>
      <c r="Y5874"/>
      <c r="Z5874"/>
      <c r="AA5874"/>
      <c r="AB5874"/>
      <c r="AC5874"/>
    </row>
    <row r="5875" spans="1:29" x14ac:dyDescent="0.3">
      <c r="A5875" s="12" t="s">
        <v>1370</v>
      </c>
      <c r="B5875" t="s">
        <v>167</v>
      </c>
      <c r="C5875" t="s">
        <v>123</v>
      </c>
      <c r="D5875" t="s">
        <v>110</v>
      </c>
      <c r="E5875" t="s">
        <v>83</v>
      </c>
      <c r="F5875">
        <v>0</v>
      </c>
      <c r="G5875">
        <v>0</v>
      </c>
      <c r="H5875">
        <v>-2197.3000000000002</v>
      </c>
      <c r="I5875">
        <v>0</v>
      </c>
      <c r="J5875">
        <v>0</v>
      </c>
      <c r="K5875">
        <v>-2197.3000000000002</v>
      </c>
      <c r="L5875">
        <v>0</v>
      </c>
      <c r="M5875">
        <v>0</v>
      </c>
      <c r="N5875">
        <v>0</v>
      </c>
      <c r="O5875">
        <v>0</v>
      </c>
      <c r="P5875">
        <v>0</v>
      </c>
      <c r="Q5875">
        <v>-2197.3000000000002</v>
      </c>
      <c r="R5875"/>
      <c r="S5875"/>
      <c r="T5875"/>
      <c r="U5875"/>
      <c r="V5875"/>
      <c r="W5875"/>
      <c r="X5875"/>
      <c r="Y5875"/>
      <c r="Z5875"/>
      <c r="AA5875"/>
      <c r="AB5875"/>
      <c r="AC5875"/>
    </row>
    <row r="5876" spans="1:29" x14ac:dyDescent="0.3">
      <c r="A5876" s="12" t="s">
        <v>1370</v>
      </c>
      <c r="B5876" t="s">
        <v>167</v>
      </c>
      <c r="C5876" t="s">
        <v>123</v>
      </c>
      <c r="D5876" t="s">
        <v>110</v>
      </c>
      <c r="E5876" t="s">
        <v>86</v>
      </c>
      <c r="F5876">
        <v>0</v>
      </c>
      <c r="G5876">
        <v>0</v>
      </c>
      <c r="H5876">
        <v>0</v>
      </c>
      <c r="I5876">
        <v>0</v>
      </c>
      <c r="J5876">
        <v>0</v>
      </c>
      <c r="K5876">
        <v>0</v>
      </c>
      <c r="L5876">
        <v>2086.8000000000002</v>
      </c>
      <c r="M5876">
        <v>0</v>
      </c>
      <c r="N5876">
        <v>0</v>
      </c>
      <c r="O5876">
        <v>0</v>
      </c>
      <c r="P5876">
        <v>2086.8000000000002</v>
      </c>
      <c r="Q5876">
        <v>2086.8000000000002</v>
      </c>
      <c r="R5876"/>
      <c r="S5876"/>
      <c r="T5876"/>
      <c r="U5876"/>
      <c r="V5876"/>
      <c r="W5876"/>
      <c r="X5876"/>
      <c r="Y5876"/>
      <c r="Z5876"/>
      <c r="AA5876"/>
      <c r="AB5876"/>
      <c r="AC5876"/>
    </row>
    <row r="5877" spans="1:29" x14ac:dyDescent="0.3">
      <c r="A5877" s="12" t="s">
        <v>1370</v>
      </c>
      <c r="B5877" t="s">
        <v>167</v>
      </c>
      <c r="C5877" t="s">
        <v>123</v>
      </c>
      <c r="D5877" t="s">
        <v>110</v>
      </c>
      <c r="E5877" t="s">
        <v>1256</v>
      </c>
      <c r="F5877">
        <v>0</v>
      </c>
      <c r="G5877">
        <v>0</v>
      </c>
      <c r="H5877">
        <v>0</v>
      </c>
      <c r="I5877">
        <v>0</v>
      </c>
      <c r="J5877">
        <v>0</v>
      </c>
      <c r="K5877">
        <v>0</v>
      </c>
      <c r="L5877">
        <v>0</v>
      </c>
      <c r="M5877">
        <v>-1.3</v>
      </c>
      <c r="N5877">
        <v>0</v>
      </c>
      <c r="O5877">
        <v>0</v>
      </c>
      <c r="P5877">
        <v>-1.3</v>
      </c>
      <c r="Q5877">
        <v>-1.3</v>
      </c>
      <c r="R5877"/>
      <c r="S5877"/>
      <c r="T5877"/>
      <c r="U5877"/>
      <c r="V5877"/>
      <c r="W5877"/>
      <c r="X5877"/>
      <c r="Y5877"/>
      <c r="Z5877"/>
      <c r="AA5877"/>
      <c r="AB5877"/>
      <c r="AC5877"/>
    </row>
    <row r="5878" spans="1:29" x14ac:dyDescent="0.3">
      <c r="A5878" s="12" t="s">
        <v>1370</v>
      </c>
      <c r="B5878" t="s">
        <v>167</v>
      </c>
      <c r="C5878" t="s">
        <v>123</v>
      </c>
      <c r="D5878" t="s">
        <v>110</v>
      </c>
      <c r="E5878" t="s">
        <v>1257</v>
      </c>
      <c r="F5878">
        <v>0</v>
      </c>
      <c r="G5878">
        <v>0</v>
      </c>
      <c r="H5878">
        <v>0</v>
      </c>
      <c r="I5878">
        <v>0</v>
      </c>
      <c r="J5878">
        <v>0</v>
      </c>
      <c r="K5878">
        <v>0</v>
      </c>
      <c r="L5878">
        <v>89.7</v>
      </c>
      <c r="M5878">
        <v>0</v>
      </c>
      <c r="N5878">
        <v>0</v>
      </c>
      <c r="O5878">
        <v>0</v>
      </c>
      <c r="P5878">
        <v>89.7</v>
      </c>
      <c r="Q5878">
        <v>89.7</v>
      </c>
      <c r="R5878"/>
      <c r="S5878"/>
      <c r="T5878"/>
      <c r="U5878"/>
      <c r="V5878"/>
      <c r="W5878"/>
      <c r="X5878"/>
      <c r="Y5878"/>
      <c r="Z5878"/>
      <c r="AA5878"/>
      <c r="AB5878"/>
      <c r="AC5878"/>
    </row>
    <row r="5879" spans="1:29" x14ac:dyDescent="0.3">
      <c r="A5879" s="12" t="s">
        <v>1370</v>
      </c>
      <c r="B5879" t="s">
        <v>167</v>
      </c>
      <c r="C5879" t="s">
        <v>123</v>
      </c>
      <c r="D5879" t="s">
        <v>110</v>
      </c>
      <c r="E5879" t="s">
        <v>1258</v>
      </c>
      <c r="F5879">
        <v>0</v>
      </c>
      <c r="G5879">
        <v>0</v>
      </c>
      <c r="H5879">
        <v>0</v>
      </c>
      <c r="I5879">
        <v>0</v>
      </c>
      <c r="J5879">
        <v>0</v>
      </c>
      <c r="K5879">
        <v>0</v>
      </c>
      <c r="L5879">
        <v>1339.6</v>
      </c>
      <c r="M5879">
        <v>0</v>
      </c>
      <c r="N5879">
        <v>0</v>
      </c>
      <c r="O5879">
        <v>0</v>
      </c>
      <c r="P5879">
        <v>1339.6</v>
      </c>
      <c r="Q5879">
        <v>1339.6</v>
      </c>
      <c r="R5879"/>
      <c r="S5879"/>
      <c r="T5879"/>
      <c r="U5879"/>
      <c r="V5879"/>
      <c r="W5879"/>
      <c r="X5879"/>
      <c r="Y5879"/>
      <c r="Z5879"/>
      <c r="AA5879"/>
      <c r="AB5879"/>
      <c r="AC5879"/>
    </row>
    <row r="5880" spans="1:29" x14ac:dyDescent="0.3">
      <c r="A5880" s="12" t="s">
        <v>1370</v>
      </c>
      <c r="B5880" t="s">
        <v>167</v>
      </c>
      <c r="C5880" t="s">
        <v>123</v>
      </c>
      <c r="D5880" t="s">
        <v>110</v>
      </c>
      <c r="E5880" t="s">
        <v>1156</v>
      </c>
      <c r="F5880">
        <v>0</v>
      </c>
      <c r="G5880">
        <v>0</v>
      </c>
      <c r="H5880">
        <v>0</v>
      </c>
      <c r="I5880">
        <v>0</v>
      </c>
      <c r="J5880">
        <v>0</v>
      </c>
      <c r="K5880">
        <v>0</v>
      </c>
      <c r="L5880">
        <v>316.75</v>
      </c>
      <c r="M5880">
        <v>0</v>
      </c>
      <c r="N5880">
        <v>0</v>
      </c>
      <c r="O5880">
        <v>0</v>
      </c>
      <c r="P5880">
        <v>316.75</v>
      </c>
      <c r="Q5880">
        <v>316.75</v>
      </c>
      <c r="R5880"/>
      <c r="S5880"/>
      <c r="T5880"/>
      <c r="U5880"/>
      <c r="V5880"/>
      <c r="W5880"/>
      <c r="X5880"/>
      <c r="Y5880"/>
      <c r="Z5880"/>
      <c r="AA5880"/>
      <c r="AB5880"/>
      <c r="AC5880"/>
    </row>
    <row r="5881" spans="1:29" x14ac:dyDescent="0.3">
      <c r="A5881" s="12" t="s">
        <v>1370</v>
      </c>
      <c r="B5881" t="s">
        <v>167</v>
      </c>
      <c r="C5881" t="s">
        <v>123</v>
      </c>
      <c r="D5881" t="s">
        <v>110</v>
      </c>
      <c r="E5881" t="s">
        <v>62</v>
      </c>
      <c r="F5881">
        <v>0</v>
      </c>
      <c r="G5881">
        <v>0</v>
      </c>
      <c r="H5881">
        <v>0</v>
      </c>
      <c r="I5881">
        <v>0</v>
      </c>
      <c r="J5881">
        <v>0</v>
      </c>
      <c r="K5881">
        <v>0</v>
      </c>
      <c r="L5881">
        <v>1973.13</v>
      </c>
      <c r="M5881">
        <v>0</v>
      </c>
      <c r="N5881">
        <v>0</v>
      </c>
      <c r="O5881">
        <v>0</v>
      </c>
      <c r="P5881">
        <v>1973.13</v>
      </c>
      <c r="Q5881">
        <v>1973.13</v>
      </c>
      <c r="R5881"/>
      <c r="S5881"/>
      <c r="T5881"/>
      <c r="U5881"/>
      <c r="V5881"/>
      <c r="W5881"/>
      <c r="X5881"/>
      <c r="Y5881"/>
      <c r="Z5881"/>
      <c r="AA5881"/>
      <c r="AB5881"/>
      <c r="AC5881"/>
    </row>
    <row r="5882" spans="1:29" x14ac:dyDescent="0.3">
      <c r="A5882" s="12" t="s">
        <v>1370</v>
      </c>
      <c r="B5882" t="s">
        <v>167</v>
      </c>
      <c r="C5882" t="s">
        <v>123</v>
      </c>
      <c r="D5882" t="s">
        <v>110</v>
      </c>
      <c r="E5882" t="s">
        <v>41</v>
      </c>
      <c r="F5882">
        <v>0</v>
      </c>
      <c r="G5882">
        <v>0</v>
      </c>
      <c r="H5882">
        <v>0</v>
      </c>
      <c r="I5882">
        <v>0</v>
      </c>
      <c r="J5882">
        <v>0</v>
      </c>
      <c r="K5882">
        <v>0</v>
      </c>
      <c r="L5882">
        <v>4461.84</v>
      </c>
      <c r="M5882">
        <v>0</v>
      </c>
      <c r="N5882">
        <v>0</v>
      </c>
      <c r="O5882">
        <v>0</v>
      </c>
      <c r="P5882">
        <v>4461.84</v>
      </c>
      <c r="Q5882">
        <v>4461.84</v>
      </c>
      <c r="R5882"/>
      <c r="S5882"/>
      <c r="T5882"/>
      <c r="U5882"/>
      <c r="V5882"/>
      <c r="W5882"/>
      <c r="X5882"/>
      <c r="Y5882"/>
      <c r="Z5882"/>
      <c r="AA5882"/>
      <c r="AB5882"/>
      <c r="AC5882"/>
    </row>
    <row r="5883" spans="1:29" x14ac:dyDescent="0.3">
      <c r="A5883" s="12" t="s">
        <v>1370</v>
      </c>
      <c r="B5883" t="s">
        <v>167</v>
      </c>
      <c r="C5883" t="s">
        <v>123</v>
      </c>
      <c r="D5883" t="s">
        <v>110</v>
      </c>
      <c r="E5883" t="s">
        <v>79</v>
      </c>
      <c r="F5883">
        <v>0</v>
      </c>
      <c r="G5883">
        <v>0</v>
      </c>
      <c r="H5883">
        <v>0</v>
      </c>
      <c r="I5883">
        <v>0</v>
      </c>
      <c r="J5883">
        <v>0</v>
      </c>
      <c r="K5883">
        <v>0</v>
      </c>
      <c r="L5883">
        <v>1834.4</v>
      </c>
      <c r="M5883">
        <v>0</v>
      </c>
      <c r="N5883">
        <v>0</v>
      </c>
      <c r="O5883">
        <v>0</v>
      </c>
      <c r="P5883">
        <v>1834.4</v>
      </c>
      <c r="Q5883">
        <v>1834.4</v>
      </c>
      <c r="R5883"/>
      <c r="S5883"/>
      <c r="T5883"/>
      <c r="U5883"/>
      <c r="V5883"/>
      <c r="W5883"/>
      <c r="X5883"/>
      <c r="Y5883"/>
      <c r="Z5883"/>
      <c r="AA5883"/>
      <c r="AB5883"/>
      <c r="AC5883"/>
    </row>
    <row r="5884" spans="1:29" x14ac:dyDescent="0.3">
      <c r="A5884" s="12" t="s">
        <v>1370</v>
      </c>
      <c r="B5884" t="s">
        <v>167</v>
      </c>
      <c r="C5884" t="s">
        <v>123</v>
      </c>
      <c r="D5884" t="s">
        <v>110</v>
      </c>
      <c r="E5884" t="s">
        <v>42</v>
      </c>
      <c r="F5884">
        <v>0</v>
      </c>
      <c r="G5884">
        <v>0</v>
      </c>
      <c r="H5884">
        <v>0</v>
      </c>
      <c r="I5884">
        <v>0</v>
      </c>
      <c r="J5884">
        <v>0</v>
      </c>
      <c r="K5884">
        <v>0</v>
      </c>
      <c r="L5884">
        <v>5325</v>
      </c>
      <c r="M5884">
        <v>0</v>
      </c>
      <c r="N5884">
        <v>0</v>
      </c>
      <c r="O5884">
        <v>0</v>
      </c>
      <c r="P5884">
        <v>5325</v>
      </c>
      <c r="Q5884">
        <v>5325</v>
      </c>
      <c r="R5884"/>
      <c r="S5884"/>
      <c r="T5884"/>
      <c r="U5884"/>
      <c r="V5884"/>
      <c r="W5884"/>
      <c r="X5884"/>
      <c r="Y5884"/>
      <c r="Z5884"/>
      <c r="AA5884"/>
      <c r="AB5884"/>
      <c r="AC5884"/>
    </row>
    <row r="5885" spans="1:29" x14ac:dyDescent="0.3">
      <c r="A5885" s="12" t="s">
        <v>1370</v>
      </c>
      <c r="B5885" t="s">
        <v>167</v>
      </c>
      <c r="C5885" t="s">
        <v>123</v>
      </c>
      <c r="D5885" t="s">
        <v>110</v>
      </c>
      <c r="E5885" t="s">
        <v>43</v>
      </c>
      <c r="F5885">
        <v>0</v>
      </c>
      <c r="G5885">
        <v>1897.4</v>
      </c>
      <c r="H5885">
        <v>0</v>
      </c>
      <c r="I5885">
        <v>0</v>
      </c>
      <c r="J5885">
        <v>0</v>
      </c>
      <c r="K5885">
        <v>1897.4</v>
      </c>
      <c r="L5885">
        <v>2648.4</v>
      </c>
      <c r="M5885">
        <v>0</v>
      </c>
      <c r="N5885">
        <v>0</v>
      </c>
      <c r="O5885">
        <v>0</v>
      </c>
      <c r="P5885">
        <v>2648.4</v>
      </c>
      <c r="Q5885">
        <v>4545.8</v>
      </c>
      <c r="R5885"/>
      <c r="S5885"/>
      <c r="T5885"/>
      <c r="U5885"/>
      <c r="V5885"/>
      <c r="W5885"/>
      <c r="X5885"/>
      <c r="Y5885"/>
      <c r="Z5885"/>
      <c r="AA5885"/>
      <c r="AB5885"/>
      <c r="AC5885"/>
    </row>
    <row r="5886" spans="1:29" x14ac:dyDescent="0.3">
      <c r="A5886" s="12" t="s">
        <v>1370</v>
      </c>
      <c r="B5886" t="s">
        <v>167</v>
      </c>
      <c r="C5886" t="s">
        <v>123</v>
      </c>
      <c r="D5886" t="s">
        <v>110</v>
      </c>
      <c r="E5886" t="s">
        <v>44</v>
      </c>
      <c r="F5886">
        <v>0</v>
      </c>
      <c r="G5886">
        <v>0</v>
      </c>
      <c r="H5886">
        <v>0</v>
      </c>
      <c r="I5886">
        <v>0</v>
      </c>
      <c r="J5886">
        <v>0</v>
      </c>
      <c r="K5886">
        <v>0</v>
      </c>
      <c r="L5886">
        <v>254.95</v>
      </c>
      <c r="M5886">
        <v>0</v>
      </c>
      <c r="N5886">
        <v>0</v>
      </c>
      <c r="O5886">
        <v>0</v>
      </c>
      <c r="P5886">
        <v>254.95</v>
      </c>
      <c r="Q5886">
        <v>254.95</v>
      </c>
      <c r="R5886"/>
      <c r="S5886"/>
      <c r="T5886"/>
      <c r="U5886"/>
      <c r="V5886"/>
      <c r="W5886"/>
      <c r="X5886"/>
      <c r="Y5886"/>
      <c r="Z5886"/>
      <c r="AA5886"/>
      <c r="AB5886"/>
      <c r="AC5886"/>
    </row>
    <row r="5887" spans="1:29" x14ac:dyDescent="0.3">
      <c r="A5887" s="12" t="s">
        <v>1370</v>
      </c>
      <c r="B5887" t="s">
        <v>167</v>
      </c>
      <c r="C5887" t="s">
        <v>123</v>
      </c>
      <c r="D5887" t="s">
        <v>110</v>
      </c>
      <c r="E5887" t="s">
        <v>84</v>
      </c>
      <c r="F5887">
        <v>0</v>
      </c>
      <c r="G5887">
        <v>0</v>
      </c>
      <c r="H5887">
        <v>0</v>
      </c>
      <c r="I5887">
        <v>0</v>
      </c>
      <c r="J5887">
        <v>0</v>
      </c>
      <c r="K5887">
        <v>0</v>
      </c>
      <c r="L5887">
        <v>1839.5</v>
      </c>
      <c r="M5887">
        <v>0</v>
      </c>
      <c r="N5887">
        <v>0</v>
      </c>
      <c r="O5887">
        <v>0</v>
      </c>
      <c r="P5887">
        <v>1839.5</v>
      </c>
      <c r="Q5887">
        <v>1839.5</v>
      </c>
      <c r="R5887"/>
      <c r="S5887"/>
      <c r="T5887"/>
      <c r="U5887"/>
      <c r="V5887"/>
      <c r="W5887"/>
      <c r="X5887"/>
      <c r="Y5887"/>
      <c r="Z5887"/>
      <c r="AA5887"/>
      <c r="AB5887"/>
      <c r="AC5887"/>
    </row>
    <row r="5888" spans="1:29" x14ac:dyDescent="0.3">
      <c r="A5888" s="12" t="s">
        <v>1370</v>
      </c>
      <c r="B5888" t="s">
        <v>167</v>
      </c>
      <c r="C5888" t="s">
        <v>123</v>
      </c>
      <c r="D5888" t="s">
        <v>97</v>
      </c>
      <c r="E5888"/>
      <c r="F5888">
        <v>0</v>
      </c>
      <c r="G5888">
        <v>7862.55</v>
      </c>
      <c r="H5888">
        <v>-2877.625</v>
      </c>
      <c r="I5888">
        <v>0</v>
      </c>
      <c r="J5888">
        <v>0</v>
      </c>
      <c r="K5888">
        <v>4984.9250000000002</v>
      </c>
      <c r="L5888">
        <v>36159.623877999999</v>
      </c>
      <c r="M5888">
        <v>-1523.72</v>
      </c>
      <c r="N5888">
        <v>0</v>
      </c>
      <c r="O5888">
        <v>0</v>
      </c>
      <c r="P5888">
        <v>34635.903877999997</v>
      </c>
      <c r="Q5888">
        <v>39620.828878</v>
      </c>
      <c r="R5888"/>
      <c r="S5888"/>
      <c r="T5888"/>
      <c r="U5888"/>
      <c r="V5888"/>
      <c r="W5888"/>
      <c r="X5888"/>
      <c r="Y5888"/>
      <c r="Z5888"/>
      <c r="AA5888"/>
      <c r="AB5888"/>
      <c r="AC5888"/>
    </row>
    <row r="5889" spans="1:29" x14ac:dyDescent="0.3">
      <c r="A5889" s="12" t="s">
        <v>1370</v>
      </c>
      <c r="B5889" t="s">
        <v>167</v>
      </c>
      <c r="C5889" t="s">
        <v>123</v>
      </c>
      <c r="D5889" t="s">
        <v>112</v>
      </c>
      <c r="E5889" t="s">
        <v>1158</v>
      </c>
      <c r="F5889">
        <v>0</v>
      </c>
      <c r="G5889">
        <v>4039.5</v>
      </c>
      <c r="H5889">
        <v>-2171.5</v>
      </c>
      <c r="I5889">
        <v>0</v>
      </c>
      <c r="J5889">
        <v>0</v>
      </c>
      <c r="K5889">
        <v>1868</v>
      </c>
      <c r="L5889">
        <v>0</v>
      </c>
      <c r="M5889">
        <v>-2859.5</v>
      </c>
      <c r="N5889">
        <v>0</v>
      </c>
      <c r="O5889">
        <v>0</v>
      </c>
      <c r="P5889">
        <v>-2859.5</v>
      </c>
      <c r="Q5889">
        <v>-991.5</v>
      </c>
      <c r="R5889"/>
      <c r="S5889"/>
      <c r="T5889"/>
      <c r="U5889"/>
      <c r="V5889"/>
      <c r="W5889"/>
      <c r="X5889"/>
      <c r="Y5889"/>
      <c r="Z5889"/>
      <c r="AA5889"/>
      <c r="AB5889"/>
      <c r="AC5889"/>
    </row>
    <row r="5890" spans="1:29" x14ac:dyDescent="0.3">
      <c r="A5890" s="12" t="s">
        <v>1370</v>
      </c>
      <c r="B5890" t="s">
        <v>167</v>
      </c>
      <c r="C5890" t="s">
        <v>123</v>
      </c>
      <c r="D5890" t="s">
        <v>97</v>
      </c>
      <c r="E5890"/>
      <c r="F5890">
        <v>0</v>
      </c>
      <c r="G5890">
        <v>4039.5</v>
      </c>
      <c r="H5890">
        <v>-2171.5</v>
      </c>
      <c r="I5890">
        <v>0</v>
      </c>
      <c r="J5890">
        <v>0</v>
      </c>
      <c r="K5890">
        <v>1868</v>
      </c>
      <c r="L5890">
        <v>0</v>
      </c>
      <c r="M5890">
        <v>-2859.5</v>
      </c>
      <c r="N5890">
        <v>0</v>
      </c>
      <c r="O5890">
        <v>0</v>
      </c>
      <c r="P5890">
        <v>-2859.5</v>
      </c>
      <c r="Q5890">
        <v>-991.5</v>
      </c>
      <c r="R5890"/>
      <c r="S5890"/>
      <c r="T5890"/>
      <c r="U5890"/>
      <c r="V5890"/>
      <c r="W5890"/>
      <c r="X5890"/>
      <c r="Y5890"/>
      <c r="Z5890"/>
      <c r="AA5890"/>
      <c r="AB5890"/>
      <c r="AC5890"/>
    </row>
    <row r="5891" spans="1:29" x14ac:dyDescent="0.3">
      <c r="A5891" s="12" t="s">
        <v>1370</v>
      </c>
      <c r="B5891" t="s">
        <v>167</v>
      </c>
      <c r="C5891" t="s">
        <v>123</v>
      </c>
      <c r="D5891" t="s">
        <v>115</v>
      </c>
      <c r="E5891"/>
      <c r="F5891">
        <v>0</v>
      </c>
      <c r="G5891">
        <v>11902.05</v>
      </c>
      <c r="H5891">
        <v>-5049.125</v>
      </c>
      <c r="I5891">
        <v>0</v>
      </c>
      <c r="J5891">
        <v>0</v>
      </c>
      <c r="K5891">
        <v>6852.9250000000002</v>
      </c>
      <c r="L5891">
        <v>36159.623877999999</v>
      </c>
      <c r="M5891">
        <v>-4383.22</v>
      </c>
      <c r="N5891">
        <v>0</v>
      </c>
      <c r="O5891">
        <v>0</v>
      </c>
      <c r="P5891">
        <v>31776.403878000001</v>
      </c>
      <c r="Q5891">
        <v>38629.328878</v>
      </c>
      <c r="R5891"/>
      <c r="S5891"/>
      <c r="T5891"/>
      <c r="U5891"/>
      <c r="V5891"/>
      <c r="W5891"/>
      <c r="X5891"/>
      <c r="Y5891"/>
      <c r="Z5891"/>
      <c r="AA5891"/>
      <c r="AB5891"/>
      <c r="AC5891"/>
    </row>
    <row r="5892" spans="1:29" x14ac:dyDescent="0.3">
      <c r="A5892" s="12" t="s">
        <v>1370</v>
      </c>
      <c r="B5892" t="s">
        <v>179</v>
      </c>
      <c r="C5892" t="s">
        <v>120</v>
      </c>
      <c r="D5892" t="s">
        <v>180</v>
      </c>
      <c r="E5892" t="s">
        <v>181</v>
      </c>
      <c r="F5892" t="s">
        <v>97</v>
      </c>
      <c r="G5892" t="s">
        <v>182</v>
      </c>
      <c r="H5892" t="s">
        <v>112</v>
      </c>
      <c r="I5892"/>
      <c r="J5892"/>
      <c r="K5892"/>
      <c r="L5892"/>
      <c r="M5892"/>
      <c r="N5892"/>
      <c r="O5892"/>
      <c r="P5892"/>
      <c r="Q5892"/>
      <c r="R5892"/>
      <c r="S5892"/>
      <c r="T5892"/>
      <c r="U5892"/>
      <c r="V5892"/>
      <c r="W5892"/>
      <c r="X5892"/>
      <c r="Y5892"/>
      <c r="Z5892"/>
      <c r="AA5892"/>
      <c r="AB5892"/>
      <c r="AC5892"/>
    </row>
    <row r="5893" spans="1:29" x14ac:dyDescent="0.3">
      <c r="A5893" s="12" t="s">
        <v>1370</v>
      </c>
      <c r="B5893" t="s">
        <v>179</v>
      </c>
      <c r="C5893" t="s">
        <v>123</v>
      </c>
      <c r="D5893" t="s">
        <v>183</v>
      </c>
      <c r="E5893" t="s">
        <v>184</v>
      </c>
      <c r="F5893">
        <v>71547.261125000005</v>
      </c>
      <c r="G5893">
        <v>40765.991125</v>
      </c>
      <c r="H5893">
        <v>30781.27</v>
      </c>
      <c r="I5893"/>
      <c r="J5893"/>
      <c r="K5893"/>
      <c r="L5893"/>
      <c r="M5893"/>
      <c r="N5893"/>
      <c r="O5893"/>
      <c r="P5893"/>
      <c r="Q5893"/>
      <c r="R5893"/>
      <c r="S5893"/>
      <c r="T5893"/>
      <c r="U5893"/>
      <c r="V5893"/>
      <c r="W5893"/>
      <c r="X5893"/>
      <c r="Y5893"/>
      <c r="Z5893"/>
      <c r="AA5893"/>
      <c r="AB5893"/>
      <c r="AC5893"/>
    </row>
    <row r="5894" spans="1:29" x14ac:dyDescent="0.3">
      <c r="A5894" s="12" t="s">
        <v>1370</v>
      </c>
      <c r="B5894" t="s">
        <v>179</v>
      </c>
      <c r="C5894" t="s">
        <v>123</v>
      </c>
      <c r="D5894" t="s">
        <v>162</v>
      </c>
      <c r="E5894" t="s">
        <v>184</v>
      </c>
      <c r="F5894">
        <v>-87.45</v>
      </c>
      <c r="G5894">
        <v>-30.45</v>
      </c>
      <c r="H5894">
        <v>-57</v>
      </c>
      <c r="I5894"/>
      <c r="J5894"/>
      <c r="K5894"/>
      <c r="L5894"/>
      <c r="M5894"/>
      <c r="N5894"/>
      <c r="O5894"/>
      <c r="P5894"/>
      <c r="Q5894"/>
      <c r="R5894"/>
      <c r="S5894"/>
      <c r="T5894"/>
      <c r="U5894"/>
      <c r="V5894"/>
      <c r="W5894"/>
      <c r="X5894"/>
      <c r="Y5894"/>
      <c r="Z5894"/>
      <c r="AA5894"/>
      <c r="AB5894"/>
      <c r="AC5894"/>
    </row>
    <row r="5895" spans="1:29" x14ac:dyDescent="0.3">
      <c r="A5895" s="12" t="s">
        <v>1370</v>
      </c>
      <c r="B5895" t="s">
        <v>179</v>
      </c>
      <c r="C5895" t="s">
        <v>123</v>
      </c>
      <c r="D5895" t="s">
        <v>157</v>
      </c>
      <c r="E5895" t="s">
        <v>184</v>
      </c>
      <c r="F5895">
        <v>60.4</v>
      </c>
      <c r="G5895">
        <v>60.4</v>
      </c>
      <c r="H5895">
        <v>0</v>
      </c>
      <c r="I5895"/>
      <c r="J5895"/>
      <c r="K5895"/>
      <c r="L5895"/>
      <c r="M5895"/>
      <c r="N5895"/>
      <c r="O5895"/>
      <c r="P5895"/>
      <c r="Q5895"/>
      <c r="R5895"/>
      <c r="S5895"/>
      <c r="T5895"/>
      <c r="U5895"/>
      <c r="V5895"/>
      <c r="W5895"/>
      <c r="X5895"/>
      <c r="Y5895"/>
      <c r="Z5895"/>
      <c r="AA5895"/>
      <c r="AB5895"/>
      <c r="AC5895"/>
    </row>
    <row r="5896" spans="1:29" x14ac:dyDescent="0.3">
      <c r="A5896" s="12" t="s">
        <v>1370</v>
      </c>
      <c r="B5896" t="s">
        <v>179</v>
      </c>
      <c r="C5896" t="s">
        <v>123</v>
      </c>
      <c r="D5896" t="s">
        <v>116</v>
      </c>
      <c r="E5896" t="s">
        <v>184</v>
      </c>
      <c r="F5896">
        <v>56.18</v>
      </c>
      <c r="G5896">
        <v>56.18</v>
      </c>
      <c r="H5896">
        <v>0</v>
      </c>
      <c r="I5896"/>
      <c r="J5896"/>
      <c r="K5896"/>
      <c r="L5896"/>
      <c r="M5896"/>
      <c r="N5896"/>
      <c r="O5896"/>
      <c r="P5896"/>
      <c r="Q5896"/>
      <c r="R5896"/>
      <c r="S5896"/>
      <c r="T5896"/>
      <c r="U5896"/>
      <c r="V5896"/>
      <c r="W5896"/>
      <c r="X5896"/>
      <c r="Y5896"/>
      <c r="Z5896"/>
      <c r="AA5896"/>
      <c r="AB5896"/>
      <c r="AC5896"/>
    </row>
    <row r="5897" spans="1:29" x14ac:dyDescent="0.3">
      <c r="A5897" s="12" t="s">
        <v>1370</v>
      </c>
      <c r="B5897" t="s">
        <v>179</v>
      </c>
      <c r="C5897" t="s">
        <v>123</v>
      </c>
      <c r="D5897" t="s">
        <v>186</v>
      </c>
      <c r="E5897" t="s">
        <v>184</v>
      </c>
      <c r="F5897">
        <v>-4795.5</v>
      </c>
      <c r="G5897">
        <v>0</v>
      </c>
      <c r="H5897">
        <v>-4795.5</v>
      </c>
      <c r="I5897"/>
      <c r="J5897"/>
      <c r="K5897"/>
      <c r="L5897"/>
      <c r="M5897"/>
      <c r="N5897"/>
      <c r="O5897"/>
      <c r="P5897"/>
      <c r="Q5897"/>
      <c r="R5897"/>
      <c r="S5897"/>
      <c r="T5897"/>
      <c r="U5897"/>
      <c r="V5897"/>
      <c r="W5897"/>
      <c r="X5897"/>
      <c r="Y5897"/>
      <c r="Z5897"/>
      <c r="AA5897"/>
      <c r="AB5897"/>
      <c r="AC5897"/>
    </row>
    <row r="5898" spans="1:29" x14ac:dyDescent="0.3">
      <c r="A5898" s="12" t="s">
        <v>1370</v>
      </c>
      <c r="B5898" t="s">
        <v>179</v>
      </c>
      <c r="C5898" t="s">
        <v>123</v>
      </c>
      <c r="D5898" t="s">
        <v>187</v>
      </c>
      <c r="E5898" t="s">
        <v>184</v>
      </c>
      <c r="F5898">
        <v>74063.625</v>
      </c>
      <c r="G5898">
        <v>74063.625</v>
      </c>
      <c r="H5898">
        <v>0</v>
      </c>
      <c r="I5898"/>
      <c r="J5898"/>
      <c r="K5898"/>
      <c r="L5898"/>
      <c r="M5898"/>
      <c r="N5898"/>
      <c r="O5898"/>
      <c r="P5898"/>
      <c r="Q5898"/>
      <c r="R5898"/>
      <c r="S5898"/>
      <c r="T5898"/>
      <c r="U5898"/>
      <c r="V5898"/>
      <c r="W5898"/>
      <c r="X5898"/>
      <c r="Y5898"/>
      <c r="Z5898"/>
      <c r="AA5898"/>
      <c r="AB5898"/>
      <c r="AC5898"/>
    </row>
    <row r="5899" spans="1:29" x14ac:dyDescent="0.3">
      <c r="A5899" s="12" t="s">
        <v>1370</v>
      </c>
      <c r="B5899" t="s">
        <v>179</v>
      </c>
      <c r="C5899" t="s">
        <v>123</v>
      </c>
      <c r="D5899" t="s">
        <v>188</v>
      </c>
      <c r="E5899" t="s">
        <v>184</v>
      </c>
      <c r="F5899">
        <v>-101198.45</v>
      </c>
      <c r="G5899">
        <v>-101198.45</v>
      </c>
      <c r="H5899">
        <v>0</v>
      </c>
      <c r="I5899"/>
      <c r="J5899"/>
      <c r="K5899"/>
      <c r="L5899"/>
      <c r="M5899"/>
      <c r="N5899"/>
      <c r="O5899"/>
      <c r="P5899"/>
      <c r="Q5899"/>
      <c r="R5899"/>
      <c r="S5899"/>
      <c r="T5899"/>
      <c r="U5899"/>
      <c r="V5899"/>
      <c r="W5899"/>
      <c r="X5899"/>
      <c r="Y5899"/>
      <c r="Z5899"/>
      <c r="AA5899"/>
      <c r="AB5899"/>
      <c r="AC5899"/>
    </row>
    <row r="5900" spans="1:29" x14ac:dyDescent="0.3">
      <c r="A5900" s="12" t="s">
        <v>1370</v>
      </c>
      <c r="B5900" t="s">
        <v>179</v>
      </c>
      <c r="C5900" t="s">
        <v>123</v>
      </c>
      <c r="D5900" t="s">
        <v>158</v>
      </c>
      <c r="E5900" t="s">
        <v>184</v>
      </c>
      <c r="F5900">
        <v>-15.1</v>
      </c>
      <c r="G5900">
        <v>-15.1</v>
      </c>
      <c r="H5900">
        <v>0</v>
      </c>
      <c r="I5900"/>
      <c r="J5900"/>
      <c r="K5900"/>
      <c r="L5900"/>
      <c r="M5900"/>
      <c r="N5900"/>
      <c r="O5900"/>
      <c r="P5900"/>
      <c r="Q5900"/>
      <c r="R5900"/>
      <c r="S5900"/>
      <c r="T5900"/>
      <c r="U5900"/>
      <c r="V5900"/>
      <c r="W5900"/>
      <c r="X5900"/>
      <c r="Y5900"/>
      <c r="Z5900"/>
      <c r="AA5900"/>
      <c r="AB5900"/>
      <c r="AC5900"/>
    </row>
    <row r="5901" spans="1:29" x14ac:dyDescent="0.3">
      <c r="A5901" s="12" t="s">
        <v>1370</v>
      </c>
      <c r="B5901" t="s">
        <v>179</v>
      </c>
      <c r="C5901" t="s">
        <v>123</v>
      </c>
      <c r="D5901" t="s">
        <v>189</v>
      </c>
      <c r="E5901" t="s">
        <v>184</v>
      </c>
      <c r="F5901">
        <v>39630.966124999999</v>
      </c>
      <c r="G5901">
        <v>13702.196125</v>
      </c>
      <c r="H5901">
        <v>25928.77</v>
      </c>
      <c r="I5901"/>
      <c r="J5901"/>
      <c r="K5901"/>
      <c r="L5901"/>
      <c r="M5901"/>
      <c r="N5901"/>
      <c r="O5901"/>
      <c r="P5901"/>
      <c r="Q5901"/>
      <c r="R5901"/>
      <c r="S5901"/>
      <c r="T5901"/>
      <c r="U5901"/>
      <c r="V5901"/>
      <c r="W5901"/>
      <c r="X5901"/>
      <c r="Y5901"/>
      <c r="Z5901"/>
      <c r="AA5901"/>
      <c r="AB5901"/>
      <c r="AC5901"/>
    </row>
    <row r="5902" spans="1:29" x14ac:dyDescent="0.3">
      <c r="A5902" s="12" t="s">
        <v>1370</v>
      </c>
      <c r="B5902" t="s">
        <v>179</v>
      </c>
      <c r="C5902" t="s">
        <v>123</v>
      </c>
      <c r="D5902" t="s">
        <v>190</v>
      </c>
      <c r="E5902" t="s">
        <v>184</v>
      </c>
      <c r="F5902">
        <v>38219.716124999999</v>
      </c>
      <c r="G5902">
        <v>11207.946125</v>
      </c>
      <c r="H5902">
        <v>27011.77</v>
      </c>
      <c r="I5902"/>
      <c r="J5902"/>
      <c r="K5902"/>
      <c r="L5902"/>
      <c r="M5902"/>
      <c r="N5902"/>
      <c r="O5902"/>
      <c r="P5902"/>
      <c r="Q5902"/>
      <c r="R5902"/>
      <c r="S5902"/>
      <c r="T5902"/>
      <c r="U5902"/>
      <c r="V5902"/>
      <c r="W5902"/>
      <c r="X5902"/>
      <c r="Y5902"/>
      <c r="Z5902"/>
      <c r="AA5902"/>
      <c r="AB5902"/>
      <c r="AC5902"/>
    </row>
    <row r="5903" spans="1:29" x14ac:dyDescent="0.3">
      <c r="A5903" s="12" t="s">
        <v>1370</v>
      </c>
      <c r="B5903" t="s">
        <v>191</v>
      </c>
      <c r="C5903" t="s">
        <v>120</v>
      </c>
      <c r="D5903" t="s">
        <v>192</v>
      </c>
      <c r="E5903" t="s">
        <v>100</v>
      </c>
      <c r="F5903" t="s">
        <v>181</v>
      </c>
      <c r="G5903" t="s">
        <v>0</v>
      </c>
      <c r="H5903" t="s">
        <v>193</v>
      </c>
      <c r="I5903" t="s">
        <v>194</v>
      </c>
      <c r="J5903" t="s">
        <v>195</v>
      </c>
      <c r="K5903" t="s">
        <v>196</v>
      </c>
      <c r="L5903" t="s">
        <v>197</v>
      </c>
      <c r="M5903" t="s">
        <v>198</v>
      </c>
      <c r="N5903" t="s">
        <v>199</v>
      </c>
      <c r="O5903" t="s">
        <v>165</v>
      </c>
      <c r="P5903"/>
      <c r="Q5903"/>
      <c r="R5903"/>
      <c r="S5903"/>
      <c r="T5903"/>
      <c r="U5903"/>
      <c r="V5903"/>
      <c r="W5903"/>
      <c r="X5903"/>
      <c r="Y5903"/>
      <c r="Z5903"/>
      <c r="AA5903"/>
      <c r="AB5903"/>
      <c r="AC5903"/>
    </row>
    <row r="5904" spans="1:29" x14ac:dyDescent="0.3">
      <c r="A5904" s="12" t="s">
        <v>1370</v>
      </c>
      <c r="B5904" t="s">
        <v>191</v>
      </c>
      <c r="C5904" t="s">
        <v>123</v>
      </c>
      <c r="D5904" t="s">
        <v>200</v>
      </c>
      <c r="E5904" t="s">
        <v>110</v>
      </c>
      <c r="F5904" t="s">
        <v>114</v>
      </c>
      <c r="G5904" t="s">
        <v>45</v>
      </c>
      <c r="H5904">
        <v>25</v>
      </c>
      <c r="I5904">
        <v>1</v>
      </c>
      <c r="J5904">
        <v>148.886</v>
      </c>
      <c r="K5904">
        <v>3722.15</v>
      </c>
      <c r="L5904">
        <v>137.17500000000001</v>
      </c>
      <c r="M5904">
        <v>3429.38</v>
      </c>
      <c r="N5904">
        <v>-292.77</v>
      </c>
      <c r="O5904"/>
      <c r="P5904"/>
      <c r="Q5904"/>
      <c r="R5904"/>
      <c r="S5904"/>
      <c r="T5904"/>
      <c r="U5904"/>
      <c r="V5904"/>
      <c r="W5904"/>
      <c r="X5904"/>
      <c r="Y5904"/>
      <c r="Z5904"/>
      <c r="AA5904"/>
      <c r="AB5904"/>
      <c r="AC5904"/>
    </row>
    <row r="5905" spans="1:29" x14ac:dyDescent="0.3">
      <c r="A5905" s="12" t="s">
        <v>1370</v>
      </c>
      <c r="B5905" t="s">
        <v>191</v>
      </c>
      <c r="C5905" t="s">
        <v>123</v>
      </c>
      <c r="D5905" t="s">
        <v>200</v>
      </c>
      <c r="E5905" t="s">
        <v>110</v>
      </c>
      <c r="F5905" t="s">
        <v>114</v>
      </c>
      <c r="G5905" t="s">
        <v>4</v>
      </c>
      <c r="H5905">
        <v>25</v>
      </c>
      <c r="I5905">
        <v>1</v>
      </c>
      <c r="J5905">
        <v>196.53200000000001</v>
      </c>
      <c r="K5905">
        <v>4913.3</v>
      </c>
      <c r="L5905">
        <v>209</v>
      </c>
      <c r="M5905">
        <v>5225</v>
      </c>
      <c r="N5905">
        <v>311.7</v>
      </c>
      <c r="O5905"/>
      <c r="P5905"/>
      <c r="Q5905"/>
      <c r="R5905"/>
      <c r="S5905"/>
      <c r="T5905"/>
      <c r="U5905"/>
      <c r="V5905"/>
      <c r="W5905"/>
      <c r="X5905"/>
      <c r="Y5905"/>
      <c r="Z5905"/>
      <c r="AA5905"/>
      <c r="AB5905"/>
      <c r="AC5905"/>
    </row>
    <row r="5906" spans="1:29" x14ac:dyDescent="0.3">
      <c r="A5906" s="12" t="s">
        <v>1370</v>
      </c>
      <c r="B5906" t="s">
        <v>191</v>
      </c>
      <c r="C5906" t="s">
        <v>123</v>
      </c>
      <c r="D5906" t="s">
        <v>200</v>
      </c>
      <c r="E5906" t="s">
        <v>110</v>
      </c>
      <c r="F5906" t="s">
        <v>114</v>
      </c>
      <c r="G5906" t="s">
        <v>7</v>
      </c>
      <c r="H5906">
        <v>20</v>
      </c>
      <c r="I5906">
        <v>1</v>
      </c>
      <c r="J5906">
        <v>173.28899999999999</v>
      </c>
      <c r="K5906">
        <v>3465.78</v>
      </c>
      <c r="L5906">
        <v>162.08000000000001</v>
      </c>
      <c r="M5906">
        <v>3241.6</v>
      </c>
      <c r="N5906">
        <v>-224.18</v>
      </c>
      <c r="O5906"/>
      <c r="P5906"/>
      <c r="Q5906"/>
      <c r="R5906"/>
      <c r="S5906"/>
      <c r="T5906"/>
      <c r="U5906"/>
      <c r="V5906"/>
      <c r="W5906"/>
      <c r="X5906"/>
      <c r="Y5906"/>
      <c r="Z5906"/>
      <c r="AA5906"/>
      <c r="AB5906"/>
      <c r="AC5906"/>
    </row>
    <row r="5907" spans="1:29" x14ac:dyDescent="0.3">
      <c r="A5907" s="12" t="s">
        <v>1370</v>
      </c>
      <c r="B5907" t="s">
        <v>191</v>
      </c>
      <c r="C5907" t="s">
        <v>123</v>
      </c>
      <c r="D5907" t="s">
        <v>200</v>
      </c>
      <c r="E5907" t="s">
        <v>110</v>
      </c>
      <c r="F5907" t="s">
        <v>114</v>
      </c>
      <c r="G5907" t="s">
        <v>1373</v>
      </c>
      <c r="H5907">
        <v>100</v>
      </c>
      <c r="I5907">
        <v>1</v>
      </c>
      <c r="J5907">
        <v>57.472999999999999</v>
      </c>
      <c r="K5907">
        <v>5747.3</v>
      </c>
      <c r="L5907">
        <v>59.21</v>
      </c>
      <c r="M5907">
        <v>5921</v>
      </c>
      <c r="N5907">
        <v>173.7</v>
      </c>
      <c r="O5907"/>
      <c r="P5907"/>
      <c r="Q5907"/>
      <c r="R5907"/>
      <c r="S5907"/>
      <c r="T5907"/>
      <c r="U5907"/>
      <c r="V5907"/>
      <c r="W5907"/>
      <c r="X5907"/>
      <c r="Y5907"/>
      <c r="Z5907"/>
      <c r="AA5907"/>
      <c r="AB5907"/>
      <c r="AC5907"/>
    </row>
    <row r="5908" spans="1:29" x14ac:dyDescent="0.3">
      <c r="A5908" s="12" t="s">
        <v>1370</v>
      </c>
      <c r="B5908" t="s">
        <v>191</v>
      </c>
      <c r="C5908" t="s">
        <v>123</v>
      </c>
      <c r="D5908" t="s">
        <v>200</v>
      </c>
      <c r="E5908" t="s">
        <v>110</v>
      </c>
      <c r="F5908" t="s">
        <v>114</v>
      </c>
      <c r="G5908" t="s">
        <v>1155</v>
      </c>
      <c r="H5908">
        <v>40</v>
      </c>
      <c r="I5908">
        <v>1</v>
      </c>
      <c r="J5908">
        <v>125.94750000000001</v>
      </c>
      <c r="K5908">
        <v>5037.8999999999996</v>
      </c>
      <c r="L5908">
        <v>127.59</v>
      </c>
      <c r="M5908">
        <v>5103.6000000000004</v>
      </c>
      <c r="N5908">
        <v>65.7</v>
      </c>
      <c r="O5908"/>
      <c r="P5908"/>
      <c r="Q5908"/>
      <c r="R5908"/>
      <c r="S5908"/>
      <c r="T5908"/>
      <c r="U5908"/>
      <c r="V5908"/>
      <c r="W5908"/>
      <c r="X5908"/>
      <c r="Y5908"/>
      <c r="Z5908"/>
      <c r="AA5908"/>
      <c r="AB5908"/>
      <c r="AC5908"/>
    </row>
    <row r="5909" spans="1:29" x14ac:dyDescent="0.3">
      <c r="A5909" s="12" t="s">
        <v>1370</v>
      </c>
      <c r="B5909" t="s">
        <v>191</v>
      </c>
      <c r="C5909" t="s">
        <v>123</v>
      </c>
      <c r="D5909" t="s">
        <v>200</v>
      </c>
      <c r="E5909" t="s">
        <v>110</v>
      </c>
      <c r="F5909" t="s">
        <v>114</v>
      </c>
      <c r="G5909" t="s">
        <v>48</v>
      </c>
      <c r="H5909">
        <v>35</v>
      </c>
      <c r="I5909">
        <v>1</v>
      </c>
      <c r="J5909">
        <v>163.47999999999999</v>
      </c>
      <c r="K5909">
        <v>5721.8</v>
      </c>
      <c r="L5909">
        <v>182.16</v>
      </c>
      <c r="M5909">
        <v>6375.6</v>
      </c>
      <c r="N5909">
        <v>653.79999999999995</v>
      </c>
      <c r="O5909"/>
      <c r="P5909"/>
      <c r="Q5909"/>
      <c r="R5909"/>
      <c r="S5909"/>
      <c r="T5909"/>
      <c r="U5909"/>
      <c r="V5909"/>
      <c r="W5909"/>
      <c r="X5909"/>
      <c r="Y5909"/>
      <c r="Z5909"/>
      <c r="AA5909"/>
      <c r="AB5909"/>
      <c r="AC5909"/>
    </row>
    <row r="5910" spans="1:29" x14ac:dyDescent="0.3">
      <c r="A5910" s="12" t="s">
        <v>1370</v>
      </c>
      <c r="B5910" t="s">
        <v>191</v>
      </c>
      <c r="C5910" t="s">
        <v>123</v>
      </c>
      <c r="D5910" t="s">
        <v>200</v>
      </c>
      <c r="E5910" t="s">
        <v>110</v>
      </c>
      <c r="F5910" t="s">
        <v>114</v>
      </c>
      <c r="G5910" t="s">
        <v>54</v>
      </c>
      <c r="H5910">
        <v>5</v>
      </c>
      <c r="I5910">
        <v>1</v>
      </c>
      <c r="J5910">
        <v>165.1</v>
      </c>
      <c r="K5910">
        <v>825.5</v>
      </c>
      <c r="L5910">
        <v>334.12</v>
      </c>
      <c r="M5910">
        <v>1670.6</v>
      </c>
      <c r="N5910">
        <v>845.1</v>
      </c>
      <c r="O5910"/>
      <c r="P5910"/>
      <c r="Q5910"/>
      <c r="R5910"/>
      <c r="S5910"/>
      <c r="T5910"/>
      <c r="U5910"/>
      <c r="V5910"/>
      <c r="W5910"/>
      <c r="X5910"/>
      <c r="Y5910"/>
      <c r="Z5910"/>
      <c r="AA5910"/>
      <c r="AB5910"/>
      <c r="AC5910"/>
    </row>
    <row r="5911" spans="1:29" x14ac:dyDescent="0.3">
      <c r="A5911" s="12" t="s">
        <v>1370</v>
      </c>
      <c r="B5911" t="s">
        <v>191</v>
      </c>
      <c r="C5911" t="s">
        <v>123</v>
      </c>
      <c r="D5911" t="s">
        <v>200</v>
      </c>
      <c r="E5911" t="s">
        <v>110</v>
      </c>
      <c r="F5911" t="s">
        <v>114</v>
      </c>
      <c r="G5911" t="s">
        <v>19</v>
      </c>
      <c r="H5911">
        <v>30</v>
      </c>
      <c r="I5911">
        <v>1</v>
      </c>
      <c r="J5911">
        <v>169.52166666700001</v>
      </c>
      <c r="K5911">
        <v>5085.6499999999996</v>
      </c>
      <c r="L5911">
        <v>168.95</v>
      </c>
      <c r="M5911">
        <v>5068.5</v>
      </c>
      <c r="N5911">
        <v>-17.149999999999999</v>
      </c>
      <c r="O5911"/>
      <c r="P5911"/>
      <c r="Q5911"/>
      <c r="R5911"/>
      <c r="S5911"/>
      <c r="T5911"/>
      <c r="U5911"/>
      <c r="V5911"/>
      <c r="W5911"/>
      <c r="X5911"/>
      <c r="Y5911"/>
      <c r="Z5911"/>
      <c r="AA5911"/>
      <c r="AB5911"/>
      <c r="AC5911"/>
    </row>
    <row r="5912" spans="1:29" x14ac:dyDescent="0.3">
      <c r="A5912" s="12" t="s">
        <v>1370</v>
      </c>
      <c r="B5912" t="s">
        <v>191</v>
      </c>
      <c r="C5912" t="s">
        <v>123</v>
      </c>
      <c r="D5912" t="s">
        <v>200</v>
      </c>
      <c r="E5912" t="s">
        <v>110</v>
      </c>
      <c r="F5912" t="s">
        <v>114</v>
      </c>
      <c r="G5912" t="s">
        <v>1374</v>
      </c>
      <c r="H5912">
        <v>60</v>
      </c>
      <c r="I5912">
        <v>1</v>
      </c>
      <c r="J5912">
        <v>116.61166666699999</v>
      </c>
      <c r="K5912">
        <v>6996.7</v>
      </c>
      <c r="L5912">
        <v>123.67</v>
      </c>
      <c r="M5912">
        <v>7420.2</v>
      </c>
      <c r="N5912">
        <v>423.5</v>
      </c>
      <c r="O5912"/>
      <c r="P5912"/>
      <c r="Q5912"/>
      <c r="R5912"/>
      <c r="S5912"/>
      <c r="T5912"/>
      <c r="U5912"/>
      <c r="V5912"/>
      <c r="W5912"/>
      <c r="X5912"/>
      <c r="Y5912"/>
      <c r="Z5912"/>
      <c r="AA5912"/>
      <c r="AB5912"/>
      <c r="AC5912"/>
    </row>
    <row r="5913" spans="1:29" x14ac:dyDescent="0.3">
      <c r="A5913" s="12" t="s">
        <v>1370</v>
      </c>
      <c r="B5913" t="s">
        <v>191</v>
      </c>
      <c r="C5913" t="s">
        <v>123</v>
      </c>
      <c r="D5913" t="s">
        <v>200</v>
      </c>
      <c r="E5913" t="s">
        <v>110</v>
      </c>
      <c r="F5913" t="s">
        <v>114</v>
      </c>
      <c r="G5913" t="s">
        <v>1253</v>
      </c>
      <c r="H5913">
        <v>30</v>
      </c>
      <c r="I5913">
        <v>1</v>
      </c>
      <c r="J5913">
        <v>147.40333333300001</v>
      </c>
      <c r="K5913">
        <v>4422.1000000000004</v>
      </c>
      <c r="L5913">
        <v>155.57</v>
      </c>
      <c r="M5913">
        <v>4667.1000000000004</v>
      </c>
      <c r="N5913">
        <v>245</v>
      </c>
      <c r="O5913"/>
      <c r="P5913"/>
      <c r="Q5913"/>
      <c r="R5913"/>
      <c r="S5913"/>
      <c r="T5913"/>
      <c r="U5913"/>
      <c r="V5913"/>
      <c r="W5913"/>
      <c r="X5913"/>
      <c r="Y5913"/>
      <c r="Z5913"/>
      <c r="AA5913"/>
      <c r="AB5913"/>
      <c r="AC5913"/>
    </row>
    <row r="5914" spans="1:29" x14ac:dyDescent="0.3">
      <c r="A5914" s="12" t="s">
        <v>1370</v>
      </c>
      <c r="B5914" t="s">
        <v>191</v>
      </c>
      <c r="C5914" t="s">
        <v>123</v>
      </c>
      <c r="D5914" t="s">
        <v>200</v>
      </c>
      <c r="E5914" t="s">
        <v>110</v>
      </c>
      <c r="F5914" t="s">
        <v>114</v>
      </c>
      <c r="G5914" t="s">
        <v>1254</v>
      </c>
      <c r="H5914">
        <v>50</v>
      </c>
      <c r="I5914">
        <v>1</v>
      </c>
      <c r="J5914">
        <v>218.10599999999999</v>
      </c>
      <c r="K5914">
        <v>10905.3</v>
      </c>
      <c r="L5914">
        <v>241.87</v>
      </c>
      <c r="M5914">
        <v>12093.5</v>
      </c>
      <c r="N5914">
        <v>1188.2</v>
      </c>
      <c r="O5914"/>
      <c r="P5914"/>
      <c r="Q5914"/>
      <c r="R5914"/>
      <c r="S5914"/>
      <c r="T5914"/>
      <c r="U5914"/>
      <c r="V5914"/>
      <c r="W5914"/>
      <c r="X5914"/>
      <c r="Y5914"/>
      <c r="Z5914"/>
      <c r="AA5914"/>
      <c r="AB5914"/>
      <c r="AC5914"/>
    </row>
    <row r="5915" spans="1:29" x14ac:dyDescent="0.3">
      <c r="A5915" s="12" t="s">
        <v>1370</v>
      </c>
      <c r="B5915" t="s">
        <v>191</v>
      </c>
      <c r="C5915" t="s">
        <v>123</v>
      </c>
      <c r="D5915" t="s">
        <v>200</v>
      </c>
      <c r="E5915" t="s">
        <v>110</v>
      </c>
      <c r="F5915" t="s">
        <v>114</v>
      </c>
      <c r="G5915" t="s">
        <v>70</v>
      </c>
      <c r="H5915">
        <v>20</v>
      </c>
      <c r="I5915">
        <v>1</v>
      </c>
      <c r="J5915">
        <v>210.42500000000001</v>
      </c>
      <c r="K5915">
        <v>4208.5</v>
      </c>
      <c r="L5915">
        <v>249.72</v>
      </c>
      <c r="M5915">
        <v>4994.3999999999996</v>
      </c>
      <c r="N5915">
        <v>785.9</v>
      </c>
      <c r="O5915"/>
      <c r="P5915"/>
      <c r="Q5915"/>
      <c r="R5915"/>
      <c r="S5915"/>
      <c r="T5915"/>
      <c r="U5915"/>
      <c r="V5915"/>
      <c r="W5915"/>
      <c r="X5915"/>
      <c r="Y5915"/>
      <c r="Z5915"/>
      <c r="AA5915"/>
      <c r="AB5915"/>
      <c r="AC5915"/>
    </row>
    <row r="5916" spans="1:29" x14ac:dyDescent="0.3">
      <c r="A5916" s="12" t="s">
        <v>1370</v>
      </c>
      <c r="B5916" t="s">
        <v>191</v>
      </c>
      <c r="C5916" t="s">
        <v>123</v>
      </c>
      <c r="D5916" t="s">
        <v>200</v>
      </c>
      <c r="E5916" t="s">
        <v>110</v>
      </c>
      <c r="F5916" t="s">
        <v>114</v>
      </c>
      <c r="G5916" t="s">
        <v>49</v>
      </c>
      <c r="H5916">
        <v>5</v>
      </c>
      <c r="I5916">
        <v>1</v>
      </c>
      <c r="J5916">
        <v>752.25</v>
      </c>
      <c r="K5916">
        <v>3761.25</v>
      </c>
      <c r="L5916">
        <v>795.35</v>
      </c>
      <c r="M5916">
        <v>3976.75</v>
      </c>
      <c r="N5916">
        <v>215.5</v>
      </c>
      <c r="O5916"/>
      <c r="P5916"/>
      <c r="Q5916"/>
      <c r="R5916"/>
      <c r="S5916"/>
      <c r="T5916"/>
      <c r="U5916"/>
      <c r="V5916"/>
      <c r="W5916"/>
      <c r="X5916"/>
      <c r="Y5916"/>
      <c r="Z5916"/>
      <c r="AA5916"/>
      <c r="AB5916"/>
      <c r="AC5916"/>
    </row>
    <row r="5917" spans="1:29" x14ac:dyDescent="0.3">
      <c r="A5917" s="12" t="s">
        <v>1370</v>
      </c>
      <c r="B5917" t="s">
        <v>191</v>
      </c>
      <c r="C5917" t="s">
        <v>123</v>
      </c>
      <c r="D5917" t="s">
        <v>200</v>
      </c>
      <c r="E5917" t="s">
        <v>110</v>
      </c>
      <c r="F5917" t="s">
        <v>114</v>
      </c>
      <c r="G5917" t="s">
        <v>1375</v>
      </c>
      <c r="H5917">
        <v>60</v>
      </c>
      <c r="I5917">
        <v>1</v>
      </c>
      <c r="J5917">
        <v>90.621666667</v>
      </c>
      <c r="K5917">
        <v>5437.3</v>
      </c>
      <c r="L5917">
        <v>92.69</v>
      </c>
      <c r="M5917">
        <v>5561.4</v>
      </c>
      <c r="N5917">
        <v>124.1</v>
      </c>
      <c r="O5917"/>
      <c r="P5917"/>
      <c r="Q5917"/>
      <c r="R5917"/>
      <c r="S5917"/>
      <c r="T5917"/>
      <c r="U5917"/>
      <c r="V5917"/>
      <c r="W5917"/>
      <c r="X5917"/>
      <c r="Y5917"/>
      <c r="Z5917"/>
      <c r="AA5917"/>
      <c r="AB5917"/>
      <c r="AC5917"/>
    </row>
    <row r="5918" spans="1:29" x14ac:dyDescent="0.3">
      <c r="A5918" s="12" t="s">
        <v>1370</v>
      </c>
      <c r="B5918" t="s">
        <v>191</v>
      </c>
      <c r="C5918" t="s">
        <v>123</v>
      </c>
      <c r="D5918" t="s">
        <v>200</v>
      </c>
      <c r="E5918" t="s">
        <v>110</v>
      </c>
      <c r="F5918" t="s">
        <v>114</v>
      </c>
      <c r="G5918" t="s">
        <v>28</v>
      </c>
      <c r="H5918">
        <v>56</v>
      </c>
      <c r="I5918">
        <v>1</v>
      </c>
      <c r="J5918">
        <v>421.01885932099998</v>
      </c>
      <c r="K5918">
        <v>23577.056122000002</v>
      </c>
      <c r="L5918">
        <v>423.46</v>
      </c>
      <c r="M5918">
        <v>23713.759999999998</v>
      </c>
      <c r="N5918">
        <v>136.703878</v>
      </c>
      <c r="O5918"/>
      <c r="P5918"/>
      <c r="Q5918"/>
      <c r="R5918"/>
      <c r="S5918"/>
      <c r="T5918"/>
      <c r="U5918"/>
      <c r="V5918"/>
      <c r="W5918"/>
      <c r="X5918"/>
      <c r="Y5918"/>
      <c r="Z5918"/>
      <c r="AA5918"/>
      <c r="AB5918"/>
      <c r="AC5918"/>
    </row>
    <row r="5919" spans="1:29" x14ac:dyDescent="0.3">
      <c r="A5919" s="12" t="s">
        <v>1370</v>
      </c>
      <c r="B5919" t="s">
        <v>191</v>
      </c>
      <c r="C5919" t="s">
        <v>123</v>
      </c>
      <c r="D5919" t="s">
        <v>200</v>
      </c>
      <c r="E5919" t="s">
        <v>110</v>
      </c>
      <c r="F5919" t="s">
        <v>114</v>
      </c>
      <c r="G5919" t="s">
        <v>71</v>
      </c>
      <c r="H5919">
        <v>40</v>
      </c>
      <c r="I5919">
        <v>1</v>
      </c>
      <c r="J5919">
        <v>140.07749999999999</v>
      </c>
      <c r="K5919">
        <v>5603.1</v>
      </c>
      <c r="L5919">
        <v>138.25</v>
      </c>
      <c r="M5919">
        <v>5530</v>
      </c>
      <c r="N5919">
        <v>-73.099999999999994</v>
      </c>
      <c r="O5919"/>
      <c r="P5919"/>
      <c r="Q5919"/>
      <c r="R5919"/>
      <c r="S5919"/>
      <c r="T5919"/>
      <c r="U5919"/>
      <c r="V5919"/>
      <c r="W5919"/>
      <c r="X5919"/>
      <c r="Y5919"/>
      <c r="Z5919"/>
      <c r="AA5919"/>
      <c r="AB5919"/>
      <c r="AC5919"/>
    </row>
    <row r="5920" spans="1:29" x14ac:dyDescent="0.3">
      <c r="A5920" s="12" t="s">
        <v>1370</v>
      </c>
      <c r="B5920" t="s">
        <v>191</v>
      </c>
      <c r="C5920" t="s">
        <v>123</v>
      </c>
      <c r="D5920" t="s">
        <v>200</v>
      </c>
      <c r="E5920" t="s">
        <v>110</v>
      </c>
      <c r="F5920" t="s">
        <v>114</v>
      </c>
      <c r="G5920" t="s">
        <v>29</v>
      </c>
      <c r="H5920">
        <v>9</v>
      </c>
      <c r="I5920">
        <v>1</v>
      </c>
      <c r="J5920">
        <v>329.866666667</v>
      </c>
      <c r="K5920">
        <v>2968.8</v>
      </c>
      <c r="L5920">
        <v>387.82</v>
      </c>
      <c r="M5920">
        <v>3490.38</v>
      </c>
      <c r="N5920">
        <v>521.58000000000004</v>
      </c>
      <c r="O5920"/>
      <c r="P5920"/>
      <c r="Q5920"/>
      <c r="R5920"/>
      <c r="S5920"/>
      <c r="T5920"/>
      <c r="U5920"/>
      <c r="V5920"/>
      <c r="W5920"/>
      <c r="X5920"/>
      <c r="Y5920"/>
      <c r="Z5920"/>
      <c r="AA5920"/>
      <c r="AB5920"/>
      <c r="AC5920"/>
    </row>
    <row r="5921" spans="1:29" x14ac:dyDescent="0.3">
      <c r="A5921" s="12" t="s">
        <v>1370</v>
      </c>
      <c r="B5921" t="s">
        <v>191</v>
      </c>
      <c r="C5921" t="s">
        <v>123</v>
      </c>
      <c r="D5921" t="s">
        <v>200</v>
      </c>
      <c r="E5921" t="s">
        <v>110</v>
      </c>
      <c r="F5921" t="s">
        <v>114</v>
      </c>
      <c r="G5921" t="s">
        <v>82</v>
      </c>
      <c r="H5921">
        <v>150</v>
      </c>
      <c r="I5921">
        <v>1</v>
      </c>
      <c r="J5921">
        <v>476.41399999999999</v>
      </c>
      <c r="K5921">
        <v>71462.100000000006</v>
      </c>
      <c r="L5921">
        <v>509.74</v>
      </c>
      <c r="M5921">
        <v>76461</v>
      </c>
      <c r="N5921">
        <v>4998.8999999999996</v>
      </c>
      <c r="O5921"/>
      <c r="P5921"/>
      <c r="Q5921"/>
      <c r="R5921"/>
      <c r="S5921"/>
      <c r="T5921"/>
      <c r="U5921"/>
      <c r="V5921"/>
      <c r="W5921"/>
      <c r="X5921"/>
      <c r="Y5921"/>
      <c r="Z5921"/>
      <c r="AA5921"/>
      <c r="AB5921"/>
      <c r="AC5921"/>
    </row>
    <row r="5922" spans="1:29" x14ac:dyDescent="0.3">
      <c r="A5922" s="12" t="s">
        <v>1370</v>
      </c>
      <c r="B5922" t="s">
        <v>191</v>
      </c>
      <c r="C5922" t="s">
        <v>123</v>
      </c>
      <c r="D5922" t="s">
        <v>200</v>
      </c>
      <c r="E5922" t="s">
        <v>110</v>
      </c>
      <c r="F5922" t="s">
        <v>114</v>
      </c>
      <c r="G5922" t="s">
        <v>1255</v>
      </c>
      <c r="H5922">
        <v>400</v>
      </c>
      <c r="I5922">
        <v>1</v>
      </c>
      <c r="J5922">
        <v>180.58</v>
      </c>
      <c r="K5922">
        <v>72232</v>
      </c>
      <c r="L5922">
        <v>187.62</v>
      </c>
      <c r="M5922">
        <v>75048</v>
      </c>
      <c r="N5922">
        <v>2816</v>
      </c>
      <c r="O5922"/>
      <c r="P5922"/>
      <c r="Q5922"/>
      <c r="R5922"/>
      <c r="S5922"/>
      <c r="T5922"/>
      <c r="U5922"/>
      <c r="V5922"/>
      <c r="W5922"/>
      <c r="X5922"/>
      <c r="Y5922"/>
      <c r="Z5922"/>
      <c r="AA5922"/>
      <c r="AB5922"/>
      <c r="AC5922"/>
    </row>
    <row r="5923" spans="1:29" x14ac:dyDescent="0.3">
      <c r="A5923" s="12" t="s">
        <v>1370</v>
      </c>
      <c r="B5923" t="s">
        <v>191</v>
      </c>
      <c r="C5923" t="s">
        <v>123</v>
      </c>
      <c r="D5923" t="s">
        <v>200</v>
      </c>
      <c r="E5923" t="s">
        <v>110</v>
      </c>
      <c r="F5923" t="s">
        <v>114</v>
      </c>
      <c r="G5923" t="s">
        <v>51</v>
      </c>
      <c r="H5923">
        <v>50</v>
      </c>
      <c r="I5923">
        <v>1</v>
      </c>
      <c r="J5923">
        <v>41.261000000000003</v>
      </c>
      <c r="K5923">
        <v>2063.0500000000002</v>
      </c>
      <c r="L5923">
        <v>32.64</v>
      </c>
      <c r="M5923">
        <v>1632</v>
      </c>
      <c r="N5923">
        <v>-431.05</v>
      </c>
      <c r="O5923"/>
      <c r="P5923"/>
      <c r="Q5923"/>
      <c r="R5923"/>
      <c r="S5923"/>
      <c r="T5923"/>
      <c r="U5923"/>
      <c r="V5923"/>
      <c r="W5923"/>
      <c r="X5923"/>
      <c r="Y5923"/>
      <c r="Z5923"/>
      <c r="AA5923"/>
      <c r="AB5923"/>
      <c r="AC5923"/>
    </row>
    <row r="5924" spans="1:29" x14ac:dyDescent="0.3">
      <c r="A5924" s="12" t="s">
        <v>1370</v>
      </c>
      <c r="B5924" t="s">
        <v>191</v>
      </c>
      <c r="C5924" t="s">
        <v>123</v>
      </c>
      <c r="D5924" t="s">
        <v>200</v>
      </c>
      <c r="E5924" t="s">
        <v>110</v>
      </c>
      <c r="F5924" t="s">
        <v>114</v>
      </c>
      <c r="G5924" t="s">
        <v>86</v>
      </c>
      <c r="H5924">
        <v>40</v>
      </c>
      <c r="I5924">
        <v>1</v>
      </c>
      <c r="J5924">
        <v>550.38</v>
      </c>
      <c r="K5924">
        <v>22015.200000000001</v>
      </c>
      <c r="L5924">
        <v>602.54999999999995</v>
      </c>
      <c r="M5924">
        <v>24102</v>
      </c>
      <c r="N5924">
        <v>2086.8000000000002</v>
      </c>
      <c r="O5924"/>
      <c r="P5924"/>
      <c r="Q5924"/>
      <c r="R5924"/>
      <c r="S5924"/>
      <c r="T5924"/>
      <c r="U5924"/>
      <c r="V5924"/>
      <c r="W5924"/>
      <c r="X5924"/>
      <c r="Y5924"/>
      <c r="Z5924"/>
      <c r="AA5924"/>
      <c r="AB5924"/>
      <c r="AC5924"/>
    </row>
    <row r="5925" spans="1:29" x14ac:dyDescent="0.3">
      <c r="A5925" s="12" t="s">
        <v>1370</v>
      </c>
      <c r="B5925" t="s">
        <v>191</v>
      </c>
      <c r="C5925" t="s">
        <v>123</v>
      </c>
      <c r="D5925" t="s">
        <v>200</v>
      </c>
      <c r="E5925" t="s">
        <v>110</v>
      </c>
      <c r="F5925" t="s">
        <v>114</v>
      </c>
      <c r="G5925" t="s">
        <v>1256</v>
      </c>
      <c r="H5925">
        <v>20</v>
      </c>
      <c r="I5925">
        <v>1</v>
      </c>
      <c r="J5925">
        <v>205.065</v>
      </c>
      <c r="K5925">
        <v>4101.3</v>
      </c>
      <c r="L5925">
        <v>205</v>
      </c>
      <c r="M5925">
        <v>4100</v>
      </c>
      <c r="N5925">
        <v>-1.3</v>
      </c>
      <c r="O5925"/>
      <c r="P5925"/>
      <c r="Q5925"/>
      <c r="R5925"/>
      <c r="S5925"/>
      <c r="T5925"/>
      <c r="U5925"/>
      <c r="V5925"/>
      <c r="W5925"/>
      <c r="X5925"/>
      <c r="Y5925"/>
      <c r="Z5925"/>
      <c r="AA5925"/>
      <c r="AB5925"/>
      <c r="AC5925"/>
    </row>
    <row r="5926" spans="1:29" x14ac:dyDescent="0.3">
      <c r="A5926" s="12" t="s">
        <v>1370</v>
      </c>
      <c r="B5926" t="s">
        <v>191</v>
      </c>
      <c r="C5926" t="s">
        <v>123</v>
      </c>
      <c r="D5926" t="s">
        <v>200</v>
      </c>
      <c r="E5926" t="s">
        <v>110</v>
      </c>
      <c r="F5926" t="s">
        <v>114</v>
      </c>
      <c r="G5926" t="s">
        <v>1257</v>
      </c>
      <c r="H5926">
        <v>100</v>
      </c>
      <c r="I5926">
        <v>1</v>
      </c>
      <c r="J5926">
        <v>97.263000000000005</v>
      </c>
      <c r="K5926">
        <v>9726.2999999999993</v>
      </c>
      <c r="L5926">
        <v>98.16</v>
      </c>
      <c r="M5926">
        <v>9816</v>
      </c>
      <c r="N5926">
        <v>89.7</v>
      </c>
      <c r="O5926"/>
      <c r="P5926"/>
      <c r="Q5926"/>
      <c r="R5926"/>
      <c r="S5926"/>
      <c r="T5926"/>
      <c r="U5926"/>
      <c r="V5926"/>
      <c r="W5926"/>
      <c r="X5926"/>
      <c r="Y5926"/>
      <c r="Z5926"/>
      <c r="AA5926"/>
      <c r="AB5926"/>
      <c r="AC5926"/>
    </row>
    <row r="5927" spans="1:29" x14ac:dyDescent="0.3">
      <c r="A5927" s="12" t="s">
        <v>1370</v>
      </c>
      <c r="B5927" t="s">
        <v>191</v>
      </c>
      <c r="C5927" t="s">
        <v>123</v>
      </c>
      <c r="D5927" t="s">
        <v>200</v>
      </c>
      <c r="E5927" t="s">
        <v>110</v>
      </c>
      <c r="F5927" t="s">
        <v>114</v>
      </c>
      <c r="G5927" t="s">
        <v>1258</v>
      </c>
      <c r="H5927">
        <v>60</v>
      </c>
      <c r="I5927">
        <v>1</v>
      </c>
      <c r="J5927">
        <v>531.12333333300001</v>
      </c>
      <c r="K5927">
        <v>31867.4</v>
      </c>
      <c r="L5927">
        <v>553.45000000000005</v>
      </c>
      <c r="M5927">
        <v>33207</v>
      </c>
      <c r="N5927">
        <v>1339.6</v>
      </c>
      <c r="O5927"/>
      <c r="P5927"/>
      <c r="Q5927"/>
      <c r="R5927"/>
      <c r="S5927"/>
      <c r="T5927"/>
      <c r="U5927"/>
      <c r="V5927"/>
      <c r="W5927"/>
      <c r="X5927"/>
      <c r="Y5927"/>
      <c r="Z5927"/>
      <c r="AA5927"/>
      <c r="AB5927"/>
      <c r="AC5927"/>
    </row>
    <row r="5928" spans="1:29" x14ac:dyDescent="0.3">
      <c r="A5928" s="12" t="s">
        <v>1370</v>
      </c>
      <c r="B5928" t="s">
        <v>191</v>
      </c>
      <c r="C5928" t="s">
        <v>123</v>
      </c>
      <c r="D5928" t="s">
        <v>200</v>
      </c>
      <c r="E5928" t="s">
        <v>110</v>
      </c>
      <c r="F5928" t="s">
        <v>114</v>
      </c>
      <c r="G5928" t="s">
        <v>1156</v>
      </c>
      <c r="H5928">
        <v>70</v>
      </c>
      <c r="I5928">
        <v>1</v>
      </c>
      <c r="J5928">
        <v>90.254999999999995</v>
      </c>
      <c r="K5928">
        <v>6317.85</v>
      </c>
      <c r="L5928">
        <v>94.78</v>
      </c>
      <c r="M5928">
        <v>6634.6</v>
      </c>
      <c r="N5928">
        <v>316.75</v>
      </c>
      <c r="O5928"/>
      <c r="P5928"/>
      <c r="Q5928"/>
      <c r="R5928"/>
      <c r="S5928"/>
      <c r="T5928"/>
      <c r="U5928"/>
      <c r="V5928"/>
      <c r="W5928"/>
      <c r="X5928"/>
      <c r="Y5928"/>
      <c r="Z5928"/>
      <c r="AA5928"/>
      <c r="AB5928"/>
      <c r="AC5928"/>
    </row>
    <row r="5929" spans="1:29" x14ac:dyDescent="0.3">
      <c r="A5929" s="12" t="s">
        <v>1370</v>
      </c>
      <c r="B5929" t="s">
        <v>191</v>
      </c>
      <c r="C5929" t="s">
        <v>123</v>
      </c>
      <c r="D5929" t="s">
        <v>200</v>
      </c>
      <c r="E5929" t="s">
        <v>110</v>
      </c>
      <c r="F5929" t="s">
        <v>114</v>
      </c>
      <c r="G5929" t="s">
        <v>62</v>
      </c>
      <c r="H5929">
        <v>200</v>
      </c>
      <c r="I5929">
        <v>1</v>
      </c>
      <c r="J5929">
        <v>41.474350000000001</v>
      </c>
      <c r="K5929">
        <v>8294.8700000000008</v>
      </c>
      <c r="L5929">
        <v>51.34</v>
      </c>
      <c r="M5929">
        <v>10268</v>
      </c>
      <c r="N5929">
        <v>1973.13</v>
      </c>
      <c r="O5929"/>
      <c r="P5929"/>
      <c r="Q5929"/>
      <c r="R5929"/>
      <c r="S5929"/>
      <c r="T5929"/>
      <c r="U5929"/>
      <c r="V5929"/>
      <c r="W5929"/>
      <c r="X5929"/>
      <c r="Y5929"/>
      <c r="Z5929"/>
      <c r="AA5929"/>
      <c r="AB5929"/>
      <c r="AC5929"/>
    </row>
    <row r="5930" spans="1:29" x14ac:dyDescent="0.3">
      <c r="A5930" s="12" t="s">
        <v>1370</v>
      </c>
      <c r="B5930" t="s">
        <v>191</v>
      </c>
      <c r="C5930" t="s">
        <v>123</v>
      </c>
      <c r="D5930" t="s">
        <v>200</v>
      </c>
      <c r="E5930" t="s">
        <v>110</v>
      </c>
      <c r="F5930" t="s">
        <v>114</v>
      </c>
      <c r="G5930" t="s">
        <v>41</v>
      </c>
      <c r="H5930">
        <v>849</v>
      </c>
      <c r="I5930">
        <v>1</v>
      </c>
      <c r="J5930">
        <v>44.514593640000001</v>
      </c>
      <c r="K5930">
        <v>37792.89</v>
      </c>
      <c r="L5930">
        <v>49.77</v>
      </c>
      <c r="M5930">
        <v>42254.73</v>
      </c>
      <c r="N5930">
        <v>4461.84</v>
      </c>
      <c r="O5930" t="s">
        <v>555</v>
      </c>
      <c r="P5930"/>
      <c r="Q5930"/>
      <c r="R5930"/>
      <c r="S5930"/>
      <c r="T5930"/>
      <c r="U5930"/>
      <c r="V5930"/>
      <c r="W5930"/>
      <c r="X5930"/>
      <c r="Y5930"/>
      <c r="Z5930"/>
      <c r="AA5930"/>
      <c r="AB5930"/>
      <c r="AC5930"/>
    </row>
    <row r="5931" spans="1:29" x14ac:dyDescent="0.3">
      <c r="A5931" s="12" t="s">
        <v>1370</v>
      </c>
      <c r="B5931" t="s">
        <v>191</v>
      </c>
      <c r="C5931" t="s">
        <v>123</v>
      </c>
      <c r="D5931" t="s">
        <v>200</v>
      </c>
      <c r="E5931" t="s">
        <v>110</v>
      </c>
      <c r="F5931" t="s">
        <v>114</v>
      </c>
      <c r="G5931" t="s">
        <v>79</v>
      </c>
      <c r="H5931">
        <v>80</v>
      </c>
      <c r="I5931">
        <v>1</v>
      </c>
      <c r="J5931">
        <v>121.06</v>
      </c>
      <c r="K5931">
        <v>9684.7999999999993</v>
      </c>
      <c r="L5931">
        <v>143.99</v>
      </c>
      <c r="M5931">
        <v>11519.2</v>
      </c>
      <c r="N5931">
        <v>1834.4</v>
      </c>
      <c r="O5931"/>
      <c r="P5931"/>
      <c r="Q5931"/>
      <c r="R5931"/>
      <c r="S5931"/>
      <c r="T5931"/>
      <c r="U5931"/>
      <c r="V5931"/>
      <c r="W5931"/>
      <c r="X5931"/>
      <c r="Y5931"/>
      <c r="Z5931"/>
      <c r="AA5931"/>
      <c r="AB5931"/>
      <c r="AC5931"/>
    </row>
    <row r="5932" spans="1:29" x14ac:dyDescent="0.3">
      <c r="A5932" s="12" t="s">
        <v>1370</v>
      </c>
      <c r="B5932" t="s">
        <v>191</v>
      </c>
      <c r="C5932" t="s">
        <v>123</v>
      </c>
      <c r="D5932" t="s">
        <v>200</v>
      </c>
      <c r="E5932" t="s">
        <v>110</v>
      </c>
      <c r="F5932" t="s">
        <v>114</v>
      </c>
      <c r="G5932" t="s">
        <v>42</v>
      </c>
      <c r="H5932">
        <v>200</v>
      </c>
      <c r="I5932">
        <v>1</v>
      </c>
      <c r="J5932">
        <v>207.10499999999999</v>
      </c>
      <c r="K5932">
        <v>41421</v>
      </c>
      <c r="L5932">
        <v>233.73</v>
      </c>
      <c r="M5932">
        <v>46746</v>
      </c>
      <c r="N5932">
        <v>5325</v>
      </c>
      <c r="O5932"/>
      <c r="P5932"/>
      <c r="Q5932"/>
      <c r="R5932"/>
      <c r="S5932"/>
      <c r="T5932"/>
      <c r="U5932"/>
      <c r="V5932"/>
      <c r="W5932"/>
      <c r="X5932"/>
      <c r="Y5932"/>
      <c r="Z5932"/>
      <c r="AA5932"/>
      <c r="AB5932"/>
      <c r="AC5932"/>
    </row>
    <row r="5933" spans="1:29" x14ac:dyDescent="0.3">
      <c r="A5933" s="12" t="s">
        <v>1370</v>
      </c>
      <c r="B5933" t="s">
        <v>191</v>
      </c>
      <c r="C5933" t="s">
        <v>123</v>
      </c>
      <c r="D5933" t="s">
        <v>200</v>
      </c>
      <c r="E5933" t="s">
        <v>110</v>
      </c>
      <c r="F5933" t="s">
        <v>114</v>
      </c>
      <c r="G5933" t="s">
        <v>43</v>
      </c>
      <c r="H5933">
        <v>230</v>
      </c>
      <c r="I5933">
        <v>1</v>
      </c>
      <c r="J5933">
        <v>71.415217390999999</v>
      </c>
      <c r="K5933">
        <v>16425.5</v>
      </c>
      <c r="L5933">
        <v>82.93</v>
      </c>
      <c r="M5933">
        <v>19073.900000000001</v>
      </c>
      <c r="N5933">
        <v>2648.4</v>
      </c>
      <c r="O5933"/>
      <c r="P5933"/>
      <c r="Q5933"/>
      <c r="R5933"/>
      <c r="S5933"/>
      <c r="T5933"/>
      <c r="U5933"/>
      <c r="V5933"/>
      <c r="W5933"/>
      <c r="X5933"/>
      <c r="Y5933"/>
      <c r="Z5933"/>
      <c r="AA5933"/>
      <c r="AB5933"/>
      <c r="AC5933"/>
    </row>
    <row r="5934" spans="1:29" x14ac:dyDescent="0.3">
      <c r="A5934" s="12" t="s">
        <v>1370</v>
      </c>
      <c r="B5934" t="s">
        <v>191</v>
      </c>
      <c r="C5934" t="s">
        <v>123</v>
      </c>
      <c r="D5934" t="s">
        <v>200</v>
      </c>
      <c r="E5934" t="s">
        <v>110</v>
      </c>
      <c r="F5934" t="s">
        <v>114</v>
      </c>
      <c r="G5934" t="s">
        <v>44</v>
      </c>
      <c r="H5934">
        <v>60</v>
      </c>
      <c r="I5934">
        <v>1</v>
      </c>
      <c r="J5934">
        <v>143.160833333</v>
      </c>
      <c r="K5934">
        <v>8589.65</v>
      </c>
      <c r="L5934">
        <v>147.41</v>
      </c>
      <c r="M5934">
        <v>8844.6</v>
      </c>
      <c r="N5934">
        <v>254.95</v>
      </c>
      <c r="O5934"/>
      <c r="P5934"/>
      <c r="Q5934"/>
      <c r="R5934"/>
      <c r="S5934"/>
      <c r="T5934"/>
      <c r="U5934"/>
      <c r="V5934"/>
      <c r="W5934"/>
      <c r="X5934"/>
      <c r="Y5934"/>
      <c r="Z5934"/>
      <c r="AA5934"/>
      <c r="AB5934"/>
      <c r="AC5934"/>
    </row>
    <row r="5935" spans="1:29" x14ac:dyDescent="0.3">
      <c r="A5935" s="12" t="s">
        <v>1370</v>
      </c>
      <c r="B5935" t="s">
        <v>191</v>
      </c>
      <c r="C5935" t="s">
        <v>123</v>
      </c>
      <c r="D5935" t="s">
        <v>200</v>
      </c>
      <c r="E5935" t="s">
        <v>110</v>
      </c>
      <c r="F5935" t="s">
        <v>114</v>
      </c>
      <c r="G5935" t="s">
        <v>84</v>
      </c>
      <c r="H5935">
        <v>50</v>
      </c>
      <c r="I5935">
        <v>1</v>
      </c>
      <c r="J5935">
        <v>185.51</v>
      </c>
      <c r="K5935">
        <v>9275.5</v>
      </c>
      <c r="L5935">
        <v>222.3</v>
      </c>
      <c r="M5935">
        <v>11115</v>
      </c>
      <c r="N5935">
        <v>1839.5</v>
      </c>
      <c r="O5935"/>
      <c r="P5935"/>
      <c r="Q5935"/>
      <c r="R5935"/>
      <c r="S5935"/>
      <c r="T5935"/>
      <c r="U5935"/>
      <c r="V5935"/>
      <c r="W5935"/>
      <c r="X5935"/>
      <c r="Y5935"/>
      <c r="Z5935"/>
      <c r="AA5935"/>
      <c r="AB5935"/>
      <c r="AC5935"/>
    </row>
    <row r="5936" spans="1:29" x14ac:dyDescent="0.3">
      <c r="A5936" s="12" t="s">
        <v>1370</v>
      </c>
      <c r="B5936" t="s">
        <v>191</v>
      </c>
      <c r="C5936" t="s">
        <v>97</v>
      </c>
      <c r="D5936"/>
      <c r="E5936" t="s">
        <v>110</v>
      </c>
      <c r="F5936" t="s">
        <v>114</v>
      </c>
      <c r="G5936"/>
      <c r="H5936"/>
      <c r="I5936"/>
      <c r="J5936"/>
      <c r="K5936">
        <v>453668.89612200001</v>
      </c>
      <c r="L5936"/>
      <c r="M5936">
        <v>488304.8</v>
      </c>
      <c r="N5936">
        <v>34635.903877999997</v>
      </c>
      <c r="O5936"/>
      <c r="P5936"/>
      <c r="Q5936"/>
      <c r="R5936"/>
      <c r="S5936"/>
      <c r="T5936"/>
      <c r="U5936"/>
      <c r="V5936"/>
      <c r="W5936"/>
      <c r="X5936"/>
      <c r="Y5936"/>
      <c r="Z5936"/>
      <c r="AA5936"/>
      <c r="AB5936"/>
      <c r="AC5936"/>
    </row>
    <row r="5937" spans="1:29" x14ac:dyDescent="0.3">
      <c r="A5937" s="12" t="s">
        <v>1370</v>
      </c>
      <c r="B5937" t="s">
        <v>191</v>
      </c>
      <c r="C5937" t="s">
        <v>120</v>
      </c>
      <c r="D5937" t="s">
        <v>192</v>
      </c>
      <c r="E5937" t="s">
        <v>100</v>
      </c>
      <c r="F5937" t="s">
        <v>181</v>
      </c>
      <c r="G5937" t="s">
        <v>0</v>
      </c>
      <c r="H5937" t="s">
        <v>193</v>
      </c>
      <c r="I5937" t="s">
        <v>194</v>
      </c>
      <c r="J5937" t="s">
        <v>195</v>
      </c>
      <c r="K5937" t="s">
        <v>196</v>
      </c>
      <c r="L5937" t="s">
        <v>197</v>
      </c>
      <c r="M5937" t="s">
        <v>198</v>
      </c>
      <c r="N5937" t="s">
        <v>199</v>
      </c>
      <c r="O5937" t="s">
        <v>165</v>
      </c>
      <c r="P5937"/>
      <c r="Q5937"/>
      <c r="R5937"/>
      <c r="S5937"/>
      <c r="T5937"/>
      <c r="U5937"/>
      <c r="V5937"/>
      <c r="W5937"/>
      <c r="X5937"/>
      <c r="Y5937"/>
      <c r="Z5937"/>
      <c r="AA5937"/>
      <c r="AB5937"/>
      <c r="AC5937"/>
    </row>
    <row r="5938" spans="1:29" x14ac:dyDescent="0.3">
      <c r="A5938" s="12" t="s">
        <v>1370</v>
      </c>
      <c r="B5938" t="s">
        <v>191</v>
      </c>
      <c r="C5938" t="s">
        <v>123</v>
      </c>
      <c r="D5938" t="s">
        <v>200</v>
      </c>
      <c r="E5938" t="s">
        <v>112</v>
      </c>
      <c r="F5938" t="s">
        <v>114</v>
      </c>
      <c r="G5938" t="s">
        <v>1158</v>
      </c>
      <c r="H5938">
        <v>-3</v>
      </c>
      <c r="I5938">
        <v>2</v>
      </c>
      <c r="J5938">
        <v>20516.916666666999</v>
      </c>
      <c r="K5938">
        <v>-123101.5</v>
      </c>
      <c r="L5938">
        <v>20993.5</v>
      </c>
      <c r="M5938">
        <v>-125961</v>
      </c>
      <c r="N5938">
        <v>-2859.5</v>
      </c>
      <c r="O5938"/>
      <c r="P5938"/>
      <c r="Q5938"/>
      <c r="R5938"/>
      <c r="S5938"/>
      <c r="T5938"/>
      <c r="U5938"/>
      <c r="V5938"/>
      <c r="W5938"/>
      <c r="X5938"/>
      <c r="Y5938"/>
      <c r="Z5938"/>
      <c r="AA5938"/>
      <c r="AB5938"/>
      <c r="AC5938"/>
    </row>
    <row r="5939" spans="1:29" x14ac:dyDescent="0.3">
      <c r="A5939" s="12" t="s">
        <v>1370</v>
      </c>
      <c r="B5939" t="s">
        <v>191</v>
      </c>
      <c r="C5939" t="s">
        <v>97</v>
      </c>
      <c r="D5939"/>
      <c r="E5939" t="s">
        <v>112</v>
      </c>
      <c r="F5939" t="s">
        <v>114</v>
      </c>
      <c r="G5939"/>
      <c r="H5939"/>
      <c r="I5939"/>
      <c r="J5939"/>
      <c r="K5939">
        <v>-123101.5</v>
      </c>
      <c r="L5939"/>
      <c r="M5939">
        <v>-125961</v>
      </c>
      <c r="N5939">
        <v>-2859.5</v>
      </c>
      <c r="O5939"/>
      <c r="P5939"/>
      <c r="Q5939"/>
      <c r="R5939"/>
      <c r="S5939"/>
      <c r="T5939"/>
      <c r="U5939"/>
      <c r="V5939"/>
      <c r="W5939"/>
      <c r="X5939"/>
      <c r="Y5939"/>
      <c r="Z5939"/>
      <c r="AA5939"/>
      <c r="AB5939"/>
      <c r="AC5939"/>
    </row>
    <row r="5940" spans="1:29" x14ac:dyDescent="0.3">
      <c r="A5940" s="12" t="s">
        <v>1370</v>
      </c>
      <c r="B5940" t="s">
        <v>201</v>
      </c>
      <c r="C5940" t="s">
        <v>120</v>
      </c>
      <c r="D5940" t="s">
        <v>192</v>
      </c>
      <c r="E5940" t="s">
        <v>100</v>
      </c>
      <c r="F5940" t="s">
        <v>181</v>
      </c>
      <c r="G5940" t="s">
        <v>0</v>
      </c>
      <c r="H5940" t="s">
        <v>202</v>
      </c>
      <c r="I5940" t="s">
        <v>193</v>
      </c>
      <c r="J5940" t="s">
        <v>203</v>
      </c>
      <c r="K5940" t="s">
        <v>204</v>
      </c>
      <c r="L5940" t="s">
        <v>205</v>
      </c>
      <c r="M5940" t="s">
        <v>206</v>
      </c>
      <c r="N5940" t="s">
        <v>1</v>
      </c>
      <c r="O5940" t="s">
        <v>207</v>
      </c>
      <c r="P5940" t="s">
        <v>208</v>
      </c>
      <c r="Q5940" t="s">
        <v>165</v>
      </c>
      <c r="R5940"/>
      <c r="S5940"/>
      <c r="T5940"/>
      <c r="U5940"/>
      <c r="V5940"/>
      <c r="W5940"/>
      <c r="X5940"/>
      <c r="Y5940"/>
      <c r="Z5940"/>
      <c r="AA5940"/>
      <c r="AB5940"/>
      <c r="AC5940"/>
    </row>
    <row r="5941" spans="1:29" x14ac:dyDescent="0.3">
      <c r="A5941" s="12" t="s">
        <v>1370</v>
      </c>
      <c r="B5941" t="s">
        <v>201</v>
      </c>
      <c r="C5941" t="s">
        <v>123</v>
      </c>
      <c r="D5941" t="s">
        <v>209</v>
      </c>
      <c r="E5941" t="s">
        <v>110</v>
      </c>
      <c r="F5941" t="s">
        <v>114</v>
      </c>
      <c r="G5941" t="s">
        <v>45</v>
      </c>
      <c r="H5941" t="s">
        <v>1376</v>
      </c>
      <c r="I5941">
        <v>-25</v>
      </c>
      <c r="J5941">
        <v>135.91</v>
      </c>
      <c r="K5941">
        <v>137.6</v>
      </c>
      <c r="L5941">
        <v>3397.75</v>
      </c>
      <c r="M5941">
        <v>-1.3</v>
      </c>
      <c r="N5941">
        <v>-3722.15</v>
      </c>
      <c r="O5941">
        <v>-325.7</v>
      </c>
      <c r="P5941">
        <v>-42.25</v>
      </c>
      <c r="Q5941" t="s">
        <v>3</v>
      </c>
      <c r="R5941"/>
      <c r="S5941"/>
      <c r="T5941"/>
      <c r="U5941"/>
      <c r="V5941"/>
      <c r="W5941"/>
      <c r="X5941"/>
      <c r="Y5941"/>
      <c r="Z5941"/>
      <c r="AA5941"/>
      <c r="AB5941"/>
      <c r="AC5941"/>
    </row>
    <row r="5942" spans="1:29" x14ac:dyDescent="0.3">
      <c r="A5942" s="12" t="s">
        <v>1370</v>
      </c>
      <c r="B5942" t="s">
        <v>201</v>
      </c>
      <c r="C5942" t="s">
        <v>213</v>
      </c>
      <c r="D5942"/>
      <c r="E5942" t="s">
        <v>110</v>
      </c>
      <c r="F5942" t="s">
        <v>114</v>
      </c>
      <c r="G5942" t="s">
        <v>45</v>
      </c>
      <c r="H5942"/>
      <c r="I5942">
        <v>-25</v>
      </c>
      <c r="J5942"/>
      <c r="K5942"/>
      <c r="L5942">
        <v>3397.75</v>
      </c>
      <c r="M5942">
        <v>-1.3</v>
      </c>
      <c r="N5942">
        <v>-3722.15</v>
      </c>
      <c r="O5942">
        <v>-325.7</v>
      </c>
      <c r="P5942">
        <v>-42.25</v>
      </c>
      <c r="Q5942"/>
      <c r="R5942"/>
      <c r="S5942"/>
      <c r="T5942"/>
      <c r="U5942"/>
      <c r="V5942"/>
      <c r="W5942"/>
      <c r="X5942"/>
      <c r="Y5942"/>
      <c r="Z5942"/>
      <c r="AA5942"/>
      <c r="AB5942"/>
      <c r="AC5942"/>
    </row>
    <row r="5943" spans="1:29" x14ac:dyDescent="0.3">
      <c r="A5943" s="12" t="s">
        <v>1370</v>
      </c>
      <c r="B5943" t="s">
        <v>201</v>
      </c>
      <c r="C5943" t="s">
        <v>123</v>
      </c>
      <c r="D5943" t="s">
        <v>209</v>
      </c>
      <c r="E5943" t="s">
        <v>110</v>
      </c>
      <c r="F5943" t="s">
        <v>114</v>
      </c>
      <c r="G5943" t="s">
        <v>4</v>
      </c>
      <c r="H5943" t="s">
        <v>1377</v>
      </c>
      <c r="I5943">
        <v>25</v>
      </c>
      <c r="J5943">
        <v>196.48</v>
      </c>
      <c r="K5943">
        <v>195.16</v>
      </c>
      <c r="L5943">
        <v>-4912</v>
      </c>
      <c r="M5943">
        <v>-1.3</v>
      </c>
      <c r="N5943">
        <v>4913.3</v>
      </c>
      <c r="O5943">
        <v>0</v>
      </c>
      <c r="P5943">
        <v>-33</v>
      </c>
      <c r="Q5943" t="s">
        <v>215</v>
      </c>
      <c r="R5943"/>
      <c r="S5943"/>
      <c r="T5943"/>
      <c r="U5943"/>
      <c r="V5943"/>
      <c r="W5943"/>
      <c r="X5943"/>
      <c r="Y5943"/>
      <c r="Z5943"/>
      <c r="AA5943"/>
      <c r="AB5943"/>
      <c r="AC5943"/>
    </row>
    <row r="5944" spans="1:29" x14ac:dyDescent="0.3">
      <c r="A5944" s="12" t="s">
        <v>1370</v>
      </c>
      <c r="B5944" t="s">
        <v>201</v>
      </c>
      <c r="C5944" t="s">
        <v>213</v>
      </c>
      <c r="D5944"/>
      <c r="E5944" t="s">
        <v>110</v>
      </c>
      <c r="F5944" t="s">
        <v>114</v>
      </c>
      <c r="G5944" t="s">
        <v>4</v>
      </c>
      <c r="H5944"/>
      <c r="I5944">
        <v>25</v>
      </c>
      <c r="J5944"/>
      <c r="K5944"/>
      <c r="L5944">
        <v>-4912</v>
      </c>
      <c r="M5944">
        <v>-1.3</v>
      </c>
      <c r="N5944">
        <v>4913.3</v>
      </c>
      <c r="O5944">
        <v>0</v>
      </c>
      <c r="P5944">
        <v>-33</v>
      </c>
      <c r="Q5944"/>
      <c r="R5944"/>
      <c r="S5944"/>
      <c r="T5944"/>
      <c r="U5944"/>
      <c r="V5944"/>
      <c r="W5944"/>
      <c r="X5944"/>
      <c r="Y5944"/>
      <c r="Z5944"/>
      <c r="AA5944"/>
      <c r="AB5944"/>
      <c r="AC5944"/>
    </row>
    <row r="5945" spans="1:29" x14ac:dyDescent="0.3">
      <c r="A5945" s="12" t="s">
        <v>1370</v>
      </c>
      <c r="B5945" t="s">
        <v>201</v>
      </c>
      <c r="C5945" t="s">
        <v>123</v>
      </c>
      <c r="D5945" t="s">
        <v>209</v>
      </c>
      <c r="E5945" t="s">
        <v>110</v>
      </c>
      <c r="F5945" t="s">
        <v>114</v>
      </c>
      <c r="G5945" t="s">
        <v>7</v>
      </c>
      <c r="H5945" t="s">
        <v>1378</v>
      </c>
      <c r="I5945">
        <v>-15</v>
      </c>
      <c r="J5945">
        <v>161.39500000000001</v>
      </c>
      <c r="K5945">
        <v>163.25</v>
      </c>
      <c r="L5945">
        <v>2420.9250000000002</v>
      </c>
      <c r="M5945">
        <v>-1.3</v>
      </c>
      <c r="N5945">
        <v>-2605.5</v>
      </c>
      <c r="O5945">
        <v>-185.875</v>
      </c>
      <c r="P5945">
        <v>-27.824999999999999</v>
      </c>
      <c r="Q5945" t="s">
        <v>3</v>
      </c>
      <c r="R5945"/>
      <c r="S5945"/>
      <c r="T5945"/>
      <c r="U5945"/>
      <c r="V5945"/>
      <c r="W5945"/>
      <c r="X5945"/>
      <c r="Y5945"/>
      <c r="Z5945"/>
      <c r="AA5945"/>
      <c r="AB5945"/>
      <c r="AC5945"/>
    </row>
    <row r="5946" spans="1:29" x14ac:dyDescent="0.3">
      <c r="A5946" s="12" t="s">
        <v>1370</v>
      </c>
      <c r="B5946" t="s">
        <v>201</v>
      </c>
      <c r="C5946" t="s">
        <v>213</v>
      </c>
      <c r="D5946"/>
      <c r="E5946" t="s">
        <v>110</v>
      </c>
      <c r="F5946" t="s">
        <v>114</v>
      </c>
      <c r="G5946" t="s">
        <v>7</v>
      </c>
      <c r="H5946"/>
      <c r="I5946">
        <v>-15</v>
      </c>
      <c r="J5946"/>
      <c r="K5946"/>
      <c r="L5946">
        <v>2420.9250000000002</v>
      </c>
      <c r="M5946">
        <v>-1.3</v>
      </c>
      <c r="N5946">
        <v>-2605.5</v>
      </c>
      <c r="O5946">
        <v>-185.875</v>
      </c>
      <c r="P5946">
        <v>-27.824999999999999</v>
      </c>
      <c r="Q5946"/>
      <c r="R5946"/>
      <c r="S5946"/>
      <c r="T5946"/>
      <c r="U5946"/>
      <c r="V5946"/>
      <c r="W5946"/>
      <c r="X5946"/>
      <c r="Y5946"/>
      <c r="Z5946"/>
      <c r="AA5946"/>
      <c r="AB5946"/>
      <c r="AC5946"/>
    </row>
    <row r="5947" spans="1:29" x14ac:dyDescent="0.3">
      <c r="A5947" s="12" t="s">
        <v>1370</v>
      </c>
      <c r="B5947" t="s">
        <v>201</v>
      </c>
      <c r="C5947" t="s">
        <v>123</v>
      </c>
      <c r="D5947" t="s">
        <v>209</v>
      </c>
      <c r="E5947" t="s">
        <v>110</v>
      </c>
      <c r="F5947" t="s">
        <v>114</v>
      </c>
      <c r="G5947" t="s">
        <v>1373</v>
      </c>
      <c r="H5947" t="s">
        <v>1379</v>
      </c>
      <c r="I5947">
        <v>100</v>
      </c>
      <c r="J5947">
        <v>57.46</v>
      </c>
      <c r="K5947">
        <v>57.31</v>
      </c>
      <c r="L5947">
        <v>-5746</v>
      </c>
      <c r="M5947">
        <v>-1.3</v>
      </c>
      <c r="N5947">
        <v>5747.3</v>
      </c>
      <c r="O5947">
        <v>0</v>
      </c>
      <c r="P5947">
        <v>-15</v>
      </c>
      <c r="Q5947" t="s">
        <v>211</v>
      </c>
      <c r="R5947"/>
      <c r="S5947"/>
      <c r="T5947"/>
      <c r="U5947"/>
      <c r="V5947"/>
      <c r="W5947"/>
      <c r="X5947"/>
      <c r="Y5947"/>
      <c r="Z5947"/>
      <c r="AA5947"/>
      <c r="AB5947"/>
      <c r="AC5947"/>
    </row>
    <row r="5948" spans="1:29" x14ac:dyDescent="0.3">
      <c r="A5948" s="12" t="s">
        <v>1370</v>
      </c>
      <c r="B5948" t="s">
        <v>201</v>
      </c>
      <c r="C5948" t="s">
        <v>213</v>
      </c>
      <c r="D5948"/>
      <c r="E5948" t="s">
        <v>110</v>
      </c>
      <c r="F5948" t="s">
        <v>114</v>
      </c>
      <c r="G5948" t="s">
        <v>1373</v>
      </c>
      <c r="H5948"/>
      <c r="I5948">
        <v>100</v>
      </c>
      <c r="J5948"/>
      <c r="K5948"/>
      <c r="L5948">
        <v>-5746</v>
      </c>
      <c r="M5948">
        <v>-1.3</v>
      </c>
      <c r="N5948">
        <v>5747.3</v>
      </c>
      <c r="O5948">
        <v>0</v>
      </c>
      <c r="P5948">
        <v>-15</v>
      </c>
      <c r="Q5948"/>
      <c r="R5948"/>
      <c r="S5948"/>
      <c r="T5948"/>
      <c r="U5948"/>
      <c r="V5948"/>
      <c r="W5948"/>
      <c r="X5948"/>
      <c r="Y5948"/>
      <c r="Z5948"/>
      <c r="AA5948"/>
      <c r="AB5948"/>
      <c r="AC5948"/>
    </row>
    <row r="5949" spans="1:29" x14ac:dyDescent="0.3">
      <c r="A5949" s="12" t="s">
        <v>1370</v>
      </c>
      <c r="B5949" t="s">
        <v>201</v>
      </c>
      <c r="C5949" t="s">
        <v>123</v>
      </c>
      <c r="D5949" t="s">
        <v>209</v>
      </c>
      <c r="E5949" t="s">
        <v>110</v>
      </c>
      <c r="F5949" t="s">
        <v>114</v>
      </c>
      <c r="G5949" t="s">
        <v>1155</v>
      </c>
      <c r="H5949" t="s">
        <v>1380</v>
      </c>
      <c r="I5949">
        <v>-20</v>
      </c>
      <c r="J5949">
        <v>143.33000000000001</v>
      </c>
      <c r="K5949">
        <v>144.16</v>
      </c>
      <c r="L5949">
        <v>2866.6</v>
      </c>
      <c r="M5949">
        <v>-1.3</v>
      </c>
      <c r="N5949">
        <v>-2393.8000000000002</v>
      </c>
      <c r="O5949">
        <v>471.5</v>
      </c>
      <c r="P5949">
        <v>-16.600000000000001</v>
      </c>
      <c r="Q5949" t="s">
        <v>3</v>
      </c>
      <c r="R5949"/>
      <c r="S5949"/>
      <c r="T5949"/>
      <c r="U5949"/>
      <c r="V5949"/>
      <c r="W5949"/>
      <c r="X5949"/>
      <c r="Y5949"/>
      <c r="Z5949"/>
      <c r="AA5949"/>
      <c r="AB5949"/>
      <c r="AC5949"/>
    </row>
    <row r="5950" spans="1:29" x14ac:dyDescent="0.3">
      <c r="A5950" s="12" t="s">
        <v>1370</v>
      </c>
      <c r="B5950" t="s">
        <v>201</v>
      </c>
      <c r="C5950" t="s">
        <v>123</v>
      </c>
      <c r="D5950" t="s">
        <v>209</v>
      </c>
      <c r="E5950" t="s">
        <v>110</v>
      </c>
      <c r="F5950" t="s">
        <v>114</v>
      </c>
      <c r="G5950" t="s">
        <v>1155</v>
      </c>
      <c r="H5950" t="s">
        <v>1381</v>
      </c>
      <c r="I5950">
        <v>20</v>
      </c>
      <c r="J5950">
        <v>132.13999999999999</v>
      </c>
      <c r="K5950">
        <v>141.74</v>
      </c>
      <c r="L5950">
        <v>-2642.8</v>
      </c>
      <c r="M5950">
        <v>-1.3</v>
      </c>
      <c r="N5950">
        <v>2644.1</v>
      </c>
      <c r="O5950">
        <v>0</v>
      </c>
      <c r="P5950">
        <v>192</v>
      </c>
      <c r="Q5950" t="s">
        <v>215</v>
      </c>
      <c r="R5950"/>
      <c r="S5950"/>
      <c r="T5950"/>
      <c r="U5950"/>
      <c r="V5950"/>
      <c r="W5950"/>
      <c r="X5950"/>
      <c r="Y5950"/>
      <c r="Z5950"/>
      <c r="AA5950"/>
      <c r="AB5950"/>
      <c r="AC5950"/>
    </row>
    <row r="5951" spans="1:29" x14ac:dyDescent="0.3">
      <c r="A5951" s="12" t="s">
        <v>1370</v>
      </c>
      <c r="B5951" t="s">
        <v>201</v>
      </c>
      <c r="C5951" t="s">
        <v>213</v>
      </c>
      <c r="D5951"/>
      <c r="E5951" t="s">
        <v>110</v>
      </c>
      <c r="F5951" t="s">
        <v>114</v>
      </c>
      <c r="G5951" t="s">
        <v>1155</v>
      </c>
      <c r="H5951"/>
      <c r="I5951">
        <v>0</v>
      </c>
      <c r="J5951"/>
      <c r="K5951"/>
      <c r="L5951">
        <v>223.8</v>
      </c>
      <c r="M5951">
        <v>-2.6</v>
      </c>
      <c r="N5951">
        <v>250.3</v>
      </c>
      <c r="O5951">
        <v>471.5</v>
      </c>
      <c r="P5951">
        <v>175.4</v>
      </c>
      <c r="Q5951"/>
      <c r="R5951"/>
      <c r="S5951"/>
      <c r="T5951"/>
      <c r="U5951"/>
      <c r="V5951"/>
      <c r="W5951"/>
      <c r="X5951"/>
      <c r="Y5951"/>
      <c r="Z5951"/>
      <c r="AA5951"/>
      <c r="AB5951"/>
      <c r="AC5951"/>
    </row>
    <row r="5952" spans="1:29" x14ac:dyDescent="0.3">
      <c r="A5952" s="12" t="s">
        <v>1370</v>
      </c>
      <c r="B5952" t="s">
        <v>201</v>
      </c>
      <c r="C5952" t="s">
        <v>123</v>
      </c>
      <c r="D5952" t="s">
        <v>209</v>
      </c>
      <c r="E5952" t="s">
        <v>110</v>
      </c>
      <c r="F5952" t="s">
        <v>114</v>
      </c>
      <c r="G5952" t="s">
        <v>54</v>
      </c>
      <c r="H5952" t="s">
        <v>1382</v>
      </c>
      <c r="I5952">
        <v>-15</v>
      </c>
      <c r="J5952">
        <v>331.85</v>
      </c>
      <c r="K5952">
        <v>323.70999999999998</v>
      </c>
      <c r="L5952">
        <v>4977.75</v>
      </c>
      <c r="M5952">
        <v>-1.3</v>
      </c>
      <c r="N5952">
        <v>-2476.5</v>
      </c>
      <c r="O5952">
        <v>2499.9499999999998</v>
      </c>
      <c r="P5952">
        <v>122.1</v>
      </c>
      <c r="Q5952" t="s">
        <v>3</v>
      </c>
      <c r="R5952"/>
      <c r="S5952"/>
      <c r="T5952"/>
      <c r="U5952"/>
      <c r="V5952"/>
      <c r="W5952"/>
      <c r="X5952"/>
      <c r="Y5952"/>
      <c r="Z5952"/>
      <c r="AA5952"/>
      <c r="AB5952"/>
      <c r="AC5952"/>
    </row>
    <row r="5953" spans="1:29" x14ac:dyDescent="0.3">
      <c r="A5953" s="12" t="s">
        <v>1370</v>
      </c>
      <c r="B5953" t="s">
        <v>201</v>
      </c>
      <c r="C5953" t="s">
        <v>123</v>
      </c>
      <c r="D5953" t="s">
        <v>209</v>
      </c>
      <c r="E5953" t="s">
        <v>110</v>
      </c>
      <c r="F5953" t="s">
        <v>114</v>
      </c>
      <c r="G5953" t="s">
        <v>54</v>
      </c>
      <c r="H5953" t="s">
        <v>1383</v>
      </c>
      <c r="I5953">
        <v>-10</v>
      </c>
      <c r="J5953">
        <v>337</v>
      </c>
      <c r="K5953">
        <v>334.12</v>
      </c>
      <c r="L5953">
        <v>3370</v>
      </c>
      <c r="M5953">
        <v>-1.3</v>
      </c>
      <c r="N5953">
        <v>-1651</v>
      </c>
      <c r="O5953">
        <v>1717.7</v>
      </c>
      <c r="P5953">
        <v>28.8</v>
      </c>
      <c r="Q5953" t="s">
        <v>230</v>
      </c>
      <c r="R5953"/>
      <c r="S5953"/>
      <c r="T5953"/>
      <c r="U5953"/>
      <c r="V5953"/>
      <c r="W5953"/>
      <c r="X5953"/>
      <c r="Y5953"/>
      <c r="Z5953"/>
      <c r="AA5953"/>
      <c r="AB5953"/>
      <c r="AC5953"/>
    </row>
    <row r="5954" spans="1:29" x14ac:dyDescent="0.3">
      <c r="A5954" s="12" t="s">
        <v>1370</v>
      </c>
      <c r="B5954" t="s">
        <v>201</v>
      </c>
      <c r="C5954" t="s">
        <v>213</v>
      </c>
      <c r="D5954"/>
      <c r="E5954" t="s">
        <v>110</v>
      </c>
      <c r="F5954" t="s">
        <v>114</v>
      </c>
      <c r="G5954" t="s">
        <v>54</v>
      </c>
      <c r="H5954"/>
      <c r="I5954">
        <v>-25</v>
      </c>
      <c r="J5954"/>
      <c r="K5954"/>
      <c r="L5954">
        <v>8347.75</v>
      </c>
      <c r="M5954">
        <v>-2.6</v>
      </c>
      <c r="N5954">
        <v>-4127.5</v>
      </c>
      <c r="O5954">
        <v>4217.6499999999996</v>
      </c>
      <c r="P5954">
        <v>150.9</v>
      </c>
      <c r="Q5954"/>
      <c r="R5954"/>
      <c r="S5954"/>
      <c r="T5954"/>
      <c r="U5954"/>
      <c r="V5954"/>
      <c r="W5954"/>
      <c r="X5954"/>
      <c r="Y5954"/>
      <c r="Z5954"/>
      <c r="AA5954"/>
      <c r="AB5954"/>
      <c r="AC5954"/>
    </row>
    <row r="5955" spans="1:29" x14ac:dyDescent="0.3">
      <c r="A5955" s="12" t="s">
        <v>1370</v>
      </c>
      <c r="B5955" t="s">
        <v>201</v>
      </c>
      <c r="C5955" t="s">
        <v>123</v>
      </c>
      <c r="D5955" t="s">
        <v>209</v>
      </c>
      <c r="E5955" t="s">
        <v>110</v>
      </c>
      <c r="F5955" t="s">
        <v>114</v>
      </c>
      <c r="G5955" t="s">
        <v>19</v>
      </c>
      <c r="H5955" t="s">
        <v>1384</v>
      </c>
      <c r="I5955">
        <v>60</v>
      </c>
      <c r="J5955">
        <v>169.5</v>
      </c>
      <c r="K5955">
        <v>171.29</v>
      </c>
      <c r="L5955">
        <v>-10170</v>
      </c>
      <c r="M5955">
        <v>-1.3</v>
      </c>
      <c r="N5955">
        <v>10171.299999999999</v>
      </c>
      <c r="O5955">
        <v>0</v>
      </c>
      <c r="P5955">
        <v>107.4</v>
      </c>
      <c r="Q5955" t="s">
        <v>215</v>
      </c>
      <c r="R5955"/>
      <c r="S5955"/>
      <c r="T5955"/>
      <c r="U5955"/>
      <c r="V5955"/>
      <c r="W5955"/>
      <c r="X5955"/>
      <c r="Y5955"/>
      <c r="Z5955"/>
      <c r="AA5955"/>
      <c r="AB5955"/>
      <c r="AC5955"/>
    </row>
    <row r="5956" spans="1:29" x14ac:dyDescent="0.3">
      <c r="A5956" s="12" t="s">
        <v>1370</v>
      </c>
      <c r="B5956" t="s">
        <v>201</v>
      </c>
      <c r="C5956" t="s">
        <v>123</v>
      </c>
      <c r="D5956" t="s">
        <v>209</v>
      </c>
      <c r="E5956" t="s">
        <v>110</v>
      </c>
      <c r="F5956" t="s">
        <v>114</v>
      </c>
      <c r="G5956" t="s">
        <v>19</v>
      </c>
      <c r="H5956" t="s">
        <v>1385</v>
      </c>
      <c r="I5956">
        <v>-30</v>
      </c>
      <c r="J5956">
        <v>163.94</v>
      </c>
      <c r="K5956">
        <v>167.63</v>
      </c>
      <c r="L5956">
        <v>4918.2</v>
      </c>
      <c r="M5956">
        <v>-1.3</v>
      </c>
      <c r="N5956">
        <v>-5085.6499999999996</v>
      </c>
      <c r="O5956">
        <v>-168.75</v>
      </c>
      <c r="P5956">
        <v>-110.7</v>
      </c>
      <c r="Q5956" t="s">
        <v>3</v>
      </c>
      <c r="R5956"/>
      <c r="S5956"/>
      <c r="T5956"/>
      <c r="U5956"/>
      <c r="V5956"/>
      <c r="W5956"/>
      <c r="X5956"/>
      <c r="Y5956"/>
      <c r="Z5956"/>
      <c r="AA5956"/>
      <c r="AB5956"/>
      <c r="AC5956"/>
    </row>
    <row r="5957" spans="1:29" x14ac:dyDescent="0.3">
      <c r="A5957" s="12" t="s">
        <v>1370</v>
      </c>
      <c r="B5957" t="s">
        <v>201</v>
      </c>
      <c r="C5957" t="s">
        <v>213</v>
      </c>
      <c r="D5957"/>
      <c r="E5957" t="s">
        <v>110</v>
      </c>
      <c r="F5957" t="s">
        <v>114</v>
      </c>
      <c r="G5957" t="s">
        <v>19</v>
      </c>
      <c r="H5957"/>
      <c r="I5957">
        <v>30</v>
      </c>
      <c r="J5957"/>
      <c r="K5957"/>
      <c r="L5957">
        <v>-5251.8</v>
      </c>
      <c r="M5957">
        <v>-2.6</v>
      </c>
      <c r="N5957">
        <v>5085.6499999999996</v>
      </c>
      <c r="O5957">
        <v>-168.75</v>
      </c>
      <c r="P5957">
        <v>-3.3</v>
      </c>
      <c r="Q5957"/>
      <c r="R5957"/>
      <c r="S5957"/>
      <c r="T5957"/>
      <c r="U5957"/>
      <c r="V5957"/>
      <c r="W5957"/>
      <c r="X5957"/>
      <c r="Y5957"/>
      <c r="Z5957"/>
      <c r="AA5957"/>
      <c r="AB5957"/>
      <c r="AC5957"/>
    </row>
    <row r="5958" spans="1:29" x14ac:dyDescent="0.3">
      <c r="A5958" s="12" t="s">
        <v>1370</v>
      </c>
      <c r="B5958" t="s">
        <v>201</v>
      </c>
      <c r="C5958" t="s">
        <v>123</v>
      </c>
      <c r="D5958" t="s">
        <v>209</v>
      </c>
      <c r="E5958" t="s">
        <v>110</v>
      </c>
      <c r="F5958" t="s">
        <v>114</v>
      </c>
      <c r="G5958" t="s">
        <v>1374</v>
      </c>
      <c r="H5958" t="s">
        <v>1386</v>
      </c>
      <c r="I5958">
        <v>60</v>
      </c>
      <c r="J5958">
        <v>116.59</v>
      </c>
      <c r="K5958">
        <v>115.98</v>
      </c>
      <c r="L5958">
        <v>-6995.4</v>
      </c>
      <c r="M5958">
        <v>-1.3</v>
      </c>
      <c r="N5958">
        <v>6996.7</v>
      </c>
      <c r="O5958">
        <v>0</v>
      </c>
      <c r="P5958">
        <v>-36.6</v>
      </c>
      <c r="Q5958" t="s">
        <v>211</v>
      </c>
      <c r="R5958"/>
      <c r="S5958"/>
      <c r="T5958"/>
      <c r="U5958"/>
      <c r="V5958"/>
      <c r="W5958"/>
      <c r="X5958"/>
      <c r="Y5958"/>
      <c r="Z5958"/>
      <c r="AA5958"/>
      <c r="AB5958"/>
      <c r="AC5958"/>
    </row>
    <row r="5959" spans="1:29" x14ac:dyDescent="0.3">
      <c r="A5959" s="12" t="s">
        <v>1370</v>
      </c>
      <c r="B5959" t="s">
        <v>201</v>
      </c>
      <c r="C5959" t="s">
        <v>213</v>
      </c>
      <c r="D5959"/>
      <c r="E5959" t="s">
        <v>110</v>
      </c>
      <c r="F5959" t="s">
        <v>114</v>
      </c>
      <c r="G5959" t="s">
        <v>1374</v>
      </c>
      <c r="H5959"/>
      <c r="I5959">
        <v>60</v>
      </c>
      <c r="J5959"/>
      <c r="K5959"/>
      <c r="L5959">
        <v>-6995.4</v>
      </c>
      <c r="M5959">
        <v>-1.3</v>
      </c>
      <c r="N5959">
        <v>6996.7</v>
      </c>
      <c r="O5959">
        <v>0</v>
      </c>
      <c r="P5959">
        <v>-36.6</v>
      </c>
      <c r="Q5959"/>
      <c r="R5959"/>
      <c r="S5959"/>
      <c r="T5959"/>
      <c r="U5959"/>
      <c r="V5959"/>
      <c r="W5959"/>
      <c r="X5959"/>
      <c r="Y5959"/>
      <c r="Z5959"/>
      <c r="AA5959"/>
      <c r="AB5959"/>
      <c r="AC5959"/>
    </row>
    <row r="5960" spans="1:29" x14ac:dyDescent="0.3">
      <c r="A5960" s="12" t="s">
        <v>1370</v>
      </c>
      <c r="B5960" t="s">
        <v>201</v>
      </c>
      <c r="C5960" t="s">
        <v>123</v>
      </c>
      <c r="D5960" t="s">
        <v>209</v>
      </c>
      <c r="E5960" t="s">
        <v>110</v>
      </c>
      <c r="F5960" t="s">
        <v>114</v>
      </c>
      <c r="G5960" t="s">
        <v>1375</v>
      </c>
      <c r="H5960" t="s">
        <v>1387</v>
      </c>
      <c r="I5960">
        <v>60</v>
      </c>
      <c r="J5960">
        <v>90.6</v>
      </c>
      <c r="K5960">
        <v>90.7</v>
      </c>
      <c r="L5960">
        <v>-5436</v>
      </c>
      <c r="M5960">
        <v>-1.3</v>
      </c>
      <c r="N5960">
        <v>5437.3</v>
      </c>
      <c r="O5960">
        <v>0</v>
      </c>
      <c r="P5960">
        <v>6</v>
      </c>
      <c r="Q5960" t="s">
        <v>215</v>
      </c>
      <c r="R5960"/>
      <c r="S5960"/>
      <c r="T5960"/>
      <c r="U5960"/>
      <c r="V5960"/>
      <c r="W5960"/>
      <c r="X5960"/>
      <c r="Y5960"/>
      <c r="Z5960"/>
      <c r="AA5960"/>
      <c r="AB5960"/>
      <c r="AC5960"/>
    </row>
    <row r="5961" spans="1:29" x14ac:dyDescent="0.3">
      <c r="A5961" s="12" t="s">
        <v>1370</v>
      </c>
      <c r="B5961" t="s">
        <v>201</v>
      </c>
      <c r="C5961" t="s">
        <v>213</v>
      </c>
      <c r="D5961"/>
      <c r="E5961" t="s">
        <v>110</v>
      </c>
      <c r="F5961" t="s">
        <v>114</v>
      </c>
      <c r="G5961" t="s">
        <v>1375</v>
      </c>
      <c r="H5961"/>
      <c r="I5961">
        <v>60</v>
      </c>
      <c r="J5961"/>
      <c r="K5961"/>
      <c r="L5961">
        <v>-5436</v>
      </c>
      <c r="M5961">
        <v>-1.3</v>
      </c>
      <c r="N5961">
        <v>5437.3</v>
      </c>
      <c r="O5961">
        <v>0</v>
      </c>
      <c r="P5961">
        <v>6</v>
      </c>
      <c r="Q5961"/>
      <c r="R5961"/>
      <c r="S5961"/>
      <c r="T5961"/>
      <c r="U5961"/>
      <c r="V5961"/>
      <c r="W5961"/>
      <c r="X5961"/>
      <c r="Y5961"/>
      <c r="Z5961"/>
      <c r="AA5961"/>
      <c r="AB5961"/>
      <c r="AC5961"/>
    </row>
    <row r="5962" spans="1:29" x14ac:dyDescent="0.3">
      <c r="A5962" s="12" t="s">
        <v>1370</v>
      </c>
      <c r="B5962" t="s">
        <v>201</v>
      </c>
      <c r="C5962" t="s">
        <v>123</v>
      </c>
      <c r="D5962" t="s">
        <v>209</v>
      </c>
      <c r="E5962" t="s">
        <v>110</v>
      </c>
      <c r="F5962" t="s">
        <v>114</v>
      </c>
      <c r="G5962" t="s">
        <v>71</v>
      </c>
      <c r="H5962" t="s">
        <v>1388</v>
      </c>
      <c r="I5962">
        <v>-60</v>
      </c>
      <c r="J5962">
        <v>138.22</v>
      </c>
      <c r="K5962">
        <v>140.15</v>
      </c>
      <c r="L5962">
        <v>8293.2000000000007</v>
      </c>
      <c r="M5962">
        <v>-1.3</v>
      </c>
      <c r="N5962">
        <v>-8092.9</v>
      </c>
      <c r="O5962">
        <v>199</v>
      </c>
      <c r="P5962">
        <v>-115.8</v>
      </c>
      <c r="Q5962" t="s">
        <v>3</v>
      </c>
      <c r="R5962"/>
      <c r="S5962"/>
      <c r="T5962"/>
      <c r="U5962"/>
      <c r="V5962"/>
      <c r="W5962"/>
      <c r="X5962"/>
      <c r="Y5962"/>
      <c r="Z5962"/>
      <c r="AA5962"/>
      <c r="AB5962"/>
      <c r="AC5962"/>
    </row>
    <row r="5963" spans="1:29" x14ac:dyDescent="0.3">
      <c r="A5963" s="12" t="s">
        <v>1370</v>
      </c>
      <c r="B5963" t="s">
        <v>201</v>
      </c>
      <c r="C5963" t="s">
        <v>123</v>
      </c>
      <c r="D5963" t="s">
        <v>209</v>
      </c>
      <c r="E5963" t="s">
        <v>110</v>
      </c>
      <c r="F5963" t="s">
        <v>114</v>
      </c>
      <c r="G5963" t="s">
        <v>71</v>
      </c>
      <c r="H5963" t="s">
        <v>1389</v>
      </c>
      <c r="I5963">
        <v>-20</v>
      </c>
      <c r="J5963">
        <v>144.08500000000001</v>
      </c>
      <c r="K5963">
        <v>145.88999999999999</v>
      </c>
      <c r="L5963">
        <v>2881.7</v>
      </c>
      <c r="M5963">
        <v>-1.3</v>
      </c>
      <c r="N5963">
        <v>-2697.2</v>
      </c>
      <c r="O5963">
        <v>183.2</v>
      </c>
      <c r="P5963">
        <v>-36.1</v>
      </c>
      <c r="Q5963" t="s">
        <v>3</v>
      </c>
      <c r="R5963"/>
      <c r="S5963"/>
      <c r="T5963"/>
      <c r="U5963"/>
      <c r="V5963"/>
      <c r="W5963"/>
      <c r="X5963"/>
      <c r="Y5963"/>
      <c r="Z5963"/>
      <c r="AA5963"/>
      <c r="AB5963"/>
      <c r="AC5963"/>
    </row>
    <row r="5964" spans="1:29" x14ac:dyDescent="0.3">
      <c r="A5964" s="12" t="s">
        <v>1370</v>
      </c>
      <c r="B5964" t="s">
        <v>201</v>
      </c>
      <c r="C5964" t="s">
        <v>123</v>
      </c>
      <c r="D5964" t="s">
        <v>209</v>
      </c>
      <c r="E5964" t="s">
        <v>110</v>
      </c>
      <c r="F5964" t="s">
        <v>114</v>
      </c>
      <c r="G5964" t="s">
        <v>71</v>
      </c>
      <c r="H5964" t="s">
        <v>1390</v>
      </c>
      <c r="I5964">
        <v>20</v>
      </c>
      <c r="J5964">
        <v>145.22999999999999</v>
      </c>
      <c r="K5964">
        <v>146.66999999999999</v>
      </c>
      <c r="L5964">
        <v>-2904.6</v>
      </c>
      <c r="M5964">
        <v>-1.3</v>
      </c>
      <c r="N5964">
        <v>2905.9</v>
      </c>
      <c r="O5964">
        <v>0</v>
      </c>
      <c r="P5964">
        <v>28.8</v>
      </c>
      <c r="Q5964" t="s">
        <v>215</v>
      </c>
      <c r="R5964"/>
      <c r="S5964"/>
      <c r="T5964"/>
      <c r="U5964"/>
      <c r="V5964"/>
      <c r="W5964"/>
      <c r="X5964"/>
      <c r="Y5964"/>
      <c r="Z5964"/>
      <c r="AA5964"/>
      <c r="AB5964"/>
      <c r="AC5964"/>
    </row>
    <row r="5965" spans="1:29" x14ac:dyDescent="0.3">
      <c r="A5965" s="12" t="s">
        <v>1370</v>
      </c>
      <c r="B5965" t="s">
        <v>201</v>
      </c>
      <c r="C5965" t="s">
        <v>213</v>
      </c>
      <c r="D5965"/>
      <c r="E5965" t="s">
        <v>110</v>
      </c>
      <c r="F5965" t="s">
        <v>114</v>
      </c>
      <c r="G5965" t="s">
        <v>71</v>
      </c>
      <c r="H5965"/>
      <c r="I5965">
        <v>-60</v>
      </c>
      <c r="J5965"/>
      <c r="K5965"/>
      <c r="L5965">
        <v>8270.2999999999993</v>
      </c>
      <c r="M5965">
        <v>-3.9</v>
      </c>
      <c r="N5965">
        <v>-7884.2</v>
      </c>
      <c r="O5965">
        <v>382.2</v>
      </c>
      <c r="P5965">
        <v>-123.1</v>
      </c>
      <c r="Q5965"/>
      <c r="R5965"/>
      <c r="S5965"/>
      <c r="T5965"/>
      <c r="U5965"/>
      <c r="V5965"/>
      <c r="W5965"/>
      <c r="X5965"/>
      <c r="Y5965"/>
      <c r="Z5965"/>
      <c r="AA5965"/>
      <c r="AB5965"/>
      <c r="AC5965"/>
    </row>
    <row r="5966" spans="1:29" x14ac:dyDescent="0.3">
      <c r="A5966" s="12" t="s">
        <v>1370</v>
      </c>
      <c r="B5966" t="s">
        <v>201</v>
      </c>
      <c r="C5966" t="s">
        <v>123</v>
      </c>
      <c r="D5966" t="s">
        <v>209</v>
      </c>
      <c r="E5966" t="s">
        <v>110</v>
      </c>
      <c r="F5966" t="s">
        <v>114</v>
      </c>
      <c r="G5966" t="s">
        <v>29</v>
      </c>
      <c r="H5966" t="s">
        <v>1391</v>
      </c>
      <c r="I5966">
        <v>-10</v>
      </c>
      <c r="J5966">
        <v>387.09</v>
      </c>
      <c r="K5966">
        <v>388.06</v>
      </c>
      <c r="L5966">
        <v>3870.9</v>
      </c>
      <c r="M5966">
        <v>-1.3</v>
      </c>
      <c r="N5966">
        <v>-2975.8</v>
      </c>
      <c r="O5966">
        <v>893.8</v>
      </c>
      <c r="P5966">
        <v>-9.6999999999999993</v>
      </c>
      <c r="Q5966" t="s">
        <v>3</v>
      </c>
      <c r="R5966"/>
      <c r="S5966"/>
      <c r="T5966"/>
      <c r="U5966"/>
      <c r="V5966"/>
      <c r="W5966"/>
      <c r="X5966"/>
      <c r="Y5966"/>
      <c r="Z5966"/>
      <c r="AA5966"/>
      <c r="AB5966"/>
      <c r="AC5966"/>
    </row>
    <row r="5967" spans="1:29" x14ac:dyDescent="0.3">
      <c r="A5967" s="12" t="s">
        <v>1370</v>
      </c>
      <c r="B5967" t="s">
        <v>201</v>
      </c>
      <c r="C5967" t="s">
        <v>123</v>
      </c>
      <c r="D5967" t="s">
        <v>209</v>
      </c>
      <c r="E5967" t="s">
        <v>110</v>
      </c>
      <c r="F5967" t="s">
        <v>114</v>
      </c>
      <c r="G5967" t="s">
        <v>29</v>
      </c>
      <c r="H5967" t="s">
        <v>1392</v>
      </c>
      <c r="I5967">
        <v>4</v>
      </c>
      <c r="J5967">
        <v>369.9</v>
      </c>
      <c r="K5967">
        <v>392.89</v>
      </c>
      <c r="L5967">
        <v>-1479.6</v>
      </c>
      <c r="M5967">
        <v>-1.3</v>
      </c>
      <c r="N5967">
        <v>1480.9</v>
      </c>
      <c r="O5967">
        <v>0</v>
      </c>
      <c r="P5967">
        <v>91.96</v>
      </c>
      <c r="Q5967" t="s">
        <v>215</v>
      </c>
      <c r="R5967"/>
      <c r="S5967"/>
      <c r="T5967"/>
      <c r="U5967"/>
      <c r="V5967"/>
      <c r="W5967"/>
      <c r="X5967"/>
      <c r="Y5967"/>
      <c r="Z5967"/>
      <c r="AA5967"/>
      <c r="AB5967"/>
      <c r="AC5967"/>
    </row>
    <row r="5968" spans="1:29" x14ac:dyDescent="0.3">
      <c r="A5968" s="12" t="s">
        <v>1370</v>
      </c>
      <c r="B5968" t="s">
        <v>201</v>
      </c>
      <c r="C5968" t="s">
        <v>213</v>
      </c>
      <c r="D5968"/>
      <c r="E5968" t="s">
        <v>110</v>
      </c>
      <c r="F5968" t="s">
        <v>114</v>
      </c>
      <c r="G5968" t="s">
        <v>29</v>
      </c>
      <c r="H5968"/>
      <c r="I5968">
        <v>-6</v>
      </c>
      <c r="J5968"/>
      <c r="K5968"/>
      <c r="L5968">
        <v>2391.3000000000002</v>
      </c>
      <c r="M5968">
        <v>-2.6</v>
      </c>
      <c r="N5968">
        <v>-1494.9</v>
      </c>
      <c r="O5968">
        <v>893.8</v>
      </c>
      <c r="P5968">
        <v>82.26</v>
      </c>
      <c r="Q5968"/>
      <c r="R5968"/>
      <c r="S5968"/>
      <c r="T5968"/>
      <c r="U5968"/>
      <c r="V5968"/>
      <c r="W5968"/>
      <c r="X5968"/>
      <c r="Y5968"/>
      <c r="Z5968"/>
      <c r="AA5968"/>
      <c r="AB5968"/>
      <c r="AC5968"/>
    </row>
    <row r="5969" spans="1:29" x14ac:dyDescent="0.3">
      <c r="A5969" s="12" t="s">
        <v>1370</v>
      </c>
      <c r="B5969" t="s">
        <v>201</v>
      </c>
      <c r="C5969" t="s">
        <v>123</v>
      </c>
      <c r="D5969" t="s">
        <v>209</v>
      </c>
      <c r="E5969" t="s">
        <v>110</v>
      </c>
      <c r="F5969" t="s">
        <v>114</v>
      </c>
      <c r="G5969" t="s">
        <v>1255</v>
      </c>
      <c r="H5969" t="s">
        <v>1393</v>
      </c>
      <c r="I5969">
        <v>200</v>
      </c>
      <c r="J5969">
        <v>180.93</v>
      </c>
      <c r="K5969">
        <v>181.67</v>
      </c>
      <c r="L5969">
        <v>-36186</v>
      </c>
      <c r="M5969">
        <v>-1.4</v>
      </c>
      <c r="N5969">
        <v>36187.4</v>
      </c>
      <c r="O5969">
        <v>0</v>
      </c>
      <c r="P5969">
        <v>148</v>
      </c>
      <c r="Q5969" t="s">
        <v>211</v>
      </c>
      <c r="R5969"/>
      <c r="S5969"/>
      <c r="T5969"/>
      <c r="U5969"/>
      <c r="V5969"/>
      <c r="W5969"/>
      <c r="X5969"/>
      <c r="Y5969"/>
      <c r="Z5969"/>
      <c r="AA5969"/>
      <c r="AB5969"/>
      <c r="AC5969"/>
    </row>
    <row r="5970" spans="1:29" x14ac:dyDescent="0.3">
      <c r="A5970" s="12" t="s">
        <v>1370</v>
      </c>
      <c r="B5970" t="s">
        <v>201</v>
      </c>
      <c r="C5970" t="s">
        <v>213</v>
      </c>
      <c r="D5970"/>
      <c r="E5970" t="s">
        <v>110</v>
      </c>
      <c r="F5970" t="s">
        <v>114</v>
      </c>
      <c r="G5970" t="s">
        <v>1255</v>
      </c>
      <c r="H5970"/>
      <c r="I5970">
        <v>200</v>
      </c>
      <c r="J5970"/>
      <c r="K5970"/>
      <c r="L5970">
        <v>-36186</v>
      </c>
      <c r="M5970">
        <v>-1.4</v>
      </c>
      <c r="N5970">
        <v>36187.4</v>
      </c>
      <c r="O5970">
        <v>0</v>
      </c>
      <c r="P5970">
        <v>148</v>
      </c>
      <c r="Q5970"/>
      <c r="R5970"/>
      <c r="S5970"/>
      <c r="T5970"/>
      <c r="U5970"/>
      <c r="V5970"/>
      <c r="W5970"/>
      <c r="X5970"/>
      <c r="Y5970"/>
      <c r="Z5970"/>
      <c r="AA5970"/>
      <c r="AB5970"/>
      <c r="AC5970"/>
    </row>
    <row r="5971" spans="1:29" x14ac:dyDescent="0.3">
      <c r="A5971" s="12" t="s">
        <v>1370</v>
      </c>
      <c r="B5971" t="s">
        <v>201</v>
      </c>
      <c r="C5971" t="s">
        <v>123</v>
      </c>
      <c r="D5971" t="s">
        <v>209</v>
      </c>
      <c r="E5971" t="s">
        <v>110</v>
      </c>
      <c r="F5971" t="s">
        <v>114</v>
      </c>
      <c r="G5971" t="s">
        <v>51</v>
      </c>
      <c r="H5971" t="s">
        <v>1394</v>
      </c>
      <c r="I5971">
        <v>25</v>
      </c>
      <c r="J5971">
        <v>35.03</v>
      </c>
      <c r="K5971">
        <v>32.64</v>
      </c>
      <c r="L5971">
        <v>-875.75</v>
      </c>
      <c r="M5971">
        <v>-1.3</v>
      </c>
      <c r="N5971">
        <v>877.05</v>
      </c>
      <c r="O5971">
        <v>0</v>
      </c>
      <c r="P5971">
        <v>-59.75</v>
      </c>
      <c r="Q5971" t="s">
        <v>215</v>
      </c>
      <c r="R5971"/>
      <c r="S5971"/>
      <c r="T5971"/>
      <c r="U5971"/>
      <c r="V5971"/>
      <c r="W5971"/>
      <c r="X5971"/>
      <c r="Y5971"/>
      <c r="Z5971"/>
      <c r="AA5971"/>
      <c r="AB5971"/>
      <c r="AC5971"/>
    </row>
    <row r="5972" spans="1:29" x14ac:dyDescent="0.3">
      <c r="A5972" s="12" t="s">
        <v>1370</v>
      </c>
      <c r="B5972" t="s">
        <v>201</v>
      </c>
      <c r="C5972" t="s">
        <v>213</v>
      </c>
      <c r="D5972"/>
      <c r="E5972" t="s">
        <v>110</v>
      </c>
      <c r="F5972" t="s">
        <v>114</v>
      </c>
      <c r="G5972" t="s">
        <v>51</v>
      </c>
      <c r="H5972"/>
      <c r="I5972">
        <v>25</v>
      </c>
      <c r="J5972"/>
      <c r="K5972"/>
      <c r="L5972">
        <v>-875.75</v>
      </c>
      <c r="M5972">
        <v>-1.3</v>
      </c>
      <c r="N5972">
        <v>877.05</v>
      </c>
      <c r="O5972">
        <v>0</v>
      </c>
      <c r="P5972">
        <v>-59.75</v>
      </c>
      <c r="Q5972"/>
      <c r="R5972"/>
      <c r="S5972"/>
      <c r="T5972"/>
      <c r="U5972"/>
      <c r="V5972"/>
      <c r="W5972"/>
      <c r="X5972"/>
      <c r="Y5972"/>
      <c r="Z5972"/>
      <c r="AA5972"/>
      <c r="AB5972"/>
      <c r="AC5972"/>
    </row>
    <row r="5973" spans="1:29" x14ac:dyDescent="0.3">
      <c r="A5973" s="12" t="s">
        <v>1370</v>
      </c>
      <c r="B5973" t="s">
        <v>201</v>
      </c>
      <c r="C5973" t="s">
        <v>123</v>
      </c>
      <c r="D5973" t="s">
        <v>209</v>
      </c>
      <c r="E5973" t="s">
        <v>110</v>
      </c>
      <c r="F5973" t="s">
        <v>114</v>
      </c>
      <c r="G5973" t="s">
        <v>83</v>
      </c>
      <c r="H5973" t="s">
        <v>1395</v>
      </c>
      <c r="I5973">
        <v>-130</v>
      </c>
      <c r="J5973">
        <v>222.12</v>
      </c>
      <c r="K5973">
        <v>218.37</v>
      </c>
      <c r="L5973">
        <v>28875.599999999999</v>
      </c>
      <c r="M5973">
        <v>-1.3</v>
      </c>
      <c r="N5973">
        <v>-31071.599999999999</v>
      </c>
      <c r="O5973">
        <v>-2197.3000000000002</v>
      </c>
      <c r="P5973">
        <v>487.5</v>
      </c>
      <c r="Q5973" t="s">
        <v>230</v>
      </c>
      <c r="R5973"/>
      <c r="S5973"/>
      <c r="T5973"/>
      <c r="U5973"/>
      <c r="V5973"/>
      <c r="W5973"/>
      <c r="X5973"/>
      <c r="Y5973"/>
      <c r="Z5973"/>
      <c r="AA5973"/>
      <c r="AB5973"/>
      <c r="AC5973"/>
    </row>
    <row r="5974" spans="1:29" x14ac:dyDescent="0.3">
      <c r="A5974" s="12" t="s">
        <v>1370</v>
      </c>
      <c r="B5974" t="s">
        <v>201</v>
      </c>
      <c r="C5974" t="s">
        <v>213</v>
      </c>
      <c r="D5974"/>
      <c r="E5974" t="s">
        <v>110</v>
      </c>
      <c r="F5974" t="s">
        <v>114</v>
      </c>
      <c r="G5974" t="s">
        <v>83</v>
      </c>
      <c r="H5974"/>
      <c r="I5974">
        <v>-130</v>
      </c>
      <c r="J5974"/>
      <c r="K5974"/>
      <c r="L5974">
        <v>28875.599999999999</v>
      </c>
      <c r="M5974">
        <v>-1.3</v>
      </c>
      <c r="N5974">
        <v>-31071.599999999999</v>
      </c>
      <c r="O5974">
        <v>-2197.3000000000002</v>
      </c>
      <c r="P5974">
        <v>487.5</v>
      </c>
      <c r="Q5974"/>
      <c r="R5974"/>
      <c r="S5974"/>
      <c r="T5974"/>
      <c r="U5974"/>
      <c r="V5974"/>
      <c r="W5974"/>
      <c r="X5974"/>
      <c r="Y5974"/>
      <c r="Z5974"/>
      <c r="AA5974"/>
      <c r="AB5974"/>
      <c r="AC5974"/>
    </row>
    <row r="5975" spans="1:29" x14ac:dyDescent="0.3">
      <c r="A5975" s="12" t="s">
        <v>1370</v>
      </c>
      <c r="B5975" t="s">
        <v>201</v>
      </c>
      <c r="C5975" t="s">
        <v>123</v>
      </c>
      <c r="D5975" t="s">
        <v>209</v>
      </c>
      <c r="E5975" t="s">
        <v>110</v>
      </c>
      <c r="F5975" t="s">
        <v>114</v>
      </c>
      <c r="G5975" t="s">
        <v>41</v>
      </c>
      <c r="H5975" t="s">
        <v>1396</v>
      </c>
      <c r="I5975">
        <v>250</v>
      </c>
      <c r="J5975">
        <v>49.67</v>
      </c>
      <c r="K5975">
        <v>49.67</v>
      </c>
      <c r="L5975">
        <v>-12417.5</v>
      </c>
      <c r="M5975">
        <v>-1.75</v>
      </c>
      <c r="N5975">
        <v>12419.25</v>
      </c>
      <c r="O5975">
        <v>0</v>
      </c>
      <c r="P5975">
        <v>0</v>
      </c>
      <c r="Q5975" t="s">
        <v>215</v>
      </c>
      <c r="R5975"/>
      <c r="S5975"/>
      <c r="T5975"/>
      <c r="U5975"/>
      <c r="V5975"/>
      <c r="W5975"/>
      <c r="X5975"/>
      <c r="Y5975"/>
      <c r="Z5975"/>
      <c r="AA5975"/>
      <c r="AB5975"/>
      <c r="AC5975"/>
    </row>
    <row r="5976" spans="1:29" x14ac:dyDescent="0.3">
      <c r="A5976" s="12" t="s">
        <v>1370</v>
      </c>
      <c r="B5976" t="s">
        <v>201</v>
      </c>
      <c r="C5976" t="s">
        <v>213</v>
      </c>
      <c r="D5976"/>
      <c r="E5976" t="s">
        <v>110</v>
      </c>
      <c r="F5976" t="s">
        <v>114</v>
      </c>
      <c r="G5976" t="s">
        <v>41</v>
      </c>
      <c r="H5976"/>
      <c r="I5976">
        <v>250</v>
      </c>
      <c r="J5976"/>
      <c r="K5976"/>
      <c r="L5976">
        <v>-12417.5</v>
      </c>
      <c r="M5976">
        <v>-1.75</v>
      </c>
      <c r="N5976">
        <v>12419.25</v>
      </c>
      <c r="O5976">
        <v>0</v>
      </c>
      <c r="P5976">
        <v>0</v>
      </c>
      <c r="Q5976"/>
      <c r="R5976"/>
      <c r="S5976"/>
      <c r="T5976"/>
      <c r="U5976"/>
      <c r="V5976"/>
      <c r="W5976"/>
      <c r="X5976"/>
      <c r="Y5976"/>
      <c r="Z5976"/>
      <c r="AA5976"/>
      <c r="AB5976"/>
      <c r="AC5976"/>
    </row>
    <row r="5977" spans="1:29" x14ac:dyDescent="0.3">
      <c r="A5977" s="12" t="s">
        <v>1370</v>
      </c>
      <c r="B5977" t="s">
        <v>201</v>
      </c>
      <c r="C5977" t="s">
        <v>123</v>
      </c>
      <c r="D5977" t="s">
        <v>209</v>
      </c>
      <c r="E5977" t="s">
        <v>110</v>
      </c>
      <c r="F5977" t="s">
        <v>114</v>
      </c>
      <c r="G5977" t="s">
        <v>42</v>
      </c>
      <c r="H5977" t="s">
        <v>1397</v>
      </c>
      <c r="I5977">
        <v>50</v>
      </c>
      <c r="J5977">
        <v>228.65600000000001</v>
      </c>
      <c r="K5977">
        <v>228.71</v>
      </c>
      <c r="L5977">
        <v>-11432.8</v>
      </c>
      <c r="M5977">
        <v>-1.3</v>
      </c>
      <c r="N5977">
        <v>11434.1</v>
      </c>
      <c r="O5977">
        <v>0</v>
      </c>
      <c r="P5977">
        <v>2.7</v>
      </c>
      <c r="Q5977" t="s">
        <v>215</v>
      </c>
      <c r="R5977"/>
      <c r="S5977"/>
      <c r="T5977"/>
      <c r="U5977"/>
      <c r="V5977"/>
      <c r="W5977"/>
      <c r="X5977"/>
      <c r="Y5977"/>
      <c r="Z5977"/>
      <c r="AA5977"/>
      <c r="AB5977"/>
      <c r="AC5977"/>
    </row>
    <row r="5978" spans="1:29" x14ac:dyDescent="0.3">
      <c r="A5978" s="12" t="s">
        <v>1370</v>
      </c>
      <c r="B5978" t="s">
        <v>201</v>
      </c>
      <c r="C5978" t="s">
        <v>213</v>
      </c>
      <c r="D5978"/>
      <c r="E5978" t="s">
        <v>110</v>
      </c>
      <c r="F5978" t="s">
        <v>114</v>
      </c>
      <c r="G5978" t="s">
        <v>42</v>
      </c>
      <c r="H5978"/>
      <c r="I5978">
        <v>50</v>
      </c>
      <c r="J5978"/>
      <c r="K5978"/>
      <c r="L5978">
        <v>-11432.8</v>
      </c>
      <c r="M5978">
        <v>-1.3</v>
      </c>
      <c r="N5978">
        <v>11434.1</v>
      </c>
      <c r="O5978">
        <v>0</v>
      </c>
      <c r="P5978">
        <v>2.7</v>
      </c>
      <c r="Q5978"/>
      <c r="R5978"/>
      <c r="S5978"/>
      <c r="T5978"/>
      <c r="U5978"/>
      <c r="V5978"/>
      <c r="W5978"/>
      <c r="X5978"/>
      <c r="Y5978"/>
      <c r="Z5978"/>
      <c r="AA5978"/>
      <c r="AB5978"/>
      <c r="AC5978"/>
    </row>
    <row r="5979" spans="1:29" x14ac:dyDescent="0.3">
      <c r="A5979" s="12" t="s">
        <v>1370</v>
      </c>
      <c r="B5979" t="s">
        <v>201</v>
      </c>
      <c r="C5979" t="s">
        <v>123</v>
      </c>
      <c r="D5979" t="s">
        <v>209</v>
      </c>
      <c r="E5979" t="s">
        <v>110</v>
      </c>
      <c r="F5979" t="s">
        <v>114</v>
      </c>
      <c r="G5979" t="s">
        <v>43</v>
      </c>
      <c r="H5979" t="s">
        <v>1398</v>
      </c>
      <c r="I5979">
        <v>-100</v>
      </c>
      <c r="J5979">
        <v>81.91</v>
      </c>
      <c r="K5979">
        <v>81.89</v>
      </c>
      <c r="L5979">
        <v>8191</v>
      </c>
      <c r="M5979">
        <v>-1.3</v>
      </c>
      <c r="N5979">
        <v>-6292.3</v>
      </c>
      <c r="O5979">
        <v>1897.4</v>
      </c>
      <c r="P5979">
        <v>2</v>
      </c>
      <c r="Q5979" t="s">
        <v>230</v>
      </c>
      <c r="R5979"/>
      <c r="S5979"/>
      <c r="T5979"/>
      <c r="U5979"/>
      <c r="V5979"/>
      <c r="W5979"/>
      <c r="X5979"/>
      <c r="Y5979"/>
      <c r="Z5979"/>
      <c r="AA5979"/>
      <c r="AB5979"/>
      <c r="AC5979"/>
    </row>
    <row r="5980" spans="1:29" x14ac:dyDescent="0.3">
      <c r="A5980" s="12" t="s">
        <v>1370</v>
      </c>
      <c r="B5980" t="s">
        <v>201</v>
      </c>
      <c r="C5980" t="s">
        <v>213</v>
      </c>
      <c r="D5980"/>
      <c r="E5980" t="s">
        <v>110</v>
      </c>
      <c r="F5980" t="s">
        <v>114</v>
      </c>
      <c r="G5980" t="s">
        <v>43</v>
      </c>
      <c r="H5980"/>
      <c r="I5980">
        <v>-100</v>
      </c>
      <c r="J5980"/>
      <c r="K5980"/>
      <c r="L5980">
        <v>8191</v>
      </c>
      <c r="M5980">
        <v>-1.3</v>
      </c>
      <c r="N5980">
        <v>-6292.3</v>
      </c>
      <c r="O5980">
        <v>1897.4</v>
      </c>
      <c r="P5980">
        <v>2</v>
      </c>
      <c r="Q5980"/>
      <c r="R5980"/>
      <c r="S5980"/>
      <c r="T5980"/>
      <c r="U5980"/>
      <c r="V5980"/>
      <c r="W5980"/>
      <c r="X5980"/>
      <c r="Y5980"/>
      <c r="Z5980"/>
      <c r="AA5980"/>
      <c r="AB5980"/>
      <c r="AC5980"/>
    </row>
    <row r="5981" spans="1:29" x14ac:dyDescent="0.3">
      <c r="A5981" s="12" t="s">
        <v>1370</v>
      </c>
      <c r="B5981" t="s">
        <v>201</v>
      </c>
      <c r="C5981" t="s">
        <v>97</v>
      </c>
      <c r="D5981"/>
      <c r="E5981" t="s">
        <v>110</v>
      </c>
      <c r="F5981" t="s">
        <v>114</v>
      </c>
      <c r="G5981"/>
      <c r="H5981"/>
      <c r="I5981"/>
      <c r="J5981"/>
      <c r="K5981"/>
      <c r="L5981">
        <v>-27134.825000000001</v>
      </c>
      <c r="M5981">
        <v>-30.45</v>
      </c>
      <c r="N5981">
        <v>32150.2</v>
      </c>
      <c r="O5981">
        <v>4984.9250000000002</v>
      </c>
      <c r="P5981">
        <v>713.93499999999995</v>
      </c>
      <c r="Q5981" t="s">
        <v>257</v>
      </c>
      <c r="R5981"/>
      <c r="S5981"/>
      <c r="T5981"/>
      <c r="U5981"/>
      <c r="V5981"/>
      <c r="W5981"/>
      <c r="X5981"/>
      <c r="Y5981"/>
      <c r="Z5981"/>
      <c r="AA5981"/>
      <c r="AB5981"/>
      <c r="AC5981"/>
    </row>
    <row r="5982" spans="1:29" x14ac:dyDescent="0.3">
      <c r="A5982" s="12" t="s">
        <v>1370</v>
      </c>
      <c r="B5982" t="s">
        <v>201</v>
      </c>
      <c r="C5982" t="s">
        <v>120</v>
      </c>
      <c r="D5982" t="s">
        <v>192</v>
      </c>
      <c r="E5982" t="s">
        <v>100</v>
      </c>
      <c r="F5982" t="s">
        <v>181</v>
      </c>
      <c r="G5982" t="s">
        <v>0</v>
      </c>
      <c r="H5982" t="s">
        <v>202</v>
      </c>
      <c r="I5982" t="s">
        <v>193</v>
      </c>
      <c r="J5982" t="s">
        <v>203</v>
      </c>
      <c r="K5982" t="s">
        <v>204</v>
      </c>
      <c r="L5982" t="s">
        <v>258</v>
      </c>
      <c r="M5982" t="s">
        <v>206</v>
      </c>
      <c r="N5982" t="s">
        <v>1</v>
      </c>
      <c r="O5982" t="s">
        <v>207</v>
      </c>
      <c r="P5982" t="s">
        <v>208</v>
      </c>
      <c r="Q5982" t="s">
        <v>165</v>
      </c>
      <c r="R5982"/>
      <c r="S5982"/>
      <c r="T5982"/>
      <c r="U5982"/>
      <c r="V5982"/>
      <c r="W5982"/>
      <c r="X5982"/>
      <c r="Y5982"/>
      <c r="Z5982"/>
      <c r="AA5982"/>
      <c r="AB5982"/>
      <c r="AC5982"/>
    </row>
    <row r="5983" spans="1:29" x14ac:dyDescent="0.3">
      <c r="A5983" s="12" t="s">
        <v>1370</v>
      </c>
      <c r="B5983" t="s">
        <v>201</v>
      </c>
      <c r="C5983" t="s">
        <v>123</v>
      </c>
      <c r="D5983" t="s">
        <v>209</v>
      </c>
      <c r="E5983" t="s">
        <v>112</v>
      </c>
      <c r="F5983" t="s">
        <v>114</v>
      </c>
      <c r="G5983" t="s">
        <v>1158</v>
      </c>
      <c r="H5983" t="s">
        <v>1399</v>
      </c>
      <c r="I5983">
        <v>1</v>
      </c>
      <c r="J5983">
        <v>20070.5</v>
      </c>
      <c r="K5983">
        <v>20153.25</v>
      </c>
      <c r="L5983">
        <v>-40141</v>
      </c>
      <c r="M5983">
        <v>-3</v>
      </c>
      <c r="N5983">
        <v>40552</v>
      </c>
      <c r="O5983">
        <v>408</v>
      </c>
      <c r="P5983">
        <v>165.5</v>
      </c>
      <c r="Q5983" t="s">
        <v>3</v>
      </c>
      <c r="R5983"/>
      <c r="S5983"/>
      <c r="T5983"/>
      <c r="U5983"/>
      <c r="V5983"/>
      <c r="W5983"/>
      <c r="X5983"/>
      <c r="Y5983"/>
      <c r="Z5983"/>
      <c r="AA5983"/>
      <c r="AB5983"/>
      <c r="AC5983"/>
    </row>
    <row r="5984" spans="1:29" x14ac:dyDescent="0.3">
      <c r="A5984" s="12" t="s">
        <v>1370</v>
      </c>
      <c r="B5984" t="s">
        <v>201</v>
      </c>
      <c r="C5984" t="s">
        <v>123</v>
      </c>
      <c r="D5984" t="s">
        <v>209</v>
      </c>
      <c r="E5984" t="s">
        <v>112</v>
      </c>
      <c r="F5984" t="s">
        <v>114</v>
      </c>
      <c r="G5984" t="s">
        <v>1158</v>
      </c>
      <c r="H5984" t="s">
        <v>1400</v>
      </c>
      <c r="I5984">
        <v>1</v>
      </c>
      <c r="J5984">
        <v>20036</v>
      </c>
      <c r="K5984">
        <v>20153.25</v>
      </c>
      <c r="L5984">
        <v>-40072</v>
      </c>
      <c r="M5984">
        <v>-3</v>
      </c>
      <c r="N5984">
        <v>41243</v>
      </c>
      <c r="O5984">
        <v>1168</v>
      </c>
      <c r="P5984">
        <v>234.5</v>
      </c>
      <c r="Q5984" t="s">
        <v>3</v>
      </c>
      <c r="R5984"/>
      <c r="S5984"/>
      <c r="T5984"/>
      <c r="U5984"/>
      <c r="V5984"/>
      <c r="W5984"/>
      <c r="X5984"/>
      <c r="Y5984"/>
      <c r="Z5984"/>
      <c r="AA5984"/>
      <c r="AB5984"/>
      <c r="AC5984"/>
    </row>
    <row r="5985" spans="1:29" x14ac:dyDescent="0.3">
      <c r="A5985" s="12" t="s">
        <v>1370</v>
      </c>
      <c r="B5985" t="s">
        <v>201</v>
      </c>
      <c r="C5985" t="s">
        <v>123</v>
      </c>
      <c r="D5985" t="s">
        <v>209</v>
      </c>
      <c r="E5985" t="s">
        <v>112</v>
      </c>
      <c r="F5985" t="s">
        <v>114</v>
      </c>
      <c r="G5985" t="s">
        <v>1158</v>
      </c>
      <c r="H5985" t="s">
        <v>1401</v>
      </c>
      <c r="I5985">
        <v>-2</v>
      </c>
      <c r="J5985">
        <v>20095.25</v>
      </c>
      <c r="K5985">
        <v>20086</v>
      </c>
      <c r="L5985">
        <v>80381</v>
      </c>
      <c r="M5985">
        <v>-6</v>
      </c>
      <c r="N5985">
        <v>-80375</v>
      </c>
      <c r="O5985">
        <v>0</v>
      </c>
      <c r="P5985">
        <v>37</v>
      </c>
      <c r="Q5985" t="s">
        <v>211</v>
      </c>
      <c r="R5985"/>
      <c r="S5985"/>
      <c r="T5985"/>
      <c r="U5985"/>
      <c r="V5985"/>
      <c r="W5985"/>
      <c r="X5985"/>
      <c r="Y5985"/>
      <c r="Z5985"/>
      <c r="AA5985"/>
      <c r="AB5985"/>
      <c r="AC5985"/>
    </row>
    <row r="5986" spans="1:29" x14ac:dyDescent="0.3">
      <c r="A5986" s="12" t="s">
        <v>1370</v>
      </c>
      <c r="B5986" t="s">
        <v>201</v>
      </c>
      <c r="C5986" t="s">
        <v>123</v>
      </c>
      <c r="D5986" t="s">
        <v>209</v>
      </c>
      <c r="E5986" t="s">
        <v>112</v>
      </c>
      <c r="F5986" t="s">
        <v>114</v>
      </c>
      <c r="G5986" t="s">
        <v>1158</v>
      </c>
      <c r="H5986" t="s">
        <v>1402</v>
      </c>
      <c r="I5986">
        <v>2</v>
      </c>
      <c r="J5986">
        <v>20596.25</v>
      </c>
      <c r="K5986">
        <v>20894</v>
      </c>
      <c r="L5986">
        <v>-82385</v>
      </c>
      <c r="M5986">
        <v>-6</v>
      </c>
      <c r="N5986">
        <v>82240</v>
      </c>
      <c r="O5986">
        <v>-151</v>
      </c>
      <c r="P5986">
        <v>1191</v>
      </c>
      <c r="Q5986" t="s">
        <v>3</v>
      </c>
      <c r="R5986"/>
      <c r="S5986"/>
      <c r="T5986"/>
      <c r="U5986"/>
      <c r="V5986"/>
      <c r="W5986"/>
      <c r="X5986"/>
      <c r="Y5986"/>
      <c r="Z5986"/>
      <c r="AA5986"/>
      <c r="AB5986"/>
      <c r="AC5986"/>
    </row>
    <row r="5987" spans="1:29" x14ac:dyDescent="0.3">
      <c r="A5987" s="12" t="s">
        <v>1370</v>
      </c>
      <c r="B5987" t="s">
        <v>201</v>
      </c>
      <c r="C5987" t="s">
        <v>123</v>
      </c>
      <c r="D5987" t="s">
        <v>209</v>
      </c>
      <c r="E5987" t="s">
        <v>112</v>
      </c>
      <c r="F5987" t="s">
        <v>114</v>
      </c>
      <c r="G5987" t="s">
        <v>1158</v>
      </c>
      <c r="H5987" t="s">
        <v>1403</v>
      </c>
      <c r="I5987">
        <v>-1</v>
      </c>
      <c r="J5987">
        <v>21132.5</v>
      </c>
      <c r="K5987">
        <v>21217.75</v>
      </c>
      <c r="L5987">
        <v>42265</v>
      </c>
      <c r="M5987">
        <v>-3</v>
      </c>
      <c r="N5987">
        <v>-42262</v>
      </c>
      <c r="O5987">
        <v>0</v>
      </c>
      <c r="P5987">
        <v>-170.5</v>
      </c>
      <c r="Q5987" t="s">
        <v>215</v>
      </c>
      <c r="R5987"/>
      <c r="S5987"/>
      <c r="T5987"/>
      <c r="U5987"/>
      <c r="V5987"/>
      <c r="W5987"/>
      <c r="X5987"/>
      <c r="Y5987"/>
      <c r="Z5987"/>
      <c r="AA5987"/>
      <c r="AB5987"/>
      <c r="AC5987"/>
    </row>
    <row r="5988" spans="1:29" x14ac:dyDescent="0.3">
      <c r="A5988" s="12" t="s">
        <v>1370</v>
      </c>
      <c r="B5988" t="s">
        <v>201</v>
      </c>
      <c r="C5988" t="s">
        <v>123</v>
      </c>
      <c r="D5988" t="s">
        <v>209</v>
      </c>
      <c r="E5988" t="s">
        <v>112</v>
      </c>
      <c r="F5988" t="s">
        <v>114</v>
      </c>
      <c r="G5988" t="s">
        <v>1158</v>
      </c>
      <c r="H5988" t="s">
        <v>1404</v>
      </c>
      <c r="I5988">
        <v>-2</v>
      </c>
      <c r="J5988">
        <v>21089.5</v>
      </c>
      <c r="K5988">
        <v>21189.5</v>
      </c>
      <c r="L5988">
        <v>84358</v>
      </c>
      <c r="M5988">
        <v>-6</v>
      </c>
      <c r="N5988">
        <v>-84352</v>
      </c>
      <c r="O5988">
        <v>0</v>
      </c>
      <c r="P5988">
        <v>-400</v>
      </c>
      <c r="Q5988" t="s">
        <v>215</v>
      </c>
      <c r="R5988"/>
      <c r="S5988"/>
      <c r="T5988"/>
      <c r="U5988"/>
      <c r="V5988"/>
      <c r="W5988"/>
      <c r="X5988"/>
      <c r="Y5988"/>
      <c r="Z5988"/>
      <c r="AA5988"/>
      <c r="AB5988"/>
      <c r="AC5988"/>
    </row>
    <row r="5989" spans="1:29" x14ac:dyDescent="0.3">
      <c r="A5989" s="12" t="s">
        <v>1370</v>
      </c>
      <c r="B5989" t="s">
        <v>201</v>
      </c>
      <c r="C5989" t="s">
        <v>123</v>
      </c>
      <c r="D5989" t="s">
        <v>209</v>
      </c>
      <c r="E5989" t="s">
        <v>112</v>
      </c>
      <c r="F5989" t="s">
        <v>114</v>
      </c>
      <c r="G5989" t="s">
        <v>1158</v>
      </c>
      <c r="H5989" t="s">
        <v>1405</v>
      </c>
      <c r="I5989">
        <v>1</v>
      </c>
      <c r="J5989">
        <v>20420</v>
      </c>
      <c r="K5989">
        <v>20493.75</v>
      </c>
      <c r="L5989">
        <v>-40840</v>
      </c>
      <c r="M5989">
        <v>-3</v>
      </c>
      <c r="N5989">
        <v>40188</v>
      </c>
      <c r="O5989">
        <v>-655</v>
      </c>
      <c r="P5989">
        <v>147.5</v>
      </c>
      <c r="Q5989" t="s">
        <v>3</v>
      </c>
      <c r="R5989"/>
      <c r="S5989"/>
      <c r="T5989"/>
      <c r="U5989"/>
      <c r="V5989"/>
      <c r="W5989"/>
      <c r="X5989"/>
      <c r="Y5989"/>
      <c r="Z5989"/>
      <c r="AA5989"/>
      <c r="AB5989"/>
      <c r="AC5989"/>
    </row>
    <row r="5990" spans="1:29" x14ac:dyDescent="0.3">
      <c r="A5990" s="12" t="s">
        <v>1370</v>
      </c>
      <c r="B5990" t="s">
        <v>201</v>
      </c>
      <c r="C5990" t="s">
        <v>123</v>
      </c>
      <c r="D5990" t="s">
        <v>209</v>
      </c>
      <c r="E5990" t="s">
        <v>112</v>
      </c>
      <c r="F5990" t="s">
        <v>114</v>
      </c>
      <c r="G5990" t="s">
        <v>1158</v>
      </c>
      <c r="H5990" t="s">
        <v>1406</v>
      </c>
      <c r="I5990">
        <v>1</v>
      </c>
      <c r="J5990">
        <v>20546</v>
      </c>
      <c r="K5990">
        <v>20633.5</v>
      </c>
      <c r="L5990">
        <v>-41092</v>
      </c>
      <c r="M5990">
        <v>-3</v>
      </c>
      <c r="N5990">
        <v>40187</v>
      </c>
      <c r="O5990">
        <v>-908</v>
      </c>
      <c r="P5990">
        <v>175</v>
      </c>
      <c r="Q5990" t="s">
        <v>3</v>
      </c>
      <c r="R5990"/>
      <c r="S5990"/>
      <c r="T5990"/>
      <c r="U5990"/>
      <c r="V5990"/>
      <c r="W5990"/>
      <c r="X5990"/>
      <c r="Y5990"/>
      <c r="Z5990"/>
      <c r="AA5990"/>
      <c r="AB5990"/>
      <c r="AC5990"/>
    </row>
    <row r="5991" spans="1:29" x14ac:dyDescent="0.3">
      <c r="A5991" s="12" t="s">
        <v>1370</v>
      </c>
      <c r="B5991" t="s">
        <v>201</v>
      </c>
      <c r="C5991" t="s">
        <v>123</v>
      </c>
      <c r="D5991" t="s">
        <v>209</v>
      </c>
      <c r="E5991" t="s">
        <v>112</v>
      </c>
      <c r="F5991" t="s">
        <v>114</v>
      </c>
      <c r="G5991" t="s">
        <v>1158</v>
      </c>
      <c r="H5991" t="s">
        <v>1407</v>
      </c>
      <c r="I5991">
        <v>-1</v>
      </c>
      <c r="J5991">
        <v>20554</v>
      </c>
      <c r="K5991">
        <v>20767.75</v>
      </c>
      <c r="L5991">
        <v>41108</v>
      </c>
      <c r="M5991">
        <v>-3</v>
      </c>
      <c r="N5991">
        <v>-41105</v>
      </c>
      <c r="O5991">
        <v>0</v>
      </c>
      <c r="P5991">
        <v>-427.5</v>
      </c>
      <c r="Q5991" t="s">
        <v>215</v>
      </c>
      <c r="R5991"/>
      <c r="S5991"/>
      <c r="T5991"/>
      <c r="U5991"/>
      <c r="V5991"/>
      <c r="W5991"/>
      <c r="X5991"/>
      <c r="Y5991"/>
      <c r="Z5991"/>
      <c r="AA5991"/>
      <c r="AB5991"/>
      <c r="AC5991"/>
    </row>
    <row r="5992" spans="1:29" x14ac:dyDescent="0.3">
      <c r="A5992" s="12" t="s">
        <v>1370</v>
      </c>
      <c r="B5992" t="s">
        <v>201</v>
      </c>
      <c r="C5992" t="s">
        <v>123</v>
      </c>
      <c r="D5992" t="s">
        <v>209</v>
      </c>
      <c r="E5992" t="s">
        <v>112</v>
      </c>
      <c r="F5992" t="s">
        <v>114</v>
      </c>
      <c r="G5992" t="s">
        <v>1158</v>
      </c>
      <c r="H5992" t="s">
        <v>1408</v>
      </c>
      <c r="I5992">
        <v>-2</v>
      </c>
      <c r="J5992">
        <v>20404.25</v>
      </c>
      <c r="K5992">
        <v>20767.75</v>
      </c>
      <c r="L5992">
        <v>81617</v>
      </c>
      <c r="M5992">
        <v>-6</v>
      </c>
      <c r="N5992">
        <v>-81611</v>
      </c>
      <c r="O5992">
        <v>0</v>
      </c>
      <c r="P5992">
        <v>-1454</v>
      </c>
      <c r="Q5992" t="s">
        <v>215</v>
      </c>
      <c r="R5992"/>
      <c r="S5992"/>
      <c r="T5992"/>
      <c r="U5992"/>
      <c r="V5992"/>
      <c r="W5992"/>
      <c r="X5992"/>
      <c r="Y5992"/>
      <c r="Z5992"/>
      <c r="AA5992"/>
      <c r="AB5992"/>
      <c r="AC5992"/>
    </row>
    <row r="5993" spans="1:29" x14ac:dyDescent="0.3">
      <c r="A5993" s="12" t="s">
        <v>1370</v>
      </c>
      <c r="B5993" t="s">
        <v>201</v>
      </c>
      <c r="C5993" t="s">
        <v>123</v>
      </c>
      <c r="D5993" t="s">
        <v>209</v>
      </c>
      <c r="E5993" t="s">
        <v>112</v>
      </c>
      <c r="F5993" t="s">
        <v>114</v>
      </c>
      <c r="G5993" t="s">
        <v>1158</v>
      </c>
      <c r="H5993" t="s">
        <v>1409</v>
      </c>
      <c r="I5993">
        <v>1</v>
      </c>
      <c r="J5993">
        <v>20629.5</v>
      </c>
      <c r="K5993">
        <v>20767.75</v>
      </c>
      <c r="L5993">
        <v>-41259</v>
      </c>
      <c r="M5993">
        <v>-3</v>
      </c>
      <c r="N5993">
        <v>42262</v>
      </c>
      <c r="O5993">
        <v>1000</v>
      </c>
      <c r="P5993">
        <v>276.5</v>
      </c>
      <c r="Q5993" t="s">
        <v>3</v>
      </c>
      <c r="R5993"/>
      <c r="S5993"/>
      <c r="T5993"/>
      <c r="U5993"/>
      <c r="V5993"/>
      <c r="W5993"/>
      <c r="X5993"/>
      <c r="Y5993"/>
      <c r="Z5993"/>
      <c r="AA5993"/>
      <c r="AB5993"/>
      <c r="AC5993"/>
    </row>
    <row r="5994" spans="1:29" x14ac:dyDescent="0.3">
      <c r="A5994" s="12" t="s">
        <v>1370</v>
      </c>
      <c r="B5994" t="s">
        <v>201</v>
      </c>
      <c r="C5994" t="s">
        <v>123</v>
      </c>
      <c r="D5994" t="s">
        <v>209</v>
      </c>
      <c r="E5994" t="s">
        <v>112</v>
      </c>
      <c r="F5994" t="s">
        <v>114</v>
      </c>
      <c r="G5994" t="s">
        <v>1158</v>
      </c>
      <c r="H5994" t="s">
        <v>1410</v>
      </c>
      <c r="I5994">
        <v>1</v>
      </c>
      <c r="J5994">
        <v>20683</v>
      </c>
      <c r="K5994">
        <v>20767.75</v>
      </c>
      <c r="L5994">
        <v>-41366</v>
      </c>
      <c r="M5994">
        <v>-3</v>
      </c>
      <c r="N5994">
        <v>42176</v>
      </c>
      <c r="O5994">
        <v>807</v>
      </c>
      <c r="P5994">
        <v>169.5</v>
      </c>
      <c r="Q5994" t="s">
        <v>3</v>
      </c>
      <c r="R5994"/>
      <c r="S5994"/>
      <c r="T5994"/>
      <c r="U5994"/>
      <c r="V5994"/>
      <c r="W5994"/>
      <c r="X5994"/>
      <c r="Y5994"/>
      <c r="Z5994"/>
      <c r="AA5994"/>
      <c r="AB5994"/>
      <c r="AC5994"/>
    </row>
    <row r="5995" spans="1:29" x14ac:dyDescent="0.3">
      <c r="A5995" s="12" t="s">
        <v>1370</v>
      </c>
      <c r="B5995" t="s">
        <v>201</v>
      </c>
      <c r="C5995" t="s">
        <v>123</v>
      </c>
      <c r="D5995" t="s">
        <v>209</v>
      </c>
      <c r="E5995" t="s">
        <v>112</v>
      </c>
      <c r="F5995" t="s">
        <v>114</v>
      </c>
      <c r="G5995" t="s">
        <v>1158</v>
      </c>
      <c r="H5995" t="s">
        <v>1411</v>
      </c>
      <c r="I5995">
        <v>1</v>
      </c>
      <c r="J5995">
        <v>20782</v>
      </c>
      <c r="K5995">
        <v>20829.5</v>
      </c>
      <c r="L5995">
        <v>-41564</v>
      </c>
      <c r="M5995">
        <v>-3</v>
      </c>
      <c r="N5995">
        <v>42176</v>
      </c>
      <c r="O5995">
        <v>609</v>
      </c>
      <c r="P5995">
        <v>95</v>
      </c>
      <c r="Q5995" t="s">
        <v>3</v>
      </c>
      <c r="R5995"/>
      <c r="S5995"/>
      <c r="T5995"/>
      <c r="U5995"/>
      <c r="V5995"/>
      <c r="W5995"/>
      <c r="X5995"/>
      <c r="Y5995"/>
      <c r="Z5995"/>
      <c r="AA5995"/>
      <c r="AB5995"/>
      <c r="AC5995"/>
    </row>
    <row r="5996" spans="1:29" x14ac:dyDescent="0.3">
      <c r="A5996" s="12" t="s">
        <v>1370</v>
      </c>
      <c r="B5996" t="s">
        <v>201</v>
      </c>
      <c r="C5996" t="s">
        <v>123</v>
      </c>
      <c r="D5996" t="s">
        <v>209</v>
      </c>
      <c r="E5996" t="s">
        <v>112</v>
      </c>
      <c r="F5996" t="s">
        <v>114</v>
      </c>
      <c r="G5996" t="s">
        <v>1158</v>
      </c>
      <c r="H5996" t="s">
        <v>1412</v>
      </c>
      <c r="I5996">
        <v>-1</v>
      </c>
      <c r="J5996">
        <v>20746.75</v>
      </c>
      <c r="K5996">
        <v>20849.75</v>
      </c>
      <c r="L5996">
        <v>41493.5</v>
      </c>
      <c r="M5996">
        <v>-3</v>
      </c>
      <c r="N5996">
        <v>-41490.5</v>
      </c>
      <c r="O5996">
        <v>0</v>
      </c>
      <c r="P5996">
        <v>-206</v>
      </c>
      <c r="Q5996" t="s">
        <v>215</v>
      </c>
      <c r="R5996"/>
      <c r="S5996"/>
      <c r="T5996"/>
      <c r="U5996"/>
      <c r="V5996"/>
      <c r="W5996"/>
      <c r="X5996"/>
      <c r="Y5996"/>
      <c r="Z5996"/>
      <c r="AA5996"/>
      <c r="AB5996"/>
      <c r="AC5996"/>
    </row>
    <row r="5997" spans="1:29" x14ac:dyDescent="0.3">
      <c r="A5997" s="12" t="s">
        <v>1370</v>
      </c>
      <c r="B5997" t="s">
        <v>201</v>
      </c>
      <c r="C5997" t="s">
        <v>123</v>
      </c>
      <c r="D5997" t="s">
        <v>209</v>
      </c>
      <c r="E5997" t="s">
        <v>112</v>
      </c>
      <c r="F5997" t="s">
        <v>114</v>
      </c>
      <c r="G5997" t="s">
        <v>1158</v>
      </c>
      <c r="H5997" t="s">
        <v>1413</v>
      </c>
      <c r="I5997">
        <v>1</v>
      </c>
      <c r="J5997">
        <v>20756</v>
      </c>
      <c r="K5997">
        <v>20813</v>
      </c>
      <c r="L5997">
        <v>-41512</v>
      </c>
      <c r="M5997">
        <v>-3</v>
      </c>
      <c r="N5997">
        <v>41105</v>
      </c>
      <c r="O5997">
        <v>-410</v>
      </c>
      <c r="P5997">
        <v>114</v>
      </c>
      <c r="Q5997" t="s">
        <v>3</v>
      </c>
      <c r="R5997"/>
      <c r="S5997"/>
      <c r="T5997"/>
      <c r="U5997"/>
      <c r="V5997"/>
      <c r="W5997"/>
      <c r="X5997"/>
      <c r="Y5997"/>
      <c r="Z5997"/>
      <c r="AA5997"/>
      <c r="AB5997"/>
      <c r="AC5997"/>
    </row>
    <row r="5998" spans="1:29" x14ac:dyDescent="0.3">
      <c r="A5998" s="12" t="s">
        <v>1370</v>
      </c>
      <c r="B5998" t="s">
        <v>201</v>
      </c>
      <c r="C5998" t="s">
        <v>213</v>
      </c>
      <c r="D5998"/>
      <c r="E5998" t="s">
        <v>112</v>
      </c>
      <c r="F5998" t="s">
        <v>114</v>
      </c>
      <c r="G5998" t="s">
        <v>1158</v>
      </c>
      <c r="H5998"/>
      <c r="I5998">
        <v>1</v>
      </c>
      <c r="J5998"/>
      <c r="K5998"/>
      <c r="L5998">
        <v>-39008.5</v>
      </c>
      <c r="M5998">
        <v>-57</v>
      </c>
      <c r="N5998">
        <v>40933.5</v>
      </c>
      <c r="O5998">
        <v>1868</v>
      </c>
      <c r="P5998">
        <v>-52.5</v>
      </c>
      <c r="Q5998"/>
      <c r="R5998"/>
      <c r="S5998"/>
      <c r="T5998"/>
      <c r="U5998"/>
      <c r="V5998"/>
      <c r="W5998"/>
      <c r="X5998"/>
      <c r="Y5998"/>
      <c r="Z5998"/>
      <c r="AA5998"/>
      <c r="AB5998"/>
      <c r="AC5998"/>
    </row>
    <row r="5999" spans="1:29" x14ac:dyDescent="0.3">
      <c r="A5999" s="12" t="s">
        <v>1370</v>
      </c>
      <c r="B5999" t="s">
        <v>201</v>
      </c>
      <c r="C5999" t="s">
        <v>97</v>
      </c>
      <c r="D5999"/>
      <c r="E5999" t="s">
        <v>112</v>
      </c>
      <c r="F5999" t="s">
        <v>114</v>
      </c>
      <c r="G5999"/>
      <c r="H5999"/>
      <c r="I5999"/>
      <c r="J5999"/>
      <c r="K5999"/>
      <c r="L5999">
        <v>-39008.5</v>
      </c>
      <c r="M5999">
        <v>-57</v>
      </c>
      <c r="N5999">
        <v>40933.5</v>
      </c>
      <c r="O5999">
        <v>1868</v>
      </c>
      <c r="P5999">
        <v>-52.5</v>
      </c>
      <c r="Q5999" t="s">
        <v>257</v>
      </c>
      <c r="R5999"/>
      <c r="S5999"/>
      <c r="T5999"/>
      <c r="U5999"/>
      <c r="V5999"/>
      <c r="W5999"/>
      <c r="X5999"/>
      <c r="Y5999"/>
      <c r="Z5999"/>
      <c r="AA5999"/>
      <c r="AB5999"/>
      <c r="AC5999"/>
    </row>
    <row r="6000" spans="1:29" x14ac:dyDescent="0.3">
      <c r="A6000" s="12" t="s">
        <v>1370</v>
      </c>
      <c r="B6000" t="s">
        <v>157</v>
      </c>
      <c r="C6000" t="s">
        <v>120</v>
      </c>
      <c r="D6000" t="s">
        <v>181</v>
      </c>
      <c r="E6000" t="s">
        <v>268</v>
      </c>
      <c r="F6000" t="s">
        <v>269</v>
      </c>
      <c r="G6000" t="s">
        <v>270</v>
      </c>
      <c r="H6000"/>
      <c r="I6000"/>
      <c r="J6000"/>
      <c r="K6000"/>
      <c r="L6000"/>
      <c r="M6000"/>
      <c r="N6000"/>
      <c r="O6000"/>
      <c r="P6000"/>
      <c r="Q6000"/>
      <c r="R6000"/>
      <c r="S6000"/>
      <c r="T6000"/>
      <c r="U6000"/>
      <c r="V6000"/>
      <c r="W6000"/>
      <c r="X6000"/>
      <c r="Y6000"/>
      <c r="Z6000"/>
      <c r="AA6000"/>
      <c r="AB6000"/>
      <c r="AC6000"/>
    </row>
    <row r="6001" spans="1:29" x14ac:dyDescent="0.3">
      <c r="A6001" s="12" t="s">
        <v>1370</v>
      </c>
      <c r="B6001" t="s">
        <v>157</v>
      </c>
      <c r="C6001" t="s">
        <v>123</v>
      </c>
      <c r="D6001" t="s">
        <v>114</v>
      </c>
      <c r="E6001" s="1">
        <v>45597</v>
      </c>
      <c r="F6001" t="s">
        <v>1414</v>
      </c>
      <c r="G6001">
        <v>17.8</v>
      </c>
      <c r="H6001"/>
      <c r="I6001"/>
      <c r="J6001"/>
      <c r="K6001"/>
      <c r="L6001"/>
      <c r="M6001"/>
      <c r="N6001"/>
      <c r="O6001"/>
      <c r="P6001"/>
      <c r="Q6001"/>
      <c r="R6001"/>
      <c r="S6001"/>
      <c r="T6001"/>
      <c r="U6001"/>
      <c r="V6001"/>
      <c r="W6001"/>
      <c r="X6001"/>
      <c r="Y6001"/>
      <c r="Z6001"/>
      <c r="AA6001"/>
      <c r="AB6001"/>
      <c r="AC6001"/>
    </row>
    <row r="6002" spans="1:29" x14ac:dyDescent="0.3">
      <c r="A6002" s="12" t="s">
        <v>1370</v>
      </c>
      <c r="B6002" t="s">
        <v>157</v>
      </c>
      <c r="C6002" t="s">
        <v>123</v>
      </c>
      <c r="D6002" t="s">
        <v>114</v>
      </c>
      <c r="E6002" s="1">
        <v>45611</v>
      </c>
      <c r="F6002" t="s">
        <v>825</v>
      </c>
      <c r="G6002">
        <v>42.6</v>
      </c>
      <c r="H6002"/>
      <c r="I6002"/>
      <c r="J6002"/>
      <c r="K6002"/>
      <c r="L6002"/>
      <c r="M6002"/>
      <c r="N6002"/>
      <c r="O6002"/>
      <c r="P6002"/>
      <c r="Q6002"/>
      <c r="R6002"/>
      <c r="S6002"/>
      <c r="T6002"/>
      <c r="U6002"/>
      <c r="V6002"/>
      <c r="W6002"/>
      <c r="X6002"/>
      <c r="Y6002"/>
      <c r="Z6002"/>
      <c r="AA6002"/>
      <c r="AB6002"/>
      <c r="AC6002"/>
    </row>
    <row r="6003" spans="1:29" x14ac:dyDescent="0.3">
      <c r="A6003" s="12" t="s">
        <v>1370</v>
      </c>
      <c r="B6003" t="s">
        <v>157</v>
      </c>
      <c r="C6003" t="s">
        <v>123</v>
      </c>
      <c r="D6003" t="s">
        <v>97</v>
      </c>
      <c r="E6003"/>
      <c r="F6003"/>
      <c r="G6003">
        <v>60.4</v>
      </c>
      <c r="H6003"/>
      <c r="I6003"/>
      <c r="J6003"/>
      <c r="K6003"/>
      <c r="L6003"/>
      <c r="M6003"/>
      <c r="N6003"/>
      <c r="O6003"/>
      <c r="P6003"/>
      <c r="Q6003"/>
      <c r="R6003"/>
      <c r="S6003"/>
      <c r="T6003"/>
      <c r="U6003"/>
      <c r="V6003"/>
      <c r="W6003"/>
      <c r="X6003"/>
      <c r="Y6003"/>
      <c r="Z6003"/>
      <c r="AA6003"/>
      <c r="AB6003"/>
      <c r="AC6003"/>
    </row>
    <row r="6004" spans="1:29" x14ac:dyDescent="0.3">
      <c r="A6004" s="12" t="s">
        <v>1370</v>
      </c>
      <c r="B6004" t="s">
        <v>158</v>
      </c>
      <c r="C6004" t="s">
        <v>120</v>
      </c>
      <c r="D6004" t="s">
        <v>181</v>
      </c>
      <c r="E6004" t="s">
        <v>268</v>
      </c>
      <c r="F6004" t="s">
        <v>269</v>
      </c>
      <c r="G6004" t="s">
        <v>270</v>
      </c>
      <c r="H6004" t="s">
        <v>165</v>
      </c>
      <c r="I6004"/>
      <c r="J6004"/>
      <c r="K6004"/>
      <c r="L6004"/>
      <c r="M6004"/>
      <c r="N6004"/>
      <c r="O6004"/>
      <c r="P6004"/>
      <c r="Q6004"/>
      <c r="R6004"/>
      <c r="S6004"/>
      <c r="T6004"/>
      <c r="U6004"/>
      <c r="V6004"/>
      <c r="W6004"/>
      <c r="X6004"/>
      <c r="Y6004"/>
      <c r="Z6004"/>
      <c r="AA6004"/>
      <c r="AB6004"/>
      <c r="AC6004"/>
    </row>
    <row r="6005" spans="1:29" x14ac:dyDescent="0.3">
      <c r="A6005" s="12" t="s">
        <v>1370</v>
      </c>
      <c r="B6005" t="s">
        <v>158</v>
      </c>
      <c r="C6005" t="s">
        <v>123</v>
      </c>
      <c r="D6005" t="s">
        <v>114</v>
      </c>
      <c r="E6005" s="1">
        <v>45597</v>
      </c>
      <c r="F6005" t="s">
        <v>1415</v>
      </c>
      <c r="G6005">
        <v>-4.45</v>
      </c>
      <c r="H6005"/>
      <c r="I6005"/>
      <c r="J6005"/>
      <c r="K6005"/>
      <c r="L6005"/>
      <c r="M6005"/>
      <c r="N6005"/>
      <c r="O6005"/>
      <c r="P6005"/>
      <c r="Q6005"/>
      <c r="R6005"/>
      <c r="S6005"/>
      <c r="T6005"/>
      <c r="U6005"/>
      <c r="V6005"/>
      <c r="W6005"/>
      <c r="X6005"/>
      <c r="Y6005"/>
      <c r="Z6005"/>
      <c r="AA6005"/>
      <c r="AB6005"/>
      <c r="AC6005"/>
    </row>
    <row r="6006" spans="1:29" x14ac:dyDescent="0.3">
      <c r="A6006" s="12" t="s">
        <v>1370</v>
      </c>
      <c r="B6006" t="s">
        <v>158</v>
      </c>
      <c r="C6006" t="s">
        <v>123</v>
      </c>
      <c r="D6006" t="s">
        <v>114</v>
      </c>
      <c r="E6006" s="1">
        <v>45611</v>
      </c>
      <c r="F6006" t="s">
        <v>829</v>
      </c>
      <c r="G6006">
        <v>-10.65</v>
      </c>
      <c r="H6006"/>
      <c r="I6006"/>
      <c r="J6006"/>
      <c r="K6006"/>
      <c r="L6006"/>
      <c r="M6006"/>
      <c r="N6006"/>
      <c r="O6006"/>
      <c r="P6006"/>
      <c r="Q6006"/>
      <c r="R6006"/>
      <c r="S6006"/>
      <c r="T6006"/>
      <c r="U6006"/>
      <c r="V6006"/>
      <c r="W6006"/>
      <c r="X6006"/>
      <c r="Y6006"/>
      <c r="Z6006"/>
      <c r="AA6006"/>
      <c r="AB6006"/>
      <c r="AC6006"/>
    </row>
    <row r="6007" spans="1:29" x14ac:dyDescent="0.3">
      <c r="A6007" s="12" t="s">
        <v>1370</v>
      </c>
      <c r="B6007" t="s">
        <v>158</v>
      </c>
      <c r="C6007" t="s">
        <v>123</v>
      </c>
      <c r="D6007" t="s">
        <v>97</v>
      </c>
      <c r="E6007"/>
      <c r="F6007"/>
      <c r="G6007">
        <v>-15.1</v>
      </c>
      <c r="H6007"/>
      <c r="I6007"/>
      <c r="J6007"/>
      <c r="K6007"/>
      <c r="L6007"/>
      <c r="M6007"/>
      <c r="N6007"/>
      <c r="O6007"/>
      <c r="P6007"/>
      <c r="Q6007"/>
      <c r="R6007"/>
      <c r="S6007"/>
      <c r="T6007"/>
      <c r="U6007"/>
      <c r="V6007"/>
      <c r="W6007"/>
      <c r="X6007"/>
      <c r="Y6007"/>
      <c r="Z6007"/>
      <c r="AA6007"/>
      <c r="AB6007"/>
      <c r="AC6007"/>
    </row>
    <row r="6008" spans="1:29" x14ac:dyDescent="0.3">
      <c r="A6008" s="12" t="s">
        <v>1370</v>
      </c>
      <c r="B6008" t="s">
        <v>160</v>
      </c>
      <c r="C6008" t="s">
        <v>120</v>
      </c>
      <c r="D6008" t="s">
        <v>181</v>
      </c>
      <c r="E6008" t="s">
        <v>268</v>
      </c>
      <c r="F6008" t="s">
        <v>269</v>
      </c>
      <c r="G6008" t="s">
        <v>270</v>
      </c>
      <c r="H6008"/>
      <c r="I6008"/>
      <c r="J6008"/>
      <c r="K6008"/>
      <c r="L6008"/>
      <c r="M6008"/>
      <c r="N6008"/>
      <c r="O6008"/>
      <c r="P6008"/>
      <c r="Q6008"/>
      <c r="R6008"/>
      <c r="S6008"/>
      <c r="T6008"/>
      <c r="U6008"/>
      <c r="V6008"/>
      <c r="W6008"/>
      <c r="X6008"/>
      <c r="Y6008"/>
      <c r="Z6008"/>
      <c r="AA6008"/>
      <c r="AB6008"/>
      <c r="AC6008"/>
    </row>
    <row r="6009" spans="1:29" x14ac:dyDescent="0.3">
      <c r="A6009" s="12" t="s">
        <v>1370</v>
      </c>
      <c r="B6009" t="s">
        <v>160</v>
      </c>
      <c r="C6009" t="s">
        <v>123</v>
      </c>
      <c r="D6009" t="s">
        <v>114</v>
      </c>
      <c r="E6009" s="1">
        <v>45601</v>
      </c>
      <c r="F6009" t="s">
        <v>1416</v>
      </c>
      <c r="G6009">
        <v>70.400000000000006</v>
      </c>
      <c r="H6009"/>
      <c r="I6009"/>
      <c r="J6009"/>
      <c r="K6009"/>
      <c r="L6009"/>
      <c r="M6009"/>
      <c r="N6009"/>
      <c r="O6009"/>
      <c r="P6009"/>
      <c r="Q6009"/>
      <c r="R6009"/>
      <c r="S6009"/>
      <c r="T6009"/>
      <c r="U6009"/>
      <c r="V6009"/>
      <c r="W6009"/>
      <c r="X6009"/>
      <c r="Y6009"/>
      <c r="Z6009"/>
      <c r="AA6009"/>
      <c r="AB6009"/>
      <c r="AC6009"/>
    </row>
    <row r="6010" spans="1:29" x14ac:dyDescent="0.3">
      <c r="A6010" s="12" t="s">
        <v>1370</v>
      </c>
      <c r="B6010" t="s">
        <v>160</v>
      </c>
      <c r="C6010" t="s">
        <v>123</v>
      </c>
      <c r="D6010" t="s">
        <v>114</v>
      </c>
      <c r="E6010" s="1">
        <v>45601</v>
      </c>
      <c r="F6010" t="s">
        <v>1417</v>
      </c>
      <c r="G6010">
        <v>-14.22</v>
      </c>
      <c r="H6010"/>
      <c r="I6010"/>
      <c r="J6010"/>
      <c r="K6010"/>
      <c r="L6010"/>
      <c r="M6010"/>
      <c r="N6010"/>
      <c r="O6010"/>
      <c r="P6010"/>
      <c r="Q6010"/>
      <c r="R6010"/>
      <c r="S6010"/>
      <c r="T6010"/>
      <c r="U6010"/>
      <c r="V6010"/>
      <c r="W6010"/>
      <c r="X6010"/>
      <c r="Y6010"/>
      <c r="Z6010"/>
      <c r="AA6010"/>
      <c r="AB6010"/>
      <c r="AC6010"/>
    </row>
    <row r="6011" spans="1:29" x14ac:dyDescent="0.3">
      <c r="A6011" s="12" t="s">
        <v>1370</v>
      </c>
      <c r="B6011" t="s">
        <v>160</v>
      </c>
      <c r="C6011" t="s">
        <v>123</v>
      </c>
      <c r="D6011" t="s">
        <v>97</v>
      </c>
      <c r="E6011"/>
      <c r="F6011"/>
      <c r="G6011">
        <v>56.18</v>
      </c>
      <c r="H6011"/>
      <c r="I6011"/>
      <c r="J6011"/>
      <c r="K6011"/>
      <c r="L6011"/>
      <c r="M6011"/>
      <c r="N6011"/>
      <c r="O6011"/>
      <c r="P6011"/>
      <c r="Q6011"/>
      <c r="R6011"/>
      <c r="S6011"/>
      <c r="T6011"/>
      <c r="U6011"/>
      <c r="V6011"/>
      <c r="W6011"/>
      <c r="X6011"/>
      <c r="Y6011"/>
      <c r="Z6011"/>
      <c r="AA6011"/>
      <c r="AB6011"/>
      <c r="AC6011"/>
    </row>
    <row r="6012" spans="1:29" x14ac:dyDescent="0.3">
      <c r="A6012" s="12" t="s">
        <v>1370</v>
      </c>
      <c r="B6012" t="s">
        <v>151</v>
      </c>
      <c r="C6012" t="s">
        <v>120</v>
      </c>
      <c r="D6012" t="s">
        <v>181</v>
      </c>
      <c r="E6012" t="s">
        <v>121</v>
      </c>
      <c r="F6012" t="s">
        <v>122</v>
      </c>
      <c r="G6012"/>
      <c r="H6012"/>
      <c r="I6012"/>
      <c r="J6012"/>
      <c r="K6012"/>
      <c r="L6012"/>
      <c r="M6012"/>
      <c r="N6012"/>
      <c r="O6012"/>
      <c r="P6012"/>
      <c r="Q6012"/>
      <c r="R6012"/>
      <c r="S6012"/>
      <c r="T6012"/>
      <c r="U6012"/>
      <c r="V6012"/>
      <c r="W6012"/>
      <c r="X6012"/>
      <c r="Y6012"/>
      <c r="Z6012"/>
      <c r="AA6012"/>
      <c r="AB6012"/>
      <c r="AC6012"/>
    </row>
    <row r="6013" spans="1:29" x14ac:dyDescent="0.3">
      <c r="A6013" s="12" t="s">
        <v>1370</v>
      </c>
      <c r="B6013" t="s">
        <v>151</v>
      </c>
      <c r="C6013" t="s">
        <v>123</v>
      </c>
      <c r="D6013" t="s">
        <v>184</v>
      </c>
      <c r="E6013" t="s">
        <v>278</v>
      </c>
      <c r="F6013">
        <v>52.78</v>
      </c>
      <c r="G6013"/>
      <c r="H6013"/>
      <c r="I6013"/>
      <c r="J6013"/>
      <c r="K6013"/>
      <c r="L6013"/>
      <c r="M6013"/>
      <c r="N6013"/>
      <c r="O6013"/>
      <c r="P6013"/>
      <c r="Q6013"/>
      <c r="R6013"/>
      <c r="S6013"/>
      <c r="T6013"/>
      <c r="U6013"/>
      <c r="V6013"/>
      <c r="W6013"/>
      <c r="X6013"/>
      <c r="Y6013"/>
      <c r="Z6013"/>
      <c r="AA6013"/>
      <c r="AB6013"/>
      <c r="AC6013"/>
    </row>
    <row r="6014" spans="1:29" x14ac:dyDescent="0.3">
      <c r="A6014" s="12" t="s">
        <v>1370</v>
      </c>
      <c r="B6014" t="s">
        <v>151</v>
      </c>
      <c r="C6014" t="s">
        <v>123</v>
      </c>
      <c r="D6014" t="s">
        <v>184</v>
      </c>
      <c r="E6014" t="s">
        <v>279</v>
      </c>
      <c r="F6014">
        <v>53.58</v>
      </c>
      <c r="G6014"/>
      <c r="H6014"/>
      <c r="I6014"/>
      <c r="J6014"/>
      <c r="K6014"/>
      <c r="L6014"/>
      <c r="M6014"/>
      <c r="N6014"/>
      <c r="O6014"/>
      <c r="P6014"/>
      <c r="Q6014"/>
      <c r="R6014"/>
      <c r="S6014"/>
      <c r="T6014"/>
      <c r="U6014"/>
      <c r="V6014"/>
      <c r="W6014"/>
      <c r="X6014"/>
      <c r="Y6014"/>
      <c r="Z6014"/>
      <c r="AA6014"/>
      <c r="AB6014"/>
      <c r="AC6014"/>
    </row>
    <row r="6015" spans="1:29" x14ac:dyDescent="0.3">
      <c r="A6015" s="12" t="s">
        <v>1370</v>
      </c>
      <c r="B6015" t="s">
        <v>151</v>
      </c>
      <c r="C6015" t="s">
        <v>123</v>
      </c>
      <c r="D6015" t="s">
        <v>184</v>
      </c>
      <c r="E6015" t="s">
        <v>280</v>
      </c>
      <c r="F6015">
        <v>-56.18</v>
      </c>
      <c r="G6015"/>
      <c r="H6015"/>
      <c r="I6015"/>
      <c r="J6015"/>
      <c r="K6015"/>
      <c r="L6015"/>
      <c r="M6015"/>
      <c r="N6015"/>
      <c r="O6015"/>
      <c r="P6015"/>
      <c r="Q6015"/>
      <c r="R6015"/>
      <c r="S6015"/>
      <c r="T6015"/>
      <c r="U6015"/>
      <c r="V6015"/>
      <c r="W6015"/>
      <c r="X6015"/>
      <c r="Y6015"/>
      <c r="Z6015"/>
      <c r="AA6015"/>
      <c r="AB6015"/>
      <c r="AC6015"/>
    </row>
    <row r="6016" spans="1:29" x14ac:dyDescent="0.3">
      <c r="A6016" s="12" t="s">
        <v>1370</v>
      </c>
      <c r="B6016" t="s">
        <v>151</v>
      </c>
      <c r="C6016" t="s">
        <v>123</v>
      </c>
      <c r="D6016" t="s">
        <v>184</v>
      </c>
      <c r="E6016" t="s">
        <v>281</v>
      </c>
      <c r="F6016">
        <v>0</v>
      </c>
      <c r="G6016"/>
      <c r="H6016"/>
      <c r="I6016"/>
      <c r="J6016"/>
      <c r="K6016"/>
      <c r="L6016"/>
      <c r="M6016"/>
      <c r="N6016"/>
      <c r="O6016"/>
      <c r="P6016"/>
      <c r="Q6016"/>
      <c r="R6016"/>
      <c r="S6016"/>
      <c r="T6016"/>
      <c r="U6016"/>
      <c r="V6016"/>
      <c r="W6016"/>
      <c r="X6016"/>
      <c r="Y6016"/>
      <c r="Z6016"/>
      <c r="AA6016"/>
      <c r="AB6016"/>
      <c r="AC6016"/>
    </row>
    <row r="6017" spans="1:29" x14ac:dyDescent="0.3">
      <c r="A6017" s="12" t="s">
        <v>1370</v>
      </c>
      <c r="B6017" t="s">
        <v>151</v>
      </c>
      <c r="C6017" t="s">
        <v>123</v>
      </c>
      <c r="D6017" t="s">
        <v>184</v>
      </c>
      <c r="E6017" t="s">
        <v>282</v>
      </c>
      <c r="F6017">
        <v>50.18</v>
      </c>
      <c r="G6017"/>
      <c r="H6017"/>
      <c r="I6017"/>
      <c r="J6017"/>
      <c r="K6017"/>
      <c r="L6017"/>
      <c r="M6017"/>
      <c r="N6017"/>
      <c r="O6017"/>
      <c r="P6017"/>
      <c r="Q6017"/>
      <c r="R6017"/>
      <c r="S6017"/>
      <c r="T6017"/>
      <c r="U6017"/>
      <c r="V6017"/>
      <c r="W6017"/>
      <c r="X6017"/>
      <c r="Y6017"/>
      <c r="Z6017"/>
      <c r="AA6017"/>
      <c r="AB6017"/>
      <c r="AC6017"/>
    </row>
    <row r="6018" spans="1:29" x14ac:dyDescent="0.3">
      <c r="A6018" s="12" t="s">
        <v>1370</v>
      </c>
      <c r="B6018" t="s">
        <v>159</v>
      </c>
      <c r="C6018" t="s">
        <v>120</v>
      </c>
      <c r="D6018" t="s">
        <v>100</v>
      </c>
      <c r="E6018" t="s">
        <v>181</v>
      </c>
      <c r="F6018" t="s">
        <v>0</v>
      </c>
      <c r="G6018" t="s">
        <v>268</v>
      </c>
      <c r="H6018" t="s">
        <v>283</v>
      </c>
      <c r="I6018" t="s">
        <v>284</v>
      </c>
      <c r="J6018" t="s">
        <v>193</v>
      </c>
      <c r="K6018" t="s">
        <v>285</v>
      </c>
      <c r="L6018" t="s">
        <v>286</v>
      </c>
      <c r="M6018" t="s">
        <v>287</v>
      </c>
      <c r="N6018" t="s">
        <v>288</v>
      </c>
      <c r="O6018" t="s">
        <v>289</v>
      </c>
      <c r="P6018" t="s">
        <v>165</v>
      </c>
      <c r="Q6018"/>
      <c r="R6018"/>
      <c r="S6018"/>
      <c r="T6018"/>
      <c r="U6018"/>
      <c r="V6018"/>
      <c r="W6018"/>
      <c r="X6018"/>
      <c r="Y6018"/>
      <c r="Z6018"/>
      <c r="AA6018"/>
      <c r="AB6018"/>
      <c r="AC6018"/>
    </row>
    <row r="6019" spans="1:29" x14ac:dyDescent="0.3">
      <c r="A6019" s="12" t="s">
        <v>1370</v>
      </c>
      <c r="B6019" t="s">
        <v>159</v>
      </c>
      <c r="C6019" t="s">
        <v>123</v>
      </c>
      <c r="D6019" t="s">
        <v>290</v>
      </c>
      <c r="E6019"/>
      <c r="F6019"/>
      <c r="G6019"/>
      <c r="H6019"/>
      <c r="I6019"/>
      <c r="J6019"/>
      <c r="K6019"/>
      <c r="L6019"/>
      <c r="M6019"/>
      <c r="N6019"/>
      <c r="O6019">
        <v>45.3</v>
      </c>
      <c r="P6019"/>
      <c r="Q6019"/>
      <c r="R6019"/>
      <c r="S6019"/>
      <c r="T6019"/>
      <c r="U6019"/>
      <c r="V6019"/>
      <c r="W6019"/>
      <c r="X6019"/>
      <c r="Y6019"/>
      <c r="Z6019"/>
      <c r="AA6019"/>
      <c r="AB6019"/>
      <c r="AC6019"/>
    </row>
    <row r="6020" spans="1:29" x14ac:dyDescent="0.3">
      <c r="A6020" s="12" t="s">
        <v>1370</v>
      </c>
      <c r="B6020" t="s">
        <v>159</v>
      </c>
      <c r="C6020" t="s">
        <v>123</v>
      </c>
      <c r="D6020" t="s">
        <v>110</v>
      </c>
      <c r="E6020" t="s">
        <v>114</v>
      </c>
      <c r="F6020" t="s">
        <v>1155</v>
      </c>
      <c r="G6020" s="1">
        <v>45597</v>
      </c>
      <c r="H6020" s="1">
        <v>45587</v>
      </c>
      <c r="I6020" s="1">
        <v>45597</v>
      </c>
      <c r="J6020">
        <v>40</v>
      </c>
      <c r="K6020">
        <v>-4.45</v>
      </c>
      <c r="L6020">
        <v>0</v>
      </c>
      <c r="M6020">
        <v>0.44500000000000001</v>
      </c>
      <c r="N6020">
        <v>-17.8</v>
      </c>
      <c r="O6020">
        <v>-13.35</v>
      </c>
      <c r="P6020" t="s">
        <v>292</v>
      </c>
      <c r="Q6020"/>
      <c r="R6020"/>
      <c r="S6020"/>
      <c r="T6020"/>
      <c r="U6020"/>
      <c r="V6020"/>
      <c r="W6020"/>
      <c r="X6020"/>
      <c r="Y6020"/>
      <c r="Z6020"/>
      <c r="AA6020"/>
      <c r="AB6020"/>
      <c r="AC6020"/>
    </row>
    <row r="6021" spans="1:29" x14ac:dyDescent="0.3">
      <c r="A6021" s="12" t="s">
        <v>1370</v>
      </c>
      <c r="B6021" t="s">
        <v>159</v>
      </c>
      <c r="C6021" t="s">
        <v>123</v>
      </c>
      <c r="D6021" t="s">
        <v>110</v>
      </c>
      <c r="E6021" t="s">
        <v>114</v>
      </c>
      <c r="F6021" t="s">
        <v>18</v>
      </c>
      <c r="G6021" s="1">
        <v>45611</v>
      </c>
      <c r="H6021" s="1">
        <v>45576</v>
      </c>
      <c r="I6021" s="1">
        <v>45611</v>
      </c>
      <c r="J6021">
        <v>30</v>
      </c>
      <c r="K6021">
        <v>-10.65</v>
      </c>
      <c r="L6021">
        <v>0</v>
      </c>
      <c r="M6021">
        <v>1.42</v>
      </c>
      <c r="N6021">
        <v>-42.6</v>
      </c>
      <c r="O6021">
        <v>-31.95</v>
      </c>
      <c r="P6021" t="s">
        <v>292</v>
      </c>
      <c r="Q6021"/>
      <c r="R6021"/>
      <c r="S6021"/>
      <c r="T6021"/>
      <c r="U6021"/>
      <c r="V6021"/>
      <c r="W6021"/>
      <c r="X6021"/>
      <c r="Y6021"/>
      <c r="Z6021"/>
      <c r="AA6021"/>
      <c r="AB6021"/>
      <c r="AC6021"/>
    </row>
    <row r="6022" spans="1:29" x14ac:dyDescent="0.3">
      <c r="A6022" s="12" t="s">
        <v>1370</v>
      </c>
      <c r="B6022" t="s">
        <v>159</v>
      </c>
      <c r="C6022" t="s">
        <v>123</v>
      </c>
      <c r="D6022" t="s">
        <v>110</v>
      </c>
      <c r="E6022" t="s">
        <v>114</v>
      </c>
      <c r="F6022" t="s">
        <v>49</v>
      </c>
      <c r="G6022" s="1">
        <v>45610</v>
      </c>
      <c r="H6022" s="1">
        <v>45611</v>
      </c>
      <c r="I6022" s="1">
        <v>45636</v>
      </c>
      <c r="J6022">
        <v>5</v>
      </c>
      <c r="K6022">
        <v>1.63</v>
      </c>
      <c r="L6022">
        <v>0</v>
      </c>
      <c r="M6022">
        <v>1.3</v>
      </c>
      <c r="N6022">
        <v>6.5</v>
      </c>
      <c r="O6022">
        <v>4.87</v>
      </c>
      <c r="P6022" t="s">
        <v>291</v>
      </c>
      <c r="Q6022"/>
      <c r="R6022"/>
      <c r="S6022"/>
      <c r="T6022"/>
      <c r="U6022"/>
      <c r="V6022"/>
      <c r="W6022"/>
      <c r="X6022"/>
      <c r="Y6022"/>
      <c r="Z6022"/>
      <c r="AA6022"/>
      <c r="AB6022"/>
      <c r="AC6022"/>
    </row>
    <row r="6023" spans="1:29" x14ac:dyDescent="0.3">
      <c r="A6023" s="12" t="s">
        <v>1370</v>
      </c>
      <c r="B6023" t="s">
        <v>159</v>
      </c>
      <c r="C6023" t="s">
        <v>123</v>
      </c>
      <c r="D6023" t="s">
        <v>110</v>
      </c>
      <c r="E6023" t="s">
        <v>114</v>
      </c>
      <c r="F6023" t="s">
        <v>28</v>
      </c>
      <c r="G6023" s="1">
        <v>45616</v>
      </c>
      <c r="H6023" s="1">
        <v>45617</v>
      </c>
      <c r="I6023" s="1">
        <v>45638</v>
      </c>
      <c r="J6023">
        <v>56</v>
      </c>
      <c r="K6023">
        <v>11.62</v>
      </c>
      <c r="L6023">
        <v>0</v>
      </c>
      <c r="M6023">
        <v>0.83</v>
      </c>
      <c r="N6023">
        <v>46.48</v>
      </c>
      <c r="O6023">
        <v>34.86</v>
      </c>
      <c r="P6023" t="s">
        <v>291</v>
      </c>
      <c r="Q6023"/>
      <c r="R6023"/>
      <c r="S6023"/>
      <c r="T6023"/>
      <c r="U6023"/>
      <c r="V6023"/>
      <c r="W6023"/>
      <c r="X6023"/>
      <c r="Y6023"/>
      <c r="Z6023"/>
      <c r="AA6023"/>
      <c r="AB6023"/>
      <c r="AC6023"/>
    </row>
    <row r="6024" spans="1:29" x14ac:dyDescent="0.3">
      <c r="A6024" s="12" t="s">
        <v>1370</v>
      </c>
      <c r="B6024" t="s">
        <v>159</v>
      </c>
      <c r="C6024" t="s">
        <v>123</v>
      </c>
      <c r="D6024" t="s">
        <v>97</v>
      </c>
      <c r="E6024"/>
      <c r="F6024"/>
      <c r="G6024"/>
      <c r="H6024"/>
      <c r="I6024"/>
      <c r="J6024"/>
      <c r="K6024">
        <v>-1.85</v>
      </c>
      <c r="L6024">
        <v>0</v>
      </c>
      <c r="M6024"/>
      <c r="N6024">
        <v>-7.42</v>
      </c>
      <c r="O6024">
        <v>-5.57</v>
      </c>
      <c r="P6024"/>
      <c r="Q6024"/>
      <c r="R6024"/>
      <c r="S6024"/>
      <c r="T6024"/>
      <c r="U6024"/>
      <c r="V6024"/>
      <c r="W6024"/>
      <c r="X6024"/>
      <c r="Y6024"/>
      <c r="Z6024"/>
      <c r="AA6024"/>
      <c r="AB6024"/>
      <c r="AC6024"/>
    </row>
    <row r="6025" spans="1:29" x14ac:dyDescent="0.3">
      <c r="A6025" s="12" t="s">
        <v>1370</v>
      </c>
      <c r="B6025" t="s">
        <v>159</v>
      </c>
      <c r="C6025" t="s">
        <v>123</v>
      </c>
      <c r="D6025" t="s">
        <v>293</v>
      </c>
      <c r="E6025"/>
      <c r="F6025"/>
      <c r="G6025"/>
      <c r="H6025"/>
      <c r="I6025"/>
      <c r="J6025"/>
      <c r="K6025"/>
      <c r="L6025"/>
      <c r="M6025"/>
      <c r="N6025"/>
      <c r="O6025">
        <v>39.729999999999997</v>
      </c>
      <c r="P6025"/>
      <c r="Q6025"/>
      <c r="R6025"/>
      <c r="S6025"/>
      <c r="T6025"/>
      <c r="U6025"/>
      <c r="V6025"/>
      <c r="W6025"/>
      <c r="X6025"/>
      <c r="Y6025"/>
      <c r="Z6025"/>
      <c r="AA6025"/>
      <c r="AB6025"/>
      <c r="AC6025"/>
    </row>
    <row r="6026" spans="1:29" x14ac:dyDescent="0.3">
      <c r="A6026" s="12" t="s">
        <v>1370</v>
      </c>
      <c r="B6026" t="s">
        <v>294</v>
      </c>
      <c r="C6026" t="s">
        <v>120</v>
      </c>
      <c r="D6026" t="s">
        <v>100</v>
      </c>
      <c r="E6026" t="s">
        <v>0</v>
      </c>
      <c r="F6026" t="s">
        <v>269</v>
      </c>
      <c r="G6026" t="s">
        <v>295</v>
      </c>
      <c r="H6026" t="s">
        <v>296</v>
      </c>
      <c r="I6026" t="s">
        <v>1235</v>
      </c>
      <c r="J6026" t="s">
        <v>297</v>
      </c>
      <c r="K6026" t="s">
        <v>298</v>
      </c>
      <c r="L6026" t="s">
        <v>299</v>
      </c>
      <c r="M6026" t="s">
        <v>165</v>
      </c>
      <c r="N6026"/>
      <c r="O6026"/>
      <c r="P6026"/>
      <c r="Q6026"/>
      <c r="R6026"/>
      <c r="S6026"/>
      <c r="T6026"/>
      <c r="U6026"/>
      <c r="V6026"/>
      <c r="W6026"/>
      <c r="X6026"/>
      <c r="Y6026"/>
      <c r="Z6026"/>
      <c r="AA6026"/>
      <c r="AB6026"/>
      <c r="AC6026"/>
    </row>
    <row r="6027" spans="1:29" x14ac:dyDescent="0.3">
      <c r="A6027" s="12" t="s">
        <v>1370</v>
      </c>
      <c r="B6027" t="s">
        <v>294</v>
      </c>
      <c r="C6027" t="s">
        <v>123</v>
      </c>
      <c r="D6027" t="s">
        <v>110</v>
      </c>
      <c r="E6027" t="s">
        <v>45</v>
      </c>
      <c r="F6027" t="s">
        <v>692</v>
      </c>
      <c r="G6027">
        <v>4391</v>
      </c>
      <c r="H6027" t="s">
        <v>693</v>
      </c>
      <c r="I6027" t="s">
        <v>45</v>
      </c>
      <c r="J6027" t="s">
        <v>302</v>
      </c>
      <c r="K6027">
        <v>1</v>
      </c>
      <c r="L6027" t="s">
        <v>303</v>
      </c>
      <c r="M6027"/>
      <c r="N6027"/>
      <c r="O6027"/>
      <c r="P6027"/>
      <c r="Q6027"/>
      <c r="R6027"/>
      <c r="S6027"/>
      <c r="T6027"/>
      <c r="U6027"/>
      <c r="V6027"/>
      <c r="W6027"/>
      <c r="X6027"/>
      <c r="Y6027"/>
      <c r="Z6027"/>
      <c r="AA6027"/>
      <c r="AB6027"/>
      <c r="AC6027"/>
    </row>
    <row r="6028" spans="1:29" x14ac:dyDescent="0.3">
      <c r="A6028" s="12" t="s">
        <v>1370</v>
      </c>
      <c r="B6028" t="s">
        <v>294</v>
      </c>
      <c r="C6028" t="s">
        <v>123</v>
      </c>
      <c r="D6028" t="s">
        <v>110</v>
      </c>
      <c r="E6028" t="s">
        <v>4</v>
      </c>
      <c r="F6028" t="s">
        <v>304</v>
      </c>
      <c r="G6028">
        <v>99831145</v>
      </c>
      <c r="H6028" t="s">
        <v>305</v>
      </c>
      <c r="I6028" t="s">
        <v>4</v>
      </c>
      <c r="J6028" t="s">
        <v>306</v>
      </c>
      <c r="K6028">
        <v>1</v>
      </c>
      <c r="L6028" t="s">
        <v>307</v>
      </c>
      <c r="M6028"/>
      <c r="N6028"/>
      <c r="O6028"/>
      <c r="P6028"/>
      <c r="Q6028"/>
      <c r="R6028"/>
      <c r="S6028"/>
      <c r="T6028"/>
      <c r="U6028"/>
      <c r="V6028"/>
      <c r="W6028"/>
      <c r="X6028"/>
      <c r="Y6028"/>
      <c r="Z6028"/>
      <c r="AA6028"/>
      <c r="AB6028"/>
      <c r="AC6028"/>
    </row>
    <row r="6029" spans="1:29" x14ac:dyDescent="0.3">
      <c r="A6029" s="12" t="s">
        <v>1370</v>
      </c>
      <c r="B6029" t="s">
        <v>294</v>
      </c>
      <c r="C6029" t="s">
        <v>123</v>
      </c>
      <c r="D6029" t="s">
        <v>110</v>
      </c>
      <c r="E6029" t="s">
        <v>7</v>
      </c>
      <c r="F6029" t="s">
        <v>312</v>
      </c>
      <c r="G6029">
        <v>313130367</v>
      </c>
      <c r="H6029" t="s">
        <v>313</v>
      </c>
      <c r="I6029" t="s">
        <v>7</v>
      </c>
      <c r="J6029" t="s">
        <v>302</v>
      </c>
      <c r="K6029">
        <v>1</v>
      </c>
      <c r="L6029" t="s">
        <v>303</v>
      </c>
      <c r="M6029"/>
      <c r="N6029"/>
      <c r="O6029"/>
      <c r="P6029"/>
      <c r="Q6029"/>
      <c r="R6029"/>
      <c r="S6029"/>
      <c r="T6029"/>
      <c r="U6029"/>
      <c r="V6029"/>
      <c r="W6029"/>
      <c r="X6029"/>
      <c r="Y6029"/>
      <c r="Z6029"/>
      <c r="AA6029"/>
      <c r="AB6029"/>
      <c r="AC6029"/>
    </row>
    <row r="6030" spans="1:29" x14ac:dyDescent="0.3">
      <c r="A6030" s="12" t="s">
        <v>1370</v>
      </c>
      <c r="B6030" t="s">
        <v>294</v>
      </c>
      <c r="C6030" t="s">
        <v>123</v>
      </c>
      <c r="D6030" t="s">
        <v>110</v>
      </c>
      <c r="E6030" t="s">
        <v>1373</v>
      </c>
      <c r="F6030" t="s">
        <v>1418</v>
      </c>
      <c r="G6030">
        <v>268084</v>
      </c>
      <c r="H6030" t="s">
        <v>1419</v>
      </c>
      <c r="I6030" t="s">
        <v>1373</v>
      </c>
      <c r="J6030" t="s">
        <v>302</v>
      </c>
      <c r="K6030">
        <v>1</v>
      </c>
      <c r="L6030" t="s">
        <v>303</v>
      </c>
      <c r="M6030"/>
      <c r="N6030"/>
      <c r="O6030"/>
      <c r="P6030"/>
      <c r="Q6030"/>
      <c r="R6030"/>
      <c r="S6030"/>
      <c r="T6030"/>
      <c r="U6030"/>
      <c r="V6030"/>
      <c r="W6030"/>
      <c r="X6030"/>
      <c r="Y6030"/>
      <c r="Z6030"/>
      <c r="AA6030"/>
      <c r="AB6030"/>
      <c r="AC6030"/>
    </row>
    <row r="6031" spans="1:29" x14ac:dyDescent="0.3">
      <c r="A6031" s="12" t="s">
        <v>1370</v>
      </c>
      <c r="B6031" t="s">
        <v>294</v>
      </c>
      <c r="C6031" t="s">
        <v>123</v>
      </c>
      <c r="D6031" t="s">
        <v>110</v>
      </c>
      <c r="E6031" t="s">
        <v>1155</v>
      </c>
      <c r="F6031" t="s">
        <v>1236</v>
      </c>
      <c r="G6031">
        <v>346218218</v>
      </c>
      <c r="H6031" t="s">
        <v>1237</v>
      </c>
      <c r="I6031" t="s">
        <v>1155</v>
      </c>
      <c r="J6031" t="s">
        <v>306</v>
      </c>
      <c r="K6031">
        <v>1</v>
      </c>
      <c r="L6031" t="s">
        <v>303</v>
      </c>
      <c r="M6031"/>
      <c r="N6031"/>
      <c r="O6031"/>
      <c r="P6031"/>
      <c r="Q6031"/>
      <c r="R6031"/>
      <c r="S6031"/>
      <c r="T6031"/>
      <c r="U6031"/>
      <c r="V6031"/>
      <c r="W6031"/>
      <c r="X6031"/>
      <c r="Y6031"/>
      <c r="Z6031"/>
      <c r="AA6031"/>
      <c r="AB6031"/>
      <c r="AC6031"/>
    </row>
    <row r="6032" spans="1:29" x14ac:dyDescent="0.3">
      <c r="A6032" s="12" t="s">
        <v>1370</v>
      </c>
      <c r="B6032" t="s">
        <v>294</v>
      </c>
      <c r="C6032" t="s">
        <v>123</v>
      </c>
      <c r="D6032" t="s">
        <v>110</v>
      </c>
      <c r="E6032" t="s">
        <v>18</v>
      </c>
      <c r="F6032" t="s">
        <v>336</v>
      </c>
      <c r="G6032">
        <v>7496</v>
      </c>
      <c r="H6032" t="s">
        <v>337</v>
      </c>
      <c r="I6032" t="s">
        <v>18</v>
      </c>
      <c r="J6032" t="s">
        <v>306</v>
      </c>
      <c r="K6032">
        <v>1</v>
      </c>
      <c r="L6032" t="s">
        <v>303</v>
      </c>
      <c r="M6032"/>
      <c r="N6032"/>
      <c r="O6032"/>
      <c r="P6032"/>
      <c r="Q6032"/>
      <c r="R6032"/>
      <c r="S6032"/>
      <c r="T6032"/>
      <c r="U6032"/>
      <c r="V6032"/>
      <c r="W6032"/>
      <c r="X6032"/>
      <c r="Y6032"/>
      <c r="Z6032"/>
      <c r="AA6032"/>
      <c r="AB6032"/>
      <c r="AC6032"/>
    </row>
    <row r="6033" spans="1:29" x14ac:dyDescent="0.3">
      <c r="A6033" s="12" t="s">
        <v>1370</v>
      </c>
      <c r="B6033" t="s">
        <v>294</v>
      </c>
      <c r="C6033" t="s">
        <v>123</v>
      </c>
      <c r="D6033" t="s">
        <v>110</v>
      </c>
      <c r="E6033" t="s">
        <v>48</v>
      </c>
      <c r="F6033" t="s">
        <v>1238</v>
      </c>
      <c r="G6033">
        <v>498843743</v>
      </c>
      <c r="H6033" t="s">
        <v>699</v>
      </c>
      <c r="I6033" t="s">
        <v>48</v>
      </c>
      <c r="J6033" t="s">
        <v>306</v>
      </c>
      <c r="K6033">
        <v>1</v>
      </c>
      <c r="L6033" t="s">
        <v>303</v>
      </c>
      <c r="M6033"/>
      <c r="N6033"/>
      <c r="O6033"/>
      <c r="P6033"/>
      <c r="Q6033"/>
      <c r="R6033"/>
      <c r="S6033"/>
      <c r="T6033"/>
      <c r="U6033"/>
      <c r="V6033"/>
      <c r="W6033"/>
      <c r="X6033"/>
      <c r="Y6033"/>
      <c r="Z6033"/>
      <c r="AA6033"/>
      <c r="AB6033"/>
      <c r="AC6033"/>
    </row>
    <row r="6034" spans="1:29" x14ac:dyDescent="0.3">
      <c r="A6034" s="12" t="s">
        <v>1370</v>
      </c>
      <c r="B6034" t="s">
        <v>294</v>
      </c>
      <c r="C6034" t="s">
        <v>123</v>
      </c>
      <c r="D6034" t="s">
        <v>110</v>
      </c>
      <c r="E6034" t="s">
        <v>54</v>
      </c>
      <c r="F6034" t="s">
        <v>761</v>
      </c>
      <c r="G6034">
        <v>691984365</v>
      </c>
      <c r="H6034" t="s">
        <v>762</v>
      </c>
      <c r="I6034" t="s">
        <v>54</v>
      </c>
      <c r="J6034" t="s">
        <v>306</v>
      </c>
      <c r="K6034">
        <v>1</v>
      </c>
      <c r="L6034" t="s">
        <v>303</v>
      </c>
      <c r="M6034"/>
      <c r="N6034"/>
      <c r="O6034"/>
      <c r="P6034"/>
      <c r="Q6034"/>
      <c r="R6034"/>
      <c r="S6034"/>
      <c r="T6034"/>
      <c r="U6034"/>
      <c r="V6034"/>
      <c r="W6034"/>
      <c r="X6034"/>
      <c r="Y6034"/>
      <c r="Z6034"/>
      <c r="AA6034"/>
      <c r="AB6034"/>
      <c r="AC6034"/>
    </row>
    <row r="6035" spans="1:29" x14ac:dyDescent="0.3">
      <c r="A6035" s="12" t="s">
        <v>1370</v>
      </c>
      <c r="B6035" t="s">
        <v>294</v>
      </c>
      <c r="C6035" t="s">
        <v>123</v>
      </c>
      <c r="D6035" t="s">
        <v>110</v>
      </c>
      <c r="E6035" t="s">
        <v>19</v>
      </c>
      <c r="F6035" t="s">
        <v>338</v>
      </c>
      <c r="G6035">
        <v>208813719</v>
      </c>
      <c r="H6035" t="s">
        <v>339</v>
      </c>
      <c r="I6035" t="s">
        <v>19</v>
      </c>
      <c r="J6035" t="s">
        <v>302</v>
      </c>
      <c r="K6035">
        <v>1</v>
      </c>
      <c r="L6035" t="s">
        <v>303</v>
      </c>
      <c r="M6035"/>
      <c r="N6035"/>
      <c r="O6035"/>
      <c r="P6035"/>
      <c r="Q6035"/>
      <c r="R6035"/>
      <c r="S6035"/>
      <c r="T6035"/>
      <c r="U6035"/>
      <c r="V6035"/>
      <c r="W6035"/>
      <c r="X6035"/>
      <c r="Y6035"/>
      <c r="Z6035"/>
      <c r="AA6035"/>
      <c r="AB6035"/>
      <c r="AC6035"/>
    </row>
    <row r="6036" spans="1:29" x14ac:dyDescent="0.3">
      <c r="A6036" s="12" t="s">
        <v>1370</v>
      </c>
      <c r="B6036" t="s">
        <v>294</v>
      </c>
      <c r="C6036" t="s">
        <v>123</v>
      </c>
      <c r="D6036" t="s">
        <v>110</v>
      </c>
      <c r="E6036" t="s">
        <v>1374</v>
      </c>
      <c r="F6036" t="s">
        <v>1420</v>
      </c>
      <c r="G6036">
        <v>180350774</v>
      </c>
      <c r="H6036" t="s">
        <v>1421</v>
      </c>
      <c r="I6036" t="s">
        <v>1374</v>
      </c>
      <c r="J6036" t="s">
        <v>306</v>
      </c>
      <c r="K6036">
        <v>1</v>
      </c>
      <c r="L6036" t="s">
        <v>307</v>
      </c>
      <c r="M6036"/>
      <c r="N6036"/>
      <c r="O6036"/>
      <c r="P6036"/>
      <c r="Q6036"/>
      <c r="R6036"/>
      <c r="S6036"/>
      <c r="T6036"/>
      <c r="U6036"/>
      <c r="V6036"/>
      <c r="W6036"/>
      <c r="X6036"/>
      <c r="Y6036"/>
      <c r="Z6036"/>
      <c r="AA6036"/>
      <c r="AB6036"/>
      <c r="AC6036"/>
    </row>
    <row r="6037" spans="1:29" x14ac:dyDescent="0.3">
      <c r="A6037" s="12" t="s">
        <v>1370</v>
      </c>
      <c r="B6037" t="s">
        <v>294</v>
      </c>
      <c r="C6037" t="s">
        <v>123</v>
      </c>
      <c r="D6037" t="s">
        <v>110</v>
      </c>
      <c r="E6037" t="s">
        <v>1253</v>
      </c>
      <c r="F6037" t="s">
        <v>1346</v>
      </c>
      <c r="G6037">
        <v>39046959</v>
      </c>
      <c r="H6037" t="s">
        <v>1347</v>
      </c>
      <c r="I6037" t="s">
        <v>1253</v>
      </c>
      <c r="J6037" t="s">
        <v>1348</v>
      </c>
      <c r="K6037">
        <v>1</v>
      </c>
      <c r="L6037" t="s">
        <v>413</v>
      </c>
      <c r="M6037"/>
      <c r="N6037"/>
      <c r="O6037"/>
      <c r="P6037"/>
      <c r="Q6037"/>
      <c r="R6037"/>
      <c r="S6037"/>
      <c r="T6037"/>
      <c r="U6037"/>
      <c r="V6037"/>
      <c r="W6037"/>
      <c r="X6037"/>
      <c r="Y6037"/>
      <c r="Z6037"/>
      <c r="AA6037"/>
      <c r="AB6037"/>
      <c r="AC6037"/>
    </row>
    <row r="6038" spans="1:29" x14ac:dyDescent="0.3">
      <c r="A6038" s="12" t="s">
        <v>1370</v>
      </c>
      <c r="B6038" t="s">
        <v>294</v>
      </c>
      <c r="C6038" t="s">
        <v>123</v>
      </c>
      <c r="D6038" t="s">
        <v>110</v>
      </c>
      <c r="E6038" t="s">
        <v>1254</v>
      </c>
      <c r="F6038" t="s">
        <v>1349</v>
      </c>
      <c r="G6038">
        <v>9579970</v>
      </c>
      <c r="H6038" t="s">
        <v>1350</v>
      </c>
      <c r="I6038" t="s">
        <v>1254</v>
      </c>
      <c r="J6038" t="s">
        <v>623</v>
      </c>
      <c r="K6038">
        <v>1</v>
      </c>
      <c r="L6038" t="s">
        <v>413</v>
      </c>
      <c r="M6038"/>
      <c r="N6038"/>
      <c r="O6038"/>
      <c r="P6038"/>
      <c r="Q6038"/>
      <c r="R6038"/>
      <c r="S6038"/>
      <c r="T6038"/>
      <c r="U6038"/>
      <c r="V6038"/>
      <c r="W6038"/>
      <c r="X6038"/>
      <c r="Y6038"/>
      <c r="Z6038"/>
      <c r="AA6038"/>
      <c r="AB6038"/>
      <c r="AC6038"/>
    </row>
    <row r="6039" spans="1:29" x14ac:dyDescent="0.3">
      <c r="A6039" s="12" t="s">
        <v>1370</v>
      </c>
      <c r="B6039" t="s">
        <v>294</v>
      </c>
      <c r="C6039" t="s">
        <v>123</v>
      </c>
      <c r="D6039" t="s">
        <v>110</v>
      </c>
      <c r="E6039" t="s">
        <v>70</v>
      </c>
      <c r="F6039" t="s">
        <v>954</v>
      </c>
      <c r="G6039">
        <v>1520593</v>
      </c>
      <c r="H6039" t="s">
        <v>955</v>
      </c>
      <c r="I6039" t="s">
        <v>70</v>
      </c>
      <c r="J6039" t="s">
        <v>306</v>
      </c>
      <c r="K6039">
        <v>1</v>
      </c>
      <c r="L6039" t="s">
        <v>303</v>
      </c>
      <c r="M6039"/>
      <c r="N6039"/>
      <c r="O6039"/>
      <c r="P6039"/>
      <c r="Q6039"/>
      <c r="R6039"/>
      <c r="S6039"/>
      <c r="T6039"/>
      <c r="U6039"/>
      <c r="V6039"/>
      <c r="W6039"/>
      <c r="X6039"/>
      <c r="Y6039"/>
      <c r="Z6039"/>
      <c r="AA6039"/>
      <c r="AB6039"/>
      <c r="AC6039"/>
    </row>
    <row r="6040" spans="1:29" x14ac:dyDescent="0.3">
      <c r="A6040" s="12" t="s">
        <v>1370</v>
      </c>
      <c r="B6040" t="s">
        <v>294</v>
      </c>
      <c r="C6040" t="s">
        <v>123</v>
      </c>
      <c r="D6040" t="s">
        <v>110</v>
      </c>
      <c r="E6040" t="s">
        <v>49</v>
      </c>
      <c r="F6040" t="s">
        <v>700</v>
      </c>
      <c r="G6040">
        <v>9160</v>
      </c>
      <c r="H6040" t="s">
        <v>701</v>
      </c>
      <c r="I6040" t="s">
        <v>49</v>
      </c>
      <c r="J6040" t="s">
        <v>306</v>
      </c>
      <c r="K6040">
        <v>1</v>
      </c>
      <c r="L6040" t="s">
        <v>303</v>
      </c>
      <c r="M6040"/>
      <c r="N6040"/>
      <c r="O6040"/>
      <c r="P6040"/>
      <c r="Q6040"/>
      <c r="R6040"/>
      <c r="S6040"/>
      <c r="T6040"/>
      <c r="U6040"/>
      <c r="V6040"/>
      <c r="W6040"/>
      <c r="X6040"/>
      <c r="Y6040"/>
      <c r="Z6040"/>
      <c r="AA6040"/>
      <c r="AB6040"/>
      <c r="AC6040"/>
    </row>
    <row r="6041" spans="1:29" x14ac:dyDescent="0.3">
      <c r="A6041" s="12" t="s">
        <v>1370</v>
      </c>
      <c r="B6041" t="s">
        <v>294</v>
      </c>
      <c r="C6041" t="s">
        <v>123</v>
      </c>
      <c r="D6041" t="s">
        <v>110</v>
      </c>
      <c r="E6041" t="s">
        <v>1375</v>
      </c>
      <c r="F6041" t="s">
        <v>1422</v>
      </c>
      <c r="G6041">
        <v>483492393</v>
      </c>
      <c r="H6041" t="s">
        <v>1423</v>
      </c>
      <c r="I6041" t="s">
        <v>1375</v>
      </c>
      <c r="J6041" t="s">
        <v>302</v>
      </c>
      <c r="K6041">
        <v>1</v>
      </c>
      <c r="L6041" t="s">
        <v>303</v>
      </c>
      <c r="M6041"/>
      <c r="N6041"/>
      <c r="O6041"/>
      <c r="P6041"/>
      <c r="Q6041"/>
      <c r="R6041"/>
      <c r="S6041"/>
      <c r="T6041"/>
      <c r="U6041"/>
      <c r="V6041"/>
      <c r="W6041"/>
      <c r="X6041"/>
      <c r="Y6041"/>
      <c r="Z6041"/>
      <c r="AA6041"/>
      <c r="AB6041"/>
      <c r="AC6041"/>
    </row>
    <row r="6042" spans="1:29" x14ac:dyDescent="0.3">
      <c r="A6042" s="12" t="s">
        <v>1370</v>
      </c>
      <c r="B6042" t="s">
        <v>294</v>
      </c>
      <c r="C6042" t="s">
        <v>123</v>
      </c>
      <c r="D6042" t="s">
        <v>110</v>
      </c>
      <c r="E6042" t="s">
        <v>28</v>
      </c>
      <c r="F6042" t="s">
        <v>356</v>
      </c>
      <c r="G6042">
        <v>272093</v>
      </c>
      <c r="H6042" t="s">
        <v>357</v>
      </c>
      <c r="I6042" t="s">
        <v>28</v>
      </c>
      <c r="J6042" t="s">
        <v>302</v>
      </c>
      <c r="K6042">
        <v>1</v>
      </c>
      <c r="L6042" t="s">
        <v>303</v>
      </c>
      <c r="M6042"/>
      <c r="N6042"/>
      <c r="O6042"/>
      <c r="P6042"/>
      <c r="Q6042"/>
      <c r="R6042"/>
      <c r="S6042"/>
      <c r="T6042"/>
      <c r="U6042"/>
      <c r="V6042"/>
      <c r="W6042"/>
      <c r="X6042"/>
      <c r="Y6042"/>
      <c r="Z6042"/>
      <c r="AA6042"/>
      <c r="AB6042"/>
      <c r="AC6042"/>
    </row>
    <row r="6043" spans="1:29" x14ac:dyDescent="0.3">
      <c r="A6043" s="12" t="s">
        <v>1370</v>
      </c>
      <c r="B6043" t="s">
        <v>294</v>
      </c>
      <c r="C6043" t="s">
        <v>123</v>
      </c>
      <c r="D6043" t="s">
        <v>110</v>
      </c>
      <c r="E6043" t="s">
        <v>71</v>
      </c>
      <c r="F6043" t="s">
        <v>956</v>
      </c>
      <c r="G6043">
        <v>4815747</v>
      </c>
      <c r="H6043" t="s">
        <v>957</v>
      </c>
      <c r="I6043" t="s">
        <v>71</v>
      </c>
      <c r="J6043" t="s">
        <v>302</v>
      </c>
      <c r="K6043">
        <v>1</v>
      </c>
      <c r="L6043" t="s">
        <v>303</v>
      </c>
      <c r="M6043"/>
      <c r="N6043"/>
      <c r="O6043"/>
      <c r="P6043"/>
      <c r="Q6043"/>
      <c r="R6043"/>
      <c r="S6043"/>
      <c r="T6043"/>
      <c r="U6043"/>
      <c r="V6043"/>
      <c r="W6043"/>
      <c r="X6043"/>
      <c r="Y6043"/>
      <c r="Z6043"/>
      <c r="AA6043"/>
      <c r="AB6043"/>
      <c r="AC6043"/>
    </row>
    <row r="6044" spans="1:29" x14ac:dyDescent="0.3">
      <c r="A6044" s="12" t="s">
        <v>1370</v>
      </c>
      <c r="B6044" t="s">
        <v>294</v>
      </c>
      <c r="C6044" t="s">
        <v>123</v>
      </c>
      <c r="D6044" t="s">
        <v>110</v>
      </c>
      <c r="E6044" t="s">
        <v>29</v>
      </c>
      <c r="F6044" t="s">
        <v>358</v>
      </c>
      <c r="G6044">
        <v>110619459</v>
      </c>
      <c r="H6044" t="s">
        <v>359</v>
      </c>
      <c r="I6044" t="s">
        <v>29</v>
      </c>
      <c r="J6044" t="s">
        <v>302</v>
      </c>
      <c r="K6044">
        <v>1</v>
      </c>
      <c r="L6044" t="s">
        <v>303</v>
      </c>
      <c r="M6044"/>
      <c r="N6044"/>
      <c r="O6044"/>
      <c r="P6044"/>
      <c r="Q6044"/>
      <c r="R6044"/>
      <c r="S6044"/>
      <c r="T6044"/>
      <c r="U6044"/>
      <c r="V6044"/>
      <c r="W6044"/>
      <c r="X6044"/>
      <c r="Y6044"/>
      <c r="Z6044"/>
      <c r="AA6044"/>
      <c r="AB6044"/>
      <c r="AC6044"/>
    </row>
    <row r="6045" spans="1:29" x14ac:dyDescent="0.3">
      <c r="A6045" s="12" t="s">
        <v>1370</v>
      </c>
      <c r="B6045" t="s">
        <v>294</v>
      </c>
      <c r="C6045" t="s">
        <v>123</v>
      </c>
      <c r="D6045" t="s">
        <v>110</v>
      </c>
      <c r="E6045" t="s">
        <v>82</v>
      </c>
      <c r="F6045" t="s">
        <v>1058</v>
      </c>
      <c r="G6045">
        <v>320227571</v>
      </c>
      <c r="H6045" t="s">
        <v>1059</v>
      </c>
      <c r="I6045" t="s">
        <v>82</v>
      </c>
      <c r="J6045" t="s">
        <v>302</v>
      </c>
      <c r="K6045">
        <v>1</v>
      </c>
      <c r="L6045" t="s">
        <v>413</v>
      </c>
      <c r="M6045"/>
      <c r="N6045"/>
      <c r="O6045"/>
      <c r="P6045"/>
      <c r="Q6045"/>
      <c r="R6045"/>
      <c r="S6045"/>
      <c r="T6045"/>
      <c r="U6045"/>
      <c r="V6045"/>
      <c r="W6045"/>
      <c r="X6045"/>
      <c r="Y6045"/>
      <c r="Z6045"/>
      <c r="AA6045"/>
      <c r="AB6045"/>
      <c r="AC6045"/>
    </row>
    <row r="6046" spans="1:29" x14ac:dyDescent="0.3">
      <c r="A6046" s="12" t="s">
        <v>1370</v>
      </c>
      <c r="B6046" t="s">
        <v>294</v>
      </c>
      <c r="C6046" t="s">
        <v>123</v>
      </c>
      <c r="D6046" t="s">
        <v>110</v>
      </c>
      <c r="E6046" t="s">
        <v>1255</v>
      </c>
      <c r="F6046" t="s">
        <v>1351</v>
      </c>
      <c r="G6046">
        <v>319359375</v>
      </c>
      <c r="H6046" t="s">
        <v>1352</v>
      </c>
      <c r="I6046" t="s">
        <v>1255</v>
      </c>
      <c r="J6046" t="s">
        <v>623</v>
      </c>
      <c r="K6046">
        <v>1</v>
      </c>
      <c r="L6046" t="s">
        <v>413</v>
      </c>
      <c r="M6046"/>
      <c r="N6046"/>
      <c r="O6046"/>
      <c r="P6046"/>
      <c r="Q6046"/>
      <c r="R6046"/>
      <c r="S6046"/>
      <c r="T6046"/>
      <c r="U6046"/>
      <c r="V6046"/>
      <c r="W6046"/>
      <c r="X6046"/>
      <c r="Y6046"/>
      <c r="Z6046"/>
      <c r="AA6046"/>
      <c r="AB6046"/>
      <c r="AC6046"/>
    </row>
    <row r="6047" spans="1:29" x14ac:dyDescent="0.3">
      <c r="A6047" s="12" t="s">
        <v>1370</v>
      </c>
      <c r="B6047" t="s">
        <v>294</v>
      </c>
      <c r="C6047" t="s">
        <v>123</v>
      </c>
      <c r="D6047" t="s">
        <v>110</v>
      </c>
      <c r="E6047" t="s">
        <v>51</v>
      </c>
      <c r="F6047" t="s">
        <v>704</v>
      </c>
      <c r="G6047">
        <v>731466419</v>
      </c>
      <c r="H6047" t="s">
        <v>1353</v>
      </c>
      <c r="I6047" t="s">
        <v>51</v>
      </c>
      <c r="J6047" t="s">
        <v>302</v>
      </c>
      <c r="K6047">
        <v>1</v>
      </c>
      <c r="L6047" t="s">
        <v>303</v>
      </c>
      <c r="M6047"/>
      <c r="N6047"/>
      <c r="O6047"/>
      <c r="P6047"/>
      <c r="Q6047"/>
      <c r="R6047"/>
      <c r="S6047"/>
      <c r="T6047"/>
      <c r="U6047"/>
      <c r="V6047"/>
      <c r="W6047"/>
      <c r="X6047"/>
      <c r="Y6047"/>
      <c r="Z6047"/>
      <c r="AA6047"/>
      <c r="AB6047"/>
      <c r="AC6047"/>
    </row>
    <row r="6048" spans="1:29" x14ac:dyDescent="0.3">
      <c r="A6048" s="12" t="s">
        <v>1370</v>
      </c>
      <c r="B6048" t="s">
        <v>294</v>
      </c>
      <c r="C6048" t="s">
        <v>123</v>
      </c>
      <c r="D6048" t="s">
        <v>110</v>
      </c>
      <c r="E6048" t="s">
        <v>83</v>
      </c>
      <c r="F6048" t="s">
        <v>1060</v>
      </c>
      <c r="G6048">
        <v>12658194</v>
      </c>
      <c r="H6048" t="s">
        <v>1061</v>
      </c>
      <c r="I6048" t="s">
        <v>83</v>
      </c>
      <c r="J6048" t="s">
        <v>302</v>
      </c>
      <c r="K6048">
        <v>1</v>
      </c>
      <c r="L6048" t="s">
        <v>413</v>
      </c>
      <c r="M6048"/>
      <c r="N6048"/>
      <c r="O6048"/>
      <c r="P6048"/>
      <c r="Q6048"/>
      <c r="R6048"/>
      <c r="S6048"/>
      <c r="T6048"/>
      <c r="U6048"/>
      <c r="V6048"/>
      <c r="W6048"/>
      <c r="X6048"/>
      <c r="Y6048"/>
      <c r="Z6048"/>
      <c r="AA6048"/>
      <c r="AB6048"/>
      <c r="AC6048"/>
    </row>
    <row r="6049" spans="1:29" x14ac:dyDescent="0.3">
      <c r="A6049" s="12" t="s">
        <v>1370</v>
      </c>
      <c r="B6049" t="s">
        <v>294</v>
      </c>
      <c r="C6049" t="s">
        <v>123</v>
      </c>
      <c r="D6049" t="s">
        <v>110</v>
      </c>
      <c r="E6049" t="s">
        <v>86</v>
      </c>
      <c r="F6049" t="s">
        <v>1120</v>
      </c>
      <c r="G6049">
        <v>756733</v>
      </c>
      <c r="H6049" t="s">
        <v>1121</v>
      </c>
      <c r="I6049" t="s">
        <v>86</v>
      </c>
      <c r="J6049" t="s">
        <v>623</v>
      </c>
      <c r="K6049">
        <v>1</v>
      </c>
      <c r="L6049" t="s">
        <v>413</v>
      </c>
      <c r="M6049"/>
      <c r="N6049"/>
      <c r="O6049"/>
      <c r="P6049"/>
      <c r="Q6049"/>
      <c r="R6049"/>
      <c r="S6049"/>
      <c r="T6049"/>
      <c r="U6049"/>
      <c r="V6049"/>
      <c r="W6049"/>
      <c r="X6049"/>
      <c r="Y6049"/>
      <c r="Z6049"/>
      <c r="AA6049"/>
      <c r="AB6049"/>
      <c r="AC6049"/>
    </row>
    <row r="6050" spans="1:29" x14ac:dyDescent="0.3">
      <c r="A6050" s="12" t="s">
        <v>1370</v>
      </c>
      <c r="B6050" t="s">
        <v>294</v>
      </c>
      <c r="C6050" t="s">
        <v>123</v>
      </c>
      <c r="D6050" t="s">
        <v>110</v>
      </c>
      <c r="E6050" t="s">
        <v>1256</v>
      </c>
      <c r="F6050" t="s">
        <v>1354</v>
      </c>
      <c r="G6050">
        <v>13206</v>
      </c>
      <c r="H6050" t="s">
        <v>1355</v>
      </c>
      <c r="I6050" t="s">
        <v>1256</v>
      </c>
      <c r="J6050" t="s">
        <v>306</v>
      </c>
      <c r="K6050">
        <v>1</v>
      </c>
      <c r="L6050" t="s">
        <v>303</v>
      </c>
      <c r="M6050"/>
      <c r="N6050"/>
      <c r="O6050"/>
      <c r="P6050"/>
      <c r="Q6050"/>
      <c r="R6050"/>
      <c r="S6050"/>
      <c r="T6050"/>
      <c r="U6050"/>
      <c r="V6050"/>
      <c r="W6050"/>
      <c r="X6050"/>
      <c r="Y6050"/>
      <c r="Z6050"/>
      <c r="AA6050"/>
      <c r="AB6050"/>
      <c r="AC6050"/>
    </row>
    <row r="6051" spans="1:29" x14ac:dyDescent="0.3">
      <c r="A6051" s="12" t="s">
        <v>1370</v>
      </c>
      <c r="B6051" t="s">
        <v>294</v>
      </c>
      <c r="C6051" t="s">
        <v>123</v>
      </c>
      <c r="D6051" t="s">
        <v>110</v>
      </c>
      <c r="E6051" t="s">
        <v>1257</v>
      </c>
      <c r="F6051" t="s">
        <v>1356</v>
      </c>
      <c r="G6051">
        <v>31230302</v>
      </c>
      <c r="H6051" t="s">
        <v>1357</v>
      </c>
      <c r="I6051" t="s">
        <v>1257</v>
      </c>
      <c r="J6051" t="s">
        <v>623</v>
      </c>
      <c r="K6051">
        <v>1</v>
      </c>
      <c r="L6051" t="s">
        <v>413</v>
      </c>
      <c r="M6051"/>
      <c r="N6051"/>
      <c r="O6051"/>
      <c r="P6051"/>
      <c r="Q6051"/>
      <c r="R6051"/>
      <c r="S6051"/>
      <c r="T6051"/>
      <c r="U6051"/>
      <c r="V6051"/>
      <c r="W6051"/>
      <c r="X6051"/>
      <c r="Y6051"/>
      <c r="Z6051"/>
      <c r="AA6051"/>
      <c r="AB6051"/>
      <c r="AC6051"/>
    </row>
    <row r="6052" spans="1:29" x14ac:dyDescent="0.3">
      <c r="A6052" s="12" t="s">
        <v>1370</v>
      </c>
      <c r="B6052" t="s">
        <v>294</v>
      </c>
      <c r="C6052" t="s">
        <v>123</v>
      </c>
      <c r="D6052" t="s">
        <v>110</v>
      </c>
      <c r="E6052" t="s">
        <v>1258</v>
      </c>
      <c r="F6052" t="s">
        <v>1358</v>
      </c>
      <c r="G6052">
        <v>136155102</v>
      </c>
      <c r="H6052" t="s">
        <v>1359</v>
      </c>
      <c r="I6052" t="s">
        <v>1258</v>
      </c>
      <c r="J6052" t="s">
        <v>623</v>
      </c>
      <c r="K6052">
        <v>1</v>
      </c>
      <c r="L6052" t="s">
        <v>413</v>
      </c>
      <c r="M6052"/>
      <c r="N6052"/>
      <c r="O6052"/>
      <c r="P6052"/>
      <c r="Q6052"/>
      <c r="R6052"/>
      <c r="S6052"/>
      <c r="T6052"/>
      <c r="U6052"/>
      <c r="V6052"/>
      <c r="W6052"/>
      <c r="X6052"/>
      <c r="Y6052"/>
      <c r="Z6052"/>
      <c r="AA6052"/>
      <c r="AB6052"/>
      <c r="AC6052"/>
    </row>
    <row r="6053" spans="1:29" x14ac:dyDescent="0.3">
      <c r="A6053" s="12" t="s">
        <v>1370</v>
      </c>
      <c r="B6053" t="s">
        <v>294</v>
      </c>
      <c r="C6053" t="s">
        <v>123</v>
      </c>
      <c r="D6053" t="s">
        <v>110</v>
      </c>
      <c r="E6053" t="s">
        <v>1156</v>
      </c>
      <c r="F6053" t="s">
        <v>1239</v>
      </c>
      <c r="G6053">
        <v>4215200</v>
      </c>
      <c r="H6053" t="s">
        <v>1240</v>
      </c>
      <c r="I6053" t="s">
        <v>1156</v>
      </c>
      <c r="J6053" t="s">
        <v>623</v>
      </c>
      <c r="K6053">
        <v>1</v>
      </c>
      <c r="L6053" t="s">
        <v>413</v>
      </c>
      <c r="M6053"/>
      <c r="N6053"/>
      <c r="O6053"/>
      <c r="P6053"/>
      <c r="Q6053"/>
      <c r="R6053"/>
      <c r="S6053"/>
      <c r="T6053"/>
      <c r="U6053"/>
      <c r="V6053"/>
      <c r="W6053"/>
      <c r="X6053"/>
      <c r="Y6053"/>
      <c r="Z6053"/>
      <c r="AA6053"/>
      <c r="AB6053"/>
      <c r="AC6053"/>
    </row>
    <row r="6054" spans="1:29" x14ac:dyDescent="0.3">
      <c r="A6054" s="12" t="s">
        <v>1370</v>
      </c>
      <c r="B6054" t="s">
        <v>294</v>
      </c>
      <c r="C6054" t="s">
        <v>123</v>
      </c>
      <c r="D6054" t="s">
        <v>110</v>
      </c>
      <c r="E6054" t="s">
        <v>62</v>
      </c>
      <c r="F6054" t="s">
        <v>842</v>
      </c>
      <c r="G6054">
        <v>4215220</v>
      </c>
      <c r="H6054" t="s">
        <v>843</v>
      </c>
      <c r="I6054" t="s">
        <v>62</v>
      </c>
      <c r="J6054" t="s">
        <v>623</v>
      </c>
      <c r="K6054">
        <v>1</v>
      </c>
      <c r="L6054" t="s">
        <v>413</v>
      </c>
      <c r="M6054"/>
      <c r="N6054"/>
      <c r="O6054"/>
      <c r="P6054"/>
      <c r="Q6054"/>
      <c r="R6054"/>
      <c r="S6054"/>
      <c r="T6054"/>
      <c r="U6054"/>
      <c r="V6054"/>
      <c r="W6054"/>
      <c r="X6054"/>
      <c r="Y6054"/>
      <c r="Z6054"/>
      <c r="AA6054"/>
      <c r="AB6054"/>
      <c r="AC6054"/>
    </row>
    <row r="6055" spans="1:29" x14ac:dyDescent="0.3">
      <c r="A6055" s="12" t="s">
        <v>1370</v>
      </c>
      <c r="B6055" t="s">
        <v>294</v>
      </c>
      <c r="C6055" t="s">
        <v>123</v>
      </c>
      <c r="D6055" t="s">
        <v>110</v>
      </c>
      <c r="E6055" t="s">
        <v>41</v>
      </c>
      <c r="F6055" t="s">
        <v>621</v>
      </c>
      <c r="G6055">
        <v>319359438</v>
      </c>
      <c r="H6055" t="s">
        <v>622</v>
      </c>
      <c r="I6055" t="s">
        <v>41</v>
      </c>
      <c r="J6055" t="s">
        <v>623</v>
      </c>
      <c r="K6055">
        <v>1</v>
      </c>
      <c r="L6055" t="s">
        <v>413</v>
      </c>
      <c r="M6055"/>
      <c r="N6055"/>
      <c r="O6055"/>
      <c r="P6055"/>
      <c r="Q6055"/>
      <c r="R6055"/>
      <c r="S6055"/>
      <c r="T6055"/>
      <c r="U6055"/>
      <c r="V6055"/>
      <c r="W6055"/>
      <c r="X6055"/>
      <c r="Y6055"/>
      <c r="Z6055"/>
      <c r="AA6055"/>
      <c r="AB6055"/>
      <c r="AC6055"/>
    </row>
    <row r="6056" spans="1:29" x14ac:dyDescent="0.3">
      <c r="A6056" s="12" t="s">
        <v>1370</v>
      </c>
      <c r="B6056" t="s">
        <v>294</v>
      </c>
      <c r="C6056" t="s">
        <v>123</v>
      </c>
      <c r="D6056" t="s">
        <v>110</v>
      </c>
      <c r="E6056" t="s">
        <v>79</v>
      </c>
      <c r="F6056" t="s">
        <v>972</v>
      </c>
      <c r="G6056">
        <v>4215227</v>
      </c>
      <c r="H6056" t="s">
        <v>973</v>
      </c>
      <c r="I6056" t="s">
        <v>79</v>
      </c>
      <c r="J6056" t="s">
        <v>623</v>
      </c>
      <c r="K6056">
        <v>1</v>
      </c>
      <c r="L6056" t="s">
        <v>413</v>
      </c>
      <c r="M6056"/>
      <c r="N6056"/>
      <c r="O6056"/>
      <c r="P6056"/>
      <c r="Q6056"/>
      <c r="R6056"/>
      <c r="S6056"/>
      <c r="T6056"/>
      <c r="U6056"/>
      <c r="V6056"/>
      <c r="W6056"/>
      <c r="X6056"/>
      <c r="Y6056"/>
      <c r="Z6056"/>
      <c r="AA6056"/>
      <c r="AB6056"/>
      <c r="AC6056"/>
    </row>
    <row r="6057" spans="1:29" x14ac:dyDescent="0.3">
      <c r="A6057" s="12" t="s">
        <v>1370</v>
      </c>
      <c r="B6057" t="s">
        <v>294</v>
      </c>
      <c r="C6057" t="s">
        <v>123</v>
      </c>
      <c r="D6057" t="s">
        <v>110</v>
      </c>
      <c r="E6057" t="s">
        <v>42</v>
      </c>
      <c r="F6057" t="s">
        <v>624</v>
      </c>
      <c r="G6057">
        <v>4215230</v>
      </c>
      <c r="H6057" t="s">
        <v>625</v>
      </c>
      <c r="I6057" t="s">
        <v>42</v>
      </c>
      <c r="J6057" t="s">
        <v>623</v>
      </c>
      <c r="K6057">
        <v>1</v>
      </c>
      <c r="L6057" t="s">
        <v>413</v>
      </c>
      <c r="M6057"/>
      <c r="N6057"/>
      <c r="O6057"/>
      <c r="P6057"/>
      <c r="Q6057"/>
      <c r="R6057"/>
      <c r="S6057"/>
      <c r="T6057"/>
      <c r="U6057"/>
      <c r="V6057"/>
      <c r="W6057"/>
      <c r="X6057"/>
      <c r="Y6057"/>
      <c r="Z6057"/>
      <c r="AA6057"/>
      <c r="AB6057"/>
      <c r="AC6057"/>
    </row>
    <row r="6058" spans="1:29" x14ac:dyDescent="0.3">
      <c r="A6058" s="12" t="s">
        <v>1370</v>
      </c>
      <c r="B6058" t="s">
        <v>294</v>
      </c>
      <c r="C6058" t="s">
        <v>123</v>
      </c>
      <c r="D6058" t="s">
        <v>110</v>
      </c>
      <c r="E6058" t="s">
        <v>43</v>
      </c>
      <c r="F6058" t="s">
        <v>626</v>
      </c>
      <c r="G6058">
        <v>4215235</v>
      </c>
      <c r="H6058" t="s">
        <v>627</v>
      </c>
      <c r="I6058" t="s">
        <v>43</v>
      </c>
      <c r="J6058" t="s">
        <v>623</v>
      </c>
      <c r="K6058">
        <v>1</v>
      </c>
      <c r="L6058" t="s">
        <v>413</v>
      </c>
      <c r="M6058"/>
      <c r="N6058"/>
      <c r="O6058"/>
      <c r="P6058"/>
      <c r="Q6058"/>
      <c r="R6058"/>
      <c r="S6058"/>
      <c r="T6058"/>
      <c r="U6058"/>
      <c r="V6058"/>
      <c r="W6058"/>
      <c r="X6058"/>
      <c r="Y6058"/>
      <c r="Z6058"/>
      <c r="AA6058"/>
      <c r="AB6058"/>
      <c r="AC6058"/>
    </row>
    <row r="6059" spans="1:29" x14ac:dyDescent="0.3">
      <c r="A6059" s="12" t="s">
        <v>1370</v>
      </c>
      <c r="B6059" t="s">
        <v>294</v>
      </c>
      <c r="C6059" t="s">
        <v>123</v>
      </c>
      <c r="D6059" t="s">
        <v>110</v>
      </c>
      <c r="E6059" t="s">
        <v>44</v>
      </c>
      <c r="F6059" t="s">
        <v>628</v>
      </c>
      <c r="G6059">
        <v>4215205</v>
      </c>
      <c r="H6059" t="s">
        <v>629</v>
      </c>
      <c r="I6059" t="s">
        <v>44</v>
      </c>
      <c r="J6059" t="s">
        <v>623</v>
      </c>
      <c r="K6059">
        <v>1</v>
      </c>
      <c r="L6059" t="s">
        <v>413</v>
      </c>
      <c r="M6059"/>
      <c r="N6059"/>
      <c r="O6059"/>
      <c r="P6059"/>
      <c r="Q6059"/>
      <c r="R6059"/>
      <c r="S6059"/>
      <c r="T6059"/>
      <c r="U6059"/>
      <c r="V6059"/>
      <c r="W6059"/>
      <c r="X6059"/>
      <c r="Y6059"/>
      <c r="Z6059"/>
      <c r="AA6059"/>
      <c r="AB6059"/>
      <c r="AC6059"/>
    </row>
    <row r="6060" spans="1:29" x14ac:dyDescent="0.3">
      <c r="A6060" s="12" t="s">
        <v>1370</v>
      </c>
      <c r="B6060" t="s">
        <v>294</v>
      </c>
      <c r="C6060" t="s">
        <v>123</v>
      </c>
      <c r="D6060" t="s">
        <v>110</v>
      </c>
      <c r="E6060" t="s">
        <v>84</v>
      </c>
      <c r="F6060" t="s">
        <v>1062</v>
      </c>
      <c r="G6060">
        <v>4215215</v>
      </c>
      <c r="H6060" t="s">
        <v>1063</v>
      </c>
      <c r="I6060" t="s">
        <v>84</v>
      </c>
      <c r="J6060" t="s">
        <v>623</v>
      </c>
      <c r="K6060">
        <v>1</v>
      </c>
      <c r="L6060" t="s">
        <v>413</v>
      </c>
      <c r="M6060"/>
      <c r="N6060"/>
      <c r="O6060"/>
      <c r="P6060"/>
      <c r="Q6060"/>
      <c r="R6060"/>
      <c r="S6060"/>
      <c r="T6060"/>
      <c r="U6060"/>
      <c r="V6060"/>
      <c r="W6060"/>
      <c r="X6060"/>
      <c r="Y6060"/>
      <c r="Z6060"/>
      <c r="AA6060"/>
      <c r="AB6060"/>
      <c r="AC6060"/>
    </row>
    <row r="6061" spans="1:29" x14ac:dyDescent="0.3">
      <c r="A6061" s="12" t="s">
        <v>1370</v>
      </c>
      <c r="B6061" t="s">
        <v>294</v>
      </c>
      <c r="C6061" t="s">
        <v>120</v>
      </c>
      <c r="D6061" t="s">
        <v>100</v>
      </c>
      <c r="E6061" t="s">
        <v>0</v>
      </c>
      <c r="F6061" t="s">
        <v>269</v>
      </c>
      <c r="G6061" t="s">
        <v>295</v>
      </c>
      <c r="H6061" t="s">
        <v>1235</v>
      </c>
      <c r="I6061" t="s">
        <v>297</v>
      </c>
      <c r="J6061" t="s">
        <v>298</v>
      </c>
      <c r="K6061" t="s">
        <v>372</v>
      </c>
      <c r="L6061" t="s">
        <v>373</v>
      </c>
      <c r="M6061" t="s">
        <v>165</v>
      </c>
      <c r="N6061"/>
      <c r="O6061"/>
      <c r="P6061"/>
      <c r="Q6061"/>
      <c r="R6061"/>
      <c r="S6061"/>
      <c r="T6061"/>
      <c r="U6061"/>
      <c r="V6061"/>
      <c r="W6061"/>
      <c r="X6061"/>
      <c r="Y6061"/>
      <c r="Z6061"/>
      <c r="AA6061"/>
      <c r="AB6061"/>
      <c r="AC6061"/>
    </row>
    <row r="6062" spans="1:29" x14ac:dyDescent="0.3">
      <c r="A6062" s="12" t="s">
        <v>1370</v>
      </c>
      <c r="B6062" t="s">
        <v>294</v>
      </c>
      <c r="C6062" t="s">
        <v>123</v>
      </c>
      <c r="D6062" t="s">
        <v>112</v>
      </c>
      <c r="E6062" t="s">
        <v>1158</v>
      </c>
      <c r="F6062" t="s">
        <v>1245</v>
      </c>
      <c r="G6062">
        <v>654503320</v>
      </c>
      <c r="H6062" t="s">
        <v>1244</v>
      </c>
      <c r="I6062" t="s">
        <v>375</v>
      </c>
      <c r="J6062">
        <v>2</v>
      </c>
      <c r="K6062" s="1">
        <v>45646</v>
      </c>
      <c r="L6062" t="s">
        <v>1243</v>
      </c>
      <c r="M6062"/>
      <c r="N6062"/>
      <c r="O6062"/>
      <c r="P6062"/>
      <c r="Q6062"/>
      <c r="R6062"/>
      <c r="S6062"/>
      <c r="T6062"/>
      <c r="U6062"/>
      <c r="V6062"/>
      <c r="W6062"/>
      <c r="X6062"/>
      <c r="Y6062"/>
      <c r="Z6062"/>
      <c r="AA6062"/>
      <c r="AB6062"/>
      <c r="AC6062"/>
    </row>
    <row r="6063" spans="1:29" x14ac:dyDescent="0.3">
      <c r="A6063" s="12" t="s">
        <v>1370</v>
      </c>
      <c r="B6063" t="s">
        <v>376</v>
      </c>
      <c r="C6063" t="s">
        <v>120</v>
      </c>
      <c r="D6063" t="s">
        <v>165</v>
      </c>
      <c r="E6063" t="s">
        <v>377</v>
      </c>
      <c r="F6063" t="s">
        <v>378</v>
      </c>
      <c r="G6063" t="s">
        <v>379</v>
      </c>
      <c r="H6063"/>
      <c r="I6063"/>
      <c r="J6063"/>
      <c r="K6063"/>
      <c r="L6063"/>
      <c r="M6063"/>
      <c r="N6063"/>
      <c r="O6063"/>
      <c r="P6063"/>
      <c r="Q6063"/>
      <c r="R6063"/>
      <c r="S6063"/>
      <c r="T6063"/>
      <c r="U6063"/>
      <c r="V6063"/>
      <c r="W6063"/>
      <c r="X6063"/>
      <c r="Y6063"/>
      <c r="Z6063"/>
      <c r="AA6063"/>
      <c r="AB6063"/>
      <c r="AC6063"/>
    </row>
    <row r="6064" spans="1:29" x14ac:dyDescent="0.3">
      <c r="A6064" s="12" t="s">
        <v>1370</v>
      </c>
      <c r="B6064" t="s">
        <v>376</v>
      </c>
      <c r="C6064" t="s">
        <v>123</v>
      </c>
      <c r="D6064" t="s">
        <v>380</v>
      </c>
      <c r="E6064" t="s">
        <v>381</v>
      </c>
      <c r="F6064"/>
      <c r="G6064"/>
      <c r="H6064"/>
      <c r="I6064"/>
      <c r="J6064"/>
      <c r="K6064"/>
      <c r="L6064"/>
      <c r="M6064"/>
      <c r="N6064"/>
      <c r="O6064"/>
      <c r="P6064"/>
      <c r="Q6064"/>
      <c r="R6064"/>
      <c r="S6064"/>
      <c r="T6064"/>
      <c r="U6064"/>
      <c r="V6064"/>
      <c r="W6064"/>
      <c r="X6064"/>
      <c r="Y6064"/>
      <c r="Z6064"/>
      <c r="AA6064"/>
      <c r="AB6064"/>
      <c r="AC6064"/>
    </row>
    <row r="6065" spans="1:29" x14ac:dyDescent="0.3">
      <c r="A6065" s="12" t="s">
        <v>1370</v>
      </c>
      <c r="B6065" t="s">
        <v>376</v>
      </c>
      <c r="C6065" t="s">
        <v>123</v>
      </c>
      <c r="D6065" t="s">
        <v>382</v>
      </c>
      <c r="E6065" t="s">
        <v>383</v>
      </c>
      <c r="F6065"/>
      <c r="G6065"/>
      <c r="H6065"/>
      <c r="I6065"/>
      <c r="J6065"/>
      <c r="K6065"/>
      <c r="L6065"/>
      <c r="M6065"/>
      <c r="N6065"/>
      <c r="O6065"/>
      <c r="P6065"/>
      <c r="Q6065"/>
      <c r="R6065"/>
      <c r="S6065"/>
      <c r="T6065"/>
      <c r="U6065"/>
      <c r="V6065"/>
      <c r="W6065"/>
      <c r="X6065"/>
      <c r="Y6065"/>
      <c r="Z6065"/>
      <c r="AA6065"/>
      <c r="AB6065"/>
      <c r="AC6065"/>
    </row>
    <row r="6066" spans="1:29" x14ac:dyDescent="0.3">
      <c r="A6066" s="12" t="s">
        <v>1370</v>
      </c>
      <c r="B6066" t="s">
        <v>376</v>
      </c>
      <c r="C6066" t="s">
        <v>123</v>
      </c>
      <c r="D6066" t="s">
        <v>384</v>
      </c>
      <c r="E6066" t="s">
        <v>385</v>
      </c>
      <c r="F6066"/>
      <c r="G6066"/>
      <c r="H6066"/>
      <c r="I6066"/>
      <c r="J6066"/>
      <c r="K6066"/>
      <c r="L6066"/>
      <c r="M6066"/>
      <c r="N6066"/>
      <c r="O6066"/>
      <c r="P6066"/>
      <c r="Q6066"/>
      <c r="R6066"/>
      <c r="S6066"/>
      <c r="T6066"/>
      <c r="U6066"/>
      <c r="V6066"/>
      <c r="W6066"/>
      <c r="X6066"/>
      <c r="Y6066"/>
      <c r="Z6066"/>
      <c r="AA6066"/>
      <c r="AB6066"/>
      <c r="AC6066"/>
    </row>
    <row r="6067" spans="1:29" x14ac:dyDescent="0.3">
      <c r="A6067" s="12" t="s">
        <v>1370</v>
      </c>
      <c r="B6067" t="s">
        <v>376</v>
      </c>
      <c r="C6067" t="s">
        <v>123</v>
      </c>
      <c r="D6067" t="s">
        <v>386</v>
      </c>
      <c r="E6067" t="s">
        <v>387</v>
      </c>
      <c r="F6067"/>
      <c r="G6067"/>
      <c r="H6067"/>
      <c r="I6067"/>
      <c r="J6067"/>
      <c r="K6067"/>
      <c r="L6067"/>
      <c r="M6067"/>
      <c r="N6067"/>
      <c r="O6067"/>
      <c r="P6067"/>
      <c r="Q6067"/>
      <c r="R6067"/>
      <c r="S6067"/>
      <c r="T6067"/>
      <c r="U6067"/>
      <c r="V6067"/>
      <c r="W6067"/>
      <c r="X6067"/>
      <c r="Y6067"/>
      <c r="Z6067"/>
      <c r="AA6067"/>
      <c r="AB6067"/>
      <c r="AC6067"/>
    </row>
    <row r="6068" spans="1:29" x14ac:dyDescent="0.3">
      <c r="A6068" s="12" t="s">
        <v>1370</v>
      </c>
      <c r="B6068" t="s">
        <v>376</v>
      </c>
      <c r="C6068" t="s">
        <v>123</v>
      </c>
      <c r="D6068" t="s">
        <v>388</v>
      </c>
      <c r="E6068" t="s">
        <v>389</v>
      </c>
      <c r="F6068"/>
      <c r="G6068"/>
      <c r="H6068"/>
      <c r="I6068"/>
      <c r="J6068"/>
      <c r="K6068"/>
      <c r="L6068"/>
      <c r="M6068"/>
      <c r="N6068"/>
      <c r="O6068"/>
      <c r="P6068"/>
      <c r="Q6068"/>
      <c r="R6068"/>
      <c r="S6068"/>
      <c r="T6068"/>
      <c r="U6068"/>
      <c r="V6068"/>
      <c r="W6068"/>
      <c r="X6068"/>
      <c r="Y6068"/>
      <c r="Z6068"/>
      <c r="AA6068"/>
      <c r="AB6068"/>
      <c r="AC6068"/>
    </row>
    <row r="6069" spans="1:29" x14ac:dyDescent="0.3">
      <c r="A6069" s="12" t="s">
        <v>1370</v>
      </c>
      <c r="B6069" t="s">
        <v>376</v>
      </c>
      <c r="C6069" t="s">
        <v>123</v>
      </c>
      <c r="D6069" t="s">
        <v>390</v>
      </c>
      <c r="E6069" t="s">
        <v>391</v>
      </c>
      <c r="F6069"/>
      <c r="G6069"/>
      <c r="H6069"/>
      <c r="I6069"/>
      <c r="J6069"/>
      <c r="K6069"/>
      <c r="L6069"/>
      <c r="M6069"/>
      <c r="N6069"/>
      <c r="O6069"/>
      <c r="P6069"/>
      <c r="Q6069"/>
      <c r="R6069"/>
      <c r="S6069"/>
      <c r="T6069"/>
      <c r="U6069"/>
      <c r="V6069"/>
      <c r="W6069"/>
      <c r="X6069"/>
      <c r="Y6069"/>
      <c r="Z6069"/>
      <c r="AA6069"/>
      <c r="AB6069"/>
      <c r="AC6069"/>
    </row>
    <row r="6070" spans="1:29" x14ac:dyDescent="0.3">
      <c r="A6070" s="12" t="s">
        <v>1370</v>
      </c>
      <c r="B6070" t="s">
        <v>376</v>
      </c>
      <c r="C6070" t="s">
        <v>123</v>
      </c>
      <c r="D6070" t="s">
        <v>392</v>
      </c>
      <c r="E6070" t="s">
        <v>393</v>
      </c>
      <c r="F6070"/>
      <c r="G6070"/>
      <c r="H6070"/>
      <c r="I6070"/>
      <c r="J6070"/>
      <c r="K6070"/>
      <c r="L6070"/>
      <c r="M6070"/>
      <c r="N6070"/>
      <c r="O6070"/>
      <c r="P6070"/>
      <c r="Q6070"/>
      <c r="R6070"/>
      <c r="S6070"/>
      <c r="T6070"/>
      <c r="U6070"/>
      <c r="V6070"/>
      <c r="W6070"/>
      <c r="X6070"/>
      <c r="Y6070"/>
      <c r="Z6070"/>
      <c r="AA6070"/>
      <c r="AB6070"/>
      <c r="AC6070"/>
    </row>
    <row r="6071" spans="1:29" x14ac:dyDescent="0.3">
      <c r="A6071" s="12" t="s">
        <v>1370</v>
      </c>
      <c r="B6071" t="s">
        <v>376</v>
      </c>
      <c r="C6071" t="s">
        <v>123</v>
      </c>
      <c r="D6071" t="s">
        <v>394</v>
      </c>
      <c r="E6071" t="s">
        <v>395</v>
      </c>
      <c r="F6071"/>
      <c r="G6071"/>
      <c r="H6071"/>
      <c r="I6071"/>
      <c r="J6071"/>
      <c r="K6071"/>
      <c r="L6071"/>
      <c r="M6071"/>
      <c r="N6071"/>
      <c r="O6071"/>
      <c r="P6071"/>
      <c r="Q6071"/>
      <c r="R6071"/>
      <c r="S6071"/>
      <c r="T6071"/>
      <c r="U6071"/>
      <c r="V6071"/>
      <c r="W6071"/>
      <c r="X6071"/>
      <c r="Y6071"/>
      <c r="Z6071"/>
      <c r="AA6071"/>
      <c r="AB6071"/>
      <c r="AC6071"/>
    </row>
    <row r="6072" spans="1:29" x14ac:dyDescent="0.3">
      <c r="A6072" s="12" t="s">
        <v>1370</v>
      </c>
      <c r="B6072" t="s">
        <v>376</v>
      </c>
      <c r="C6072" t="s">
        <v>123</v>
      </c>
      <c r="D6072" t="s">
        <v>396</v>
      </c>
      <c r="E6072" t="s">
        <v>397</v>
      </c>
      <c r="F6072"/>
      <c r="G6072"/>
      <c r="H6072"/>
      <c r="I6072"/>
      <c r="J6072"/>
      <c r="K6072"/>
      <c r="L6072"/>
      <c r="M6072"/>
      <c r="N6072"/>
      <c r="O6072"/>
      <c r="P6072"/>
      <c r="Q6072"/>
      <c r="R6072"/>
      <c r="S6072"/>
      <c r="T6072"/>
      <c r="U6072"/>
      <c r="V6072"/>
      <c r="W6072"/>
      <c r="X6072"/>
      <c r="Y6072"/>
      <c r="Z6072"/>
      <c r="AA6072"/>
      <c r="AB6072"/>
      <c r="AC6072"/>
    </row>
    <row r="6073" spans="1:29" x14ac:dyDescent="0.3">
      <c r="A6073" s="12" t="s">
        <v>1370</v>
      </c>
      <c r="B6073" t="s">
        <v>376</v>
      </c>
      <c r="C6073" t="s">
        <v>123</v>
      </c>
      <c r="D6073" t="s">
        <v>3</v>
      </c>
      <c r="E6073" t="s">
        <v>398</v>
      </c>
      <c r="F6073"/>
      <c r="G6073"/>
      <c r="H6073"/>
      <c r="I6073"/>
      <c r="J6073"/>
      <c r="K6073"/>
      <c r="L6073"/>
      <c r="M6073"/>
      <c r="N6073"/>
      <c r="O6073"/>
      <c r="P6073"/>
      <c r="Q6073"/>
      <c r="R6073"/>
      <c r="S6073"/>
      <c r="T6073"/>
      <c r="U6073"/>
      <c r="V6073"/>
      <c r="W6073"/>
      <c r="X6073"/>
      <c r="Y6073"/>
      <c r="Z6073"/>
      <c r="AA6073"/>
      <c r="AB6073"/>
      <c r="AC6073"/>
    </row>
    <row r="6074" spans="1:29" x14ac:dyDescent="0.3">
      <c r="A6074" s="12" t="s">
        <v>1370</v>
      </c>
      <c r="B6074" t="s">
        <v>376</v>
      </c>
      <c r="C6074" t="s">
        <v>123</v>
      </c>
      <c r="D6074" t="s">
        <v>399</v>
      </c>
      <c r="E6074" t="s">
        <v>400</v>
      </c>
      <c r="F6074"/>
      <c r="G6074"/>
      <c r="H6074"/>
      <c r="I6074"/>
      <c r="J6074"/>
      <c r="K6074"/>
      <c r="L6074"/>
      <c r="M6074"/>
      <c r="N6074"/>
      <c r="O6074"/>
      <c r="P6074"/>
      <c r="Q6074"/>
      <c r="R6074"/>
      <c r="S6074"/>
      <c r="T6074"/>
      <c r="U6074"/>
      <c r="V6074"/>
      <c r="W6074"/>
      <c r="X6074"/>
      <c r="Y6074"/>
      <c r="Z6074"/>
      <c r="AA6074"/>
      <c r="AB6074"/>
      <c r="AC6074"/>
    </row>
    <row r="6075" spans="1:29" x14ac:dyDescent="0.3">
      <c r="A6075" s="12" t="s">
        <v>1370</v>
      </c>
      <c r="B6075" t="s">
        <v>376</v>
      </c>
      <c r="C6075" t="s">
        <v>123</v>
      </c>
      <c r="D6075" t="s">
        <v>401</v>
      </c>
      <c r="E6075" t="s">
        <v>402</v>
      </c>
      <c r="F6075"/>
      <c r="G6075"/>
      <c r="H6075"/>
      <c r="I6075"/>
      <c r="J6075"/>
      <c r="K6075"/>
      <c r="L6075"/>
      <c r="M6075"/>
      <c r="N6075"/>
      <c r="O6075"/>
      <c r="P6075"/>
      <c r="Q6075"/>
      <c r="R6075"/>
      <c r="S6075"/>
      <c r="T6075"/>
      <c r="U6075"/>
      <c r="V6075"/>
      <c r="W6075"/>
      <c r="X6075"/>
      <c r="Y6075"/>
      <c r="Z6075"/>
      <c r="AA6075"/>
      <c r="AB6075"/>
      <c r="AC6075"/>
    </row>
    <row r="6076" spans="1:29" x14ac:dyDescent="0.3">
      <c r="A6076" s="12" t="s">
        <v>1370</v>
      </c>
      <c r="B6076" t="s">
        <v>376</v>
      </c>
      <c r="C6076" t="s">
        <v>123</v>
      </c>
      <c r="D6076" t="s">
        <v>403</v>
      </c>
      <c r="E6076" t="s">
        <v>404</v>
      </c>
      <c r="F6076"/>
      <c r="G6076"/>
      <c r="H6076"/>
      <c r="I6076"/>
      <c r="J6076"/>
      <c r="K6076"/>
      <c r="L6076"/>
      <c r="M6076"/>
      <c r="N6076"/>
      <c r="O6076"/>
      <c r="P6076"/>
      <c r="Q6076"/>
      <c r="R6076"/>
      <c r="S6076"/>
      <c r="T6076"/>
      <c r="U6076"/>
      <c r="V6076"/>
      <c r="W6076"/>
      <c r="X6076"/>
      <c r="Y6076"/>
      <c r="Z6076"/>
      <c r="AA6076"/>
      <c r="AB6076"/>
      <c r="AC6076"/>
    </row>
    <row r="6077" spans="1:29" x14ac:dyDescent="0.3">
      <c r="A6077" s="12" t="s">
        <v>1370</v>
      </c>
      <c r="B6077" t="s">
        <v>376</v>
      </c>
      <c r="C6077" t="s">
        <v>123</v>
      </c>
      <c r="D6077" t="s">
        <v>405</v>
      </c>
      <c r="E6077" t="s">
        <v>406</v>
      </c>
      <c r="F6077"/>
      <c r="G6077"/>
      <c r="H6077"/>
      <c r="I6077"/>
      <c r="J6077"/>
      <c r="K6077"/>
      <c r="L6077"/>
      <c r="M6077"/>
      <c r="N6077"/>
      <c r="O6077"/>
      <c r="P6077"/>
      <c r="Q6077"/>
      <c r="R6077"/>
      <c r="S6077"/>
      <c r="T6077"/>
      <c r="U6077"/>
      <c r="V6077"/>
      <c r="W6077"/>
      <c r="X6077"/>
      <c r="Y6077"/>
      <c r="Z6077"/>
      <c r="AA6077"/>
      <c r="AB6077"/>
      <c r="AC6077"/>
    </row>
    <row r="6078" spans="1:29" x14ac:dyDescent="0.3">
      <c r="A6078" s="12" t="s">
        <v>1370</v>
      </c>
      <c r="B6078" t="s">
        <v>376</v>
      </c>
      <c r="C6078" t="s">
        <v>123</v>
      </c>
      <c r="D6078" t="s">
        <v>407</v>
      </c>
      <c r="E6078" t="s">
        <v>408</v>
      </c>
      <c r="F6078"/>
      <c r="G6078"/>
      <c r="H6078"/>
      <c r="I6078"/>
      <c r="J6078"/>
      <c r="K6078"/>
      <c r="L6078"/>
      <c r="M6078"/>
      <c r="N6078"/>
      <c r="O6078"/>
      <c r="P6078"/>
      <c r="Q6078"/>
      <c r="R6078"/>
      <c r="S6078"/>
      <c r="T6078"/>
      <c r="U6078"/>
      <c r="V6078"/>
      <c r="W6078"/>
      <c r="X6078"/>
      <c r="Y6078"/>
      <c r="Z6078"/>
      <c r="AA6078"/>
      <c r="AB6078"/>
      <c r="AC6078"/>
    </row>
    <row r="6079" spans="1:29" x14ac:dyDescent="0.3">
      <c r="A6079" s="12" t="s">
        <v>1370</v>
      </c>
      <c r="B6079" t="s">
        <v>376</v>
      </c>
      <c r="C6079" t="s">
        <v>123</v>
      </c>
      <c r="D6079" t="s">
        <v>409</v>
      </c>
      <c r="E6079" t="s">
        <v>410</v>
      </c>
      <c r="F6079"/>
      <c r="G6079"/>
      <c r="H6079"/>
      <c r="I6079"/>
      <c r="J6079"/>
      <c r="K6079"/>
      <c r="L6079"/>
      <c r="M6079"/>
      <c r="N6079"/>
      <c r="O6079"/>
      <c r="P6079"/>
      <c r="Q6079"/>
      <c r="R6079"/>
      <c r="S6079"/>
      <c r="T6079"/>
      <c r="U6079"/>
      <c r="V6079"/>
      <c r="W6079"/>
      <c r="X6079"/>
      <c r="Y6079"/>
      <c r="Z6079"/>
      <c r="AA6079"/>
      <c r="AB6079"/>
      <c r="AC6079"/>
    </row>
    <row r="6080" spans="1:29" x14ac:dyDescent="0.3">
      <c r="A6080" s="12" t="s">
        <v>1370</v>
      </c>
      <c r="B6080" t="s">
        <v>376</v>
      </c>
      <c r="C6080" t="s">
        <v>123</v>
      </c>
      <c r="D6080" t="s">
        <v>411</v>
      </c>
      <c r="E6080" t="s">
        <v>412</v>
      </c>
      <c r="F6080"/>
      <c r="G6080"/>
      <c r="H6080"/>
      <c r="I6080"/>
      <c r="J6080"/>
      <c r="K6080"/>
      <c r="L6080"/>
      <c r="M6080"/>
      <c r="N6080"/>
      <c r="O6080"/>
      <c r="P6080"/>
      <c r="Q6080"/>
      <c r="R6080"/>
      <c r="S6080"/>
      <c r="T6080"/>
      <c r="U6080"/>
      <c r="V6080"/>
      <c r="W6080"/>
      <c r="X6080"/>
      <c r="Y6080"/>
      <c r="Z6080"/>
      <c r="AA6080"/>
      <c r="AB6080"/>
      <c r="AC6080"/>
    </row>
    <row r="6081" spans="1:29" x14ac:dyDescent="0.3">
      <c r="A6081" s="12" t="s">
        <v>1370</v>
      </c>
      <c r="B6081" t="s">
        <v>376</v>
      </c>
      <c r="C6081" t="s">
        <v>123</v>
      </c>
      <c r="D6081" t="s">
        <v>413</v>
      </c>
      <c r="E6081" t="s">
        <v>414</v>
      </c>
      <c r="F6081"/>
      <c r="G6081"/>
      <c r="H6081"/>
      <c r="I6081"/>
      <c r="J6081"/>
      <c r="K6081"/>
      <c r="L6081"/>
      <c r="M6081"/>
      <c r="N6081"/>
      <c r="O6081"/>
      <c r="P6081"/>
      <c r="Q6081"/>
      <c r="R6081"/>
      <c r="S6081"/>
      <c r="T6081"/>
      <c r="U6081"/>
      <c r="V6081"/>
      <c r="W6081"/>
      <c r="X6081"/>
      <c r="Y6081"/>
      <c r="Z6081"/>
      <c r="AA6081"/>
      <c r="AB6081"/>
      <c r="AC6081"/>
    </row>
    <row r="6082" spans="1:29" x14ac:dyDescent="0.3">
      <c r="A6082" s="12" t="s">
        <v>1370</v>
      </c>
      <c r="B6082" t="s">
        <v>376</v>
      </c>
      <c r="C6082" t="s">
        <v>123</v>
      </c>
      <c r="D6082" t="s">
        <v>415</v>
      </c>
      <c r="E6082" t="s">
        <v>416</v>
      </c>
      <c r="F6082"/>
      <c r="G6082"/>
      <c r="H6082"/>
      <c r="I6082"/>
      <c r="J6082"/>
      <c r="K6082"/>
      <c r="L6082"/>
      <c r="M6082"/>
      <c r="N6082"/>
      <c r="O6082"/>
      <c r="P6082"/>
      <c r="Q6082"/>
      <c r="R6082"/>
      <c r="S6082"/>
      <c r="T6082"/>
      <c r="U6082"/>
      <c r="V6082"/>
      <c r="W6082"/>
      <c r="X6082"/>
      <c r="Y6082"/>
      <c r="Z6082"/>
      <c r="AA6082"/>
      <c r="AB6082"/>
      <c r="AC6082"/>
    </row>
    <row r="6083" spans="1:29" x14ac:dyDescent="0.3">
      <c r="A6083" s="12" t="s">
        <v>1370</v>
      </c>
      <c r="B6083" t="s">
        <v>376</v>
      </c>
      <c r="C6083" t="s">
        <v>123</v>
      </c>
      <c r="D6083" t="s">
        <v>417</v>
      </c>
      <c r="E6083" t="s">
        <v>418</v>
      </c>
      <c r="F6083"/>
      <c r="G6083"/>
      <c r="H6083"/>
      <c r="I6083"/>
      <c r="J6083"/>
      <c r="K6083"/>
      <c r="L6083"/>
      <c r="M6083"/>
      <c r="N6083"/>
      <c r="O6083"/>
      <c r="P6083"/>
      <c r="Q6083"/>
      <c r="R6083"/>
      <c r="S6083"/>
      <c r="T6083"/>
      <c r="U6083"/>
      <c r="V6083"/>
      <c r="W6083"/>
      <c r="X6083"/>
      <c r="Y6083"/>
      <c r="Z6083"/>
      <c r="AA6083"/>
      <c r="AB6083"/>
      <c r="AC6083"/>
    </row>
    <row r="6084" spans="1:29" x14ac:dyDescent="0.3">
      <c r="A6084" s="12" t="s">
        <v>1370</v>
      </c>
      <c r="B6084" t="s">
        <v>376</v>
      </c>
      <c r="C6084" t="s">
        <v>123</v>
      </c>
      <c r="D6084" t="s">
        <v>419</v>
      </c>
      <c r="E6084" t="s">
        <v>420</v>
      </c>
      <c r="F6084"/>
      <c r="G6084"/>
      <c r="H6084"/>
      <c r="I6084"/>
      <c r="J6084"/>
      <c r="K6084"/>
      <c r="L6084"/>
      <c r="M6084"/>
      <c r="N6084"/>
      <c r="O6084"/>
      <c r="P6084"/>
      <c r="Q6084"/>
      <c r="R6084"/>
      <c r="S6084"/>
      <c r="T6084"/>
      <c r="U6084"/>
      <c r="V6084"/>
      <c r="W6084"/>
      <c r="X6084"/>
      <c r="Y6084"/>
      <c r="Z6084"/>
      <c r="AA6084"/>
      <c r="AB6084"/>
      <c r="AC6084"/>
    </row>
    <row r="6085" spans="1:29" x14ac:dyDescent="0.3">
      <c r="A6085" s="12" t="s">
        <v>1370</v>
      </c>
      <c r="B6085" t="s">
        <v>376</v>
      </c>
      <c r="C6085" t="s">
        <v>123</v>
      </c>
      <c r="D6085" t="s">
        <v>421</v>
      </c>
      <c r="E6085" t="s">
        <v>422</v>
      </c>
      <c r="F6085"/>
      <c r="G6085"/>
      <c r="H6085"/>
      <c r="I6085"/>
      <c r="J6085"/>
      <c r="K6085"/>
      <c r="L6085"/>
      <c r="M6085"/>
      <c r="N6085"/>
      <c r="O6085"/>
      <c r="P6085"/>
      <c r="Q6085"/>
      <c r="R6085"/>
      <c r="S6085"/>
      <c r="T6085"/>
      <c r="U6085"/>
      <c r="V6085"/>
      <c r="W6085"/>
      <c r="X6085"/>
      <c r="Y6085"/>
      <c r="Z6085"/>
      <c r="AA6085"/>
      <c r="AB6085"/>
      <c r="AC6085"/>
    </row>
    <row r="6086" spans="1:29" x14ac:dyDescent="0.3">
      <c r="A6086" s="12" t="s">
        <v>1370</v>
      </c>
      <c r="B6086" t="s">
        <v>376</v>
      </c>
      <c r="C6086" t="s">
        <v>123</v>
      </c>
      <c r="D6086" t="s">
        <v>423</v>
      </c>
      <c r="E6086" t="s">
        <v>424</v>
      </c>
      <c r="F6086"/>
      <c r="G6086"/>
      <c r="H6086"/>
      <c r="I6086"/>
      <c r="J6086"/>
      <c r="K6086"/>
      <c r="L6086"/>
      <c r="M6086"/>
      <c r="N6086"/>
      <c r="O6086"/>
      <c r="P6086"/>
      <c r="Q6086"/>
      <c r="R6086"/>
      <c r="S6086"/>
      <c r="T6086"/>
      <c r="U6086"/>
      <c r="V6086"/>
      <c r="W6086"/>
      <c r="X6086"/>
      <c r="Y6086"/>
      <c r="Z6086"/>
      <c r="AA6086"/>
      <c r="AB6086"/>
      <c r="AC6086"/>
    </row>
    <row r="6087" spans="1:29" x14ac:dyDescent="0.3">
      <c r="A6087" s="12" t="s">
        <v>1370</v>
      </c>
      <c r="B6087" t="s">
        <v>376</v>
      </c>
      <c r="C6087" t="s">
        <v>123</v>
      </c>
      <c r="D6087" t="s">
        <v>425</v>
      </c>
      <c r="E6087" t="s">
        <v>426</v>
      </c>
      <c r="F6087"/>
      <c r="G6087"/>
      <c r="H6087"/>
      <c r="I6087"/>
      <c r="J6087"/>
      <c r="K6087"/>
      <c r="L6087"/>
      <c r="M6087"/>
      <c r="N6087"/>
      <c r="O6087"/>
      <c r="P6087"/>
      <c r="Q6087"/>
      <c r="R6087"/>
      <c r="S6087"/>
      <c r="T6087"/>
      <c r="U6087"/>
      <c r="V6087"/>
      <c r="W6087"/>
      <c r="X6087"/>
      <c r="Y6087"/>
      <c r="Z6087"/>
      <c r="AA6087"/>
      <c r="AB6087"/>
      <c r="AC6087"/>
    </row>
    <row r="6088" spans="1:29" x14ac:dyDescent="0.3">
      <c r="A6088" s="12" t="s">
        <v>1370</v>
      </c>
      <c r="B6088" t="s">
        <v>376</v>
      </c>
      <c r="C6088" t="s">
        <v>123</v>
      </c>
      <c r="D6088" t="s">
        <v>427</v>
      </c>
      <c r="E6088" t="s">
        <v>428</v>
      </c>
      <c r="F6088"/>
      <c r="G6088"/>
      <c r="H6088"/>
      <c r="I6088"/>
      <c r="J6088"/>
      <c r="K6088"/>
      <c r="L6088"/>
      <c r="M6088"/>
      <c r="N6088"/>
      <c r="O6088"/>
      <c r="P6088"/>
      <c r="Q6088"/>
      <c r="R6088"/>
      <c r="S6088"/>
      <c r="T6088"/>
      <c r="U6088"/>
      <c r="V6088"/>
      <c r="W6088"/>
      <c r="X6088"/>
      <c r="Y6088"/>
      <c r="Z6088"/>
      <c r="AA6088"/>
      <c r="AB6088"/>
      <c r="AC6088"/>
    </row>
    <row r="6089" spans="1:29" x14ac:dyDescent="0.3">
      <c r="A6089" s="12" t="s">
        <v>1370</v>
      </c>
      <c r="B6089" t="s">
        <v>376</v>
      </c>
      <c r="C6089" t="s">
        <v>123</v>
      </c>
      <c r="D6089" t="s">
        <v>429</v>
      </c>
      <c r="E6089" t="s">
        <v>430</v>
      </c>
      <c r="F6089"/>
      <c r="G6089"/>
      <c r="H6089"/>
      <c r="I6089"/>
      <c r="J6089"/>
      <c r="K6089"/>
      <c r="L6089"/>
      <c r="M6089"/>
      <c r="N6089"/>
      <c r="O6089"/>
      <c r="P6089"/>
      <c r="Q6089"/>
      <c r="R6089"/>
      <c r="S6089"/>
      <c r="T6089"/>
      <c r="U6089"/>
      <c r="V6089"/>
      <c r="W6089"/>
      <c r="X6089"/>
      <c r="Y6089"/>
      <c r="Z6089"/>
      <c r="AA6089"/>
      <c r="AB6089"/>
      <c r="AC6089"/>
    </row>
    <row r="6090" spans="1:29" x14ac:dyDescent="0.3">
      <c r="A6090" s="12" t="s">
        <v>1370</v>
      </c>
      <c r="B6090" t="s">
        <v>376</v>
      </c>
      <c r="C6090" t="s">
        <v>123</v>
      </c>
      <c r="D6090" t="s">
        <v>431</v>
      </c>
      <c r="E6090" t="s">
        <v>432</v>
      </c>
      <c r="F6090"/>
      <c r="G6090"/>
      <c r="H6090"/>
      <c r="I6090"/>
      <c r="J6090"/>
      <c r="K6090"/>
      <c r="L6090"/>
      <c r="M6090"/>
      <c r="N6090"/>
      <c r="O6090"/>
      <c r="P6090"/>
      <c r="Q6090"/>
      <c r="R6090"/>
      <c r="S6090"/>
      <c r="T6090"/>
      <c r="U6090"/>
      <c r="V6090"/>
      <c r="W6090"/>
      <c r="X6090"/>
      <c r="Y6090"/>
      <c r="Z6090"/>
      <c r="AA6090"/>
      <c r="AB6090"/>
      <c r="AC6090"/>
    </row>
    <row r="6091" spans="1:29" x14ac:dyDescent="0.3">
      <c r="A6091" s="12" t="s">
        <v>1370</v>
      </c>
      <c r="B6091" t="s">
        <v>376</v>
      </c>
      <c r="C6091" t="s">
        <v>123</v>
      </c>
      <c r="D6091" t="s">
        <v>433</v>
      </c>
      <c r="E6091" t="s">
        <v>434</v>
      </c>
      <c r="F6091"/>
      <c r="G6091"/>
      <c r="H6091"/>
      <c r="I6091"/>
      <c r="J6091"/>
      <c r="K6091"/>
      <c r="L6091"/>
      <c r="M6091"/>
      <c r="N6091"/>
      <c r="O6091"/>
      <c r="P6091"/>
      <c r="Q6091"/>
      <c r="R6091"/>
      <c r="S6091"/>
      <c r="T6091"/>
      <c r="U6091"/>
      <c r="V6091"/>
      <c r="W6091"/>
      <c r="X6091"/>
      <c r="Y6091"/>
      <c r="Z6091"/>
      <c r="AA6091"/>
      <c r="AB6091"/>
      <c r="AC6091"/>
    </row>
    <row r="6092" spans="1:29" x14ac:dyDescent="0.3">
      <c r="A6092" s="12" t="s">
        <v>1370</v>
      </c>
      <c r="B6092" t="s">
        <v>376</v>
      </c>
      <c r="C6092" t="s">
        <v>123</v>
      </c>
      <c r="D6092" t="s">
        <v>435</v>
      </c>
      <c r="E6092" t="s">
        <v>436</v>
      </c>
      <c r="F6092"/>
      <c r="G6092"/>
      <c r="H6092"/>
      <c r="I6092"/>
      <c r="J6092"/>
      <c r="K6092"/>
      <c r="L6092"/>
      <c r="M6092"/>
      <c r="N6092"/>
      <c r="O6092"/>
      <c r="P6092"/>
      <c r="Q6092"/>
      <c r="R6092"/>
      <c r="S6092"/>
      <c r="T6092"/>
      <c r="U6092"/>
      <c r="V6092"/>
      <c r="W6092"/>
      <c r="X6092"/>
      <c r="Y6092"/>
      <c r="Z6092"/>
      <c r="AA6092"/>
      <c r="AB6092"/>
      <c r="AC6092"/>
    </row>
    <row r="6093" spans="1:29" x14ac:dyDescent="0.3">
      <c r="A6093" s="12" t="s">
        <v>1370</v>
      </c>
      <c r="B6093" t="s">
        <v>376</v>
      </c>
      <c r="C6093" t="s">
        <v>123</v>
      </c>
      <c r="D6093" t="s">
        <v>437</v>
      </c>
      <c r="E6093" t="s">
        <v>438</v>
      </c>
      <c r="F6093"/>
      <c r="G6093"/>
      <c r="H6093"/>
      <c r="I6093"/>
      <c r="J6093"/>
      <c r="K6093"/>
      <c r="L6093"/>
      <c r="M6093"/>
      <c r="N6093"/>
      <c r="O6093"/>
      <c r="P6093"/>
      <c r="Q6093"/>
      <c r="R6093"/>
      <c r="S6093"/>
      <c r="T6093"/>
      <c r="U6093"/>
      <c r="V6093"/>
      <c r="W6093"/>
      <c r="X6093"/>
      <c r="Y6093"/>
      <c r="Z6093"/>
      <c r="AA6093"/>
      <c r="AB6093"/>
      <c r="AC6093"/>
    </row>
    <row r="6094" spans="1:29" x14ac:dyDescent="0.3">
      <c r="A6094" s="12" t="s">
        <v>1370</v>
      </c>
      <c r="B6094" t="s">
        <v>376</v>
      </c>
      <c r="C6094" t="s">
        <v>123</v>
      </c>
      <c r="D6094" t="s">
        <v>439</v>
      </c>
      <c r="E6094" t="s">
        <v>440</v>
      </c>
      <c r="F6094"/>
      <c r="G6094"/>
      <c r="H6094"/>
      <c r="I6094"/>
      <c r="J6094"/>
      <c r="K6094"/>
      <c r="L6094"/>
      <c r="M6094"/>
      <c r="N6094"/>
      <c r="O6094"/>
      <c r="P6094"/>
      <c r="Q6094"/>
      <c r="R6094"/>
      <c r="S6094"/>
      <c r="T6094"/>
      <c r="U6094"/>
      <c r="V6094"/>
      <c r="W6094"/>
      <c r="X6094"/>
      <c r="Y6094"/>
      <c r="Z6094"/>
      <c r="AA6094"/>
      <c r="AB6094"/>
      <c r="AC6094"/>
    </row>
    <row r="6095" spans="1:29" x14ac:dyDescent="0.3">
      <c r="A6095" s="12" t="s">
        <v>1370</v>
      </c>
      <c r="B6095" t="s">
        <v>376</v>
      </c>
      <c r="C6095" t="s">
        <v>123</v>
      </c>
      <c r="D6095" t="s">
        <v>441</v>
      </c>
      <c r="E6095" t="s">
        <v>442</v>
      </c>
      <c r="F6095"/>
      <c r="G6095"/>
      <c r="H6095"/>
      <c r="I6095"/>
      <c r="J6095"/>
      <c r="K6095"/>
      <c r="L6095"/>
      <c r="M6095"/>
      <c r="N6095"/>
      <c r="O6095"/>
      <c r="P6095"/>
      <c r="Q6095"/>
      <c r="R6095"/>
      <c r="S6095"/>
      <c r="T6095"/>
      <c r="U6095"/>
      <c r="V6095"/>
      <c r="W6095"/>
      <c r="X6095"/>
      <c r="Y6095"/>
      <c r="Z6095"/>
      <c r="AA6095"/>
      <c r="AB6095"/>
      <c r="AC6095"/>
    </row>
    <row r="6096" spans="1:29" x14ac:dyDescent="0.3">
      <c r="A6096" s="12" t="s">
        <v>1370</v>
      </c>
      <c r="B6096" t="s">
        <v>376</v>
      </c>
      <c r="C6096" t="s">
        <v>123</v>
      </c>
      <c r="D6096" t="s">
        <v>443</v>
      </c>
      <c r="E6096" t="s">
        <v>444</v>
      </c>
      <c r="F6096"/>
      <c r="G6096"/>
      <c r="H6096"/>
      <c r="I6096"/>
      <c r="J6096"/>
      <c r="K6096"/>
      <c r="L6096"/>
      <c r="M6096"/>
      <c r="N6096"/>
      <c r="O6096"/>
      <c r="P6096"/>
      <c r="Q6096"/>
      <c r="R6096"/>
      <c r="S6096"/>
      <c r="T6096"/>
      <c r="U6096"/>
      <c r="V6096"/>
      <c r="W6096"/>
      <c r="X6096"/>
      <c r="Y6096"/>
      <c r="Z6096"/>
      <c r="AA6096"/>
      <c r="AB6096"/>
      <c r="AC6096"/>
    </row>
    <row r="6097" spans="1:29" x14ac:dyDescent="0.3">
      <c r="A6097" s="12" t="s">
        <v>1370</v>
      </c>
      <c r="B6097" t="s">
        <v>376</v>
      </c>
      <c r="C6097" t="s">
        <v>123</v>
      </c>
      <c r="D6097" t="s">
        <v>445</v>
      </c>
      <c r="E6097" t="s">
        <v>446</v>
      </c>
      <c r="F6097"/>
      <c r="G6097"/>
      <c r="H6097"/>
      <c r="I6097"/>
      <c r="J6097"/>
      <c r="K6097"/>
      <c r="L6097"/>
      <c r="M6097"/>
      <c r="N6097"/>
      <c r="O6097"/>
      <c r="P6097"/>
      <c r="Q6097"/>
      <c r="R6097"/>
      <c r="S6097"/>
      <c r="T6097"/>
      <c r="U6097"/>
      <c r="V6097"/>
      <c r="W6097"/>
      <c r="X6097"/>
      <c r="Y6097"/>
      <c r="Z6097"/>
      <c r="AA6097"/>
      <c r="AB6097"/>
      <c r="AC6097"/>
    </row>
    <row r="6098" spans="1:29" x14ac:dyDescent="0.3">
      <c r="A6098" s="12" t="s">
        <v>1370</v>
      </c>
      <c r="B6098" t="s">
        <v>376</v>
      </c>
      <c r="C6098" t="s">
        <v>123</v>
      </c>
      <c r="D6098" t="s">
        <v>447</v>
      </c>
      <c r="E6098" t="s">
        <v>448</v>
      </c>
      <c r="F6098"/>
      <c r="G6098"/>
      <c r="H6098"/>
      <c r="I6098"/>
      <c r="J6098"/>
      <c r="K6098"/>
      <c r="L6098"/>
      <c r="M6098"/>
      <c r="N6098"/>
      <c r="O6098"/>
      <c r="P6098"/>
      <c r="Q6098"/>
      <c r="R6098"/>
      <c r="S6098"/>
      <c r="T6098"/>
      <c r="U6098"/>
      <c r="V6098"/>
      <c r="W6098"/>
      <c r="X6098"/>
      <c r="Y6098"/>
      <c r="Z6098"/>
      <c r="AA6098"/>
      <c r="AB6098"/>
      <c r="AC6098"/>
    </row>
    <row r="6099" spans="1:29" x14ac:dyDescent="0.3">
      <c r="A6099" s="12" t="s">
        <v>1370</v>
      </c>
      <c r="B6099" t="s">
        <v>376</v>
      </c>
      <c r="C6099" t="s">
        <v>123</v>
      </c>
      <c r="D6099" t="s">
        <v>449</v>
      </c>
      <c r="E6099" t="s">
        <v>450</v>
      </c>
      <c r="F6099"/>
      <c r="G6099"/>
      <c r="H6099"/>
      <c r="I6099"/>
      <c r="J6099"/>
      <c r="K6099"/>
      <c r="L6099"/>
      <c r="M6099"/>
      <c r="N6099"/>
      <c r="O6099"/>
      <c r="P6099"/>
      <c r="Q6099"/>
      <c r="R6099"/>
      <c r="S6099"/>
      <c r="T6099"/>
      <c r="U6099"/>
      <c r="V6099"/>
      <c r="W6099"/>
      <c r="X6099"/>
      <c r="Y6099"/>
      <c r="Z6099"/>
      <c r="AA6099"/>
      <c r="AB6099"/>
      <c r="AC6099"/>
    </row>
    <row r="6100" spans="1:29" x14ac:dyDescent="0.3">
      <c r="A6100" s="12" t="s">
        <v>1370</v>
      </c>
      <c r="B6100" t="s">
        <v>376</v>
      </c>
      <c r="C6100" t="s">
        <v>123</v>
      </c>
      <c r="D6100" t="s">
        <v>451</v>
      </c>
      <c r="E6100" t="s">
        <v>452</v>
      </c>
      <c r="F6100"/>
      <c r="G6100"/>
      <c r="H6100"/>
      <c r="I6100"/>
      <c r="J6100"/>
      <c r="K6100"/>
      <c r="L6100"/>
      <c r="M6100"/>
      <c r="N6100"/>
      <c r="O6100"/>
      <c r="P6100"/>
      <c r="Q6100"/>
      <c r="R6100"/>
      <c r="S6100"/>
      <c r="T6100"/>
      <c r="U6100"/>
      <c r="V6100"/>
      <c r="W6100"/>
      <c r="X6100"/>
      <c r="Y6100"/>
      <c r="Z6100"/>
      <c r="AA6100"/>
      <c r="AB6100"/>
      <c r="AC6100"/>
    </row>
    <row r="6101" spans="1:29" x14ac:dyDescent="0.3">
      <c r="A6101" s="12" t="s">
        <v>1370</v>
      </c>
      <c r="B6101" t="s">
        <v>376</v>
      </c>
      <c r="C6101" t="s">
        <v>123</v>
      </c>
      <c r="D6101" t="s">
        <v>453</v>
      </c>
      <c r="E6101" t="s">
        <v>454</v>
      </c>
      <c r="F6101"/>
      <c r="G6101"/>
      <c r="H6101"/>
      <c r="I6101"/>
      <c r="J6101"/>
      <c r="K6101"/>
      <c r="L6101"/>
      <c r="M6101"/>
      <c r="N6101"/>
      <c r="O6101"/>
      <c r="P6101"/>
      <c r="Q6101"/>
      <c r="R6101"/>
      <c r="S6101"/>
      <c r="T6101"/>
      <c r="U6101"/>
      <c r="V6101"/>
      <c r="W6101"/>
      <c r="X6101"/>
      <c r="Y6101"/>
      <c r="Z6101"/>
      <c r="AA6101"/>
      <c r="AB6101"/>
      <c r="AC6101"/>
    </row>
    <row r="6102" spans="1:29" x14ac:dyDescent="0.3">
      <c r="A6102" s="12" t="s">
        <v>1370</v>
      </c>
      <c r="B6102" t="s">
        <v>376</v>
      </c>
      <c r="C6102" t="s">
        <v>123</v>
      </c>
      <c r="D6102" t="s">
        <v>455</v>
      </c>
      <c r="E6102" t="s">
        <v>456</v>
      </c>
      <c r="F6102"/>
      <c r="G6102"/>
      <c r="H6102"/>
      <c r="I6102"/>
      <c r="J6102"/>
      <c r="K6102"/>
      <c r="L6102"/>
      <c r="M6102"/>
      <c r="N6102"/>
      <c r="O6102"/>
      <c r="P6102"/>
      <c r="Q6102"/>
      <c r="R6102"/>
      <c r="S6102"/>
      <c r="T6102"/>
      <c r="U6102"/>
      <c r="V6102"/>
      <c r="W6102"/>
      <c r="X6102"/>
      <c r="Y6102"/>
      <c r="Z6102"/>
      <c r="AA6102"/>
      <c r="AB6102"/>
      <c r="AC6102"/>
    </row>
    <row r="6103" spans="1:29" x14ac:dyDescent="0.3">
      <c r="A6103" s="12" t="s">
        <v>1370</v>
      </c>
      <c r="B6103" t="s">
        <v>376</v>
      </c>
      <c r="C6103" t="s">
        <v>123</v>
      </c>
      <c r="D6103" t="s">
        <v>457</v>
      </c>
      <c r="E6103" t="s">
        <v>458</v>
      </c>
      <c r="F6103"/>
      <c r="G6103"/>
      <c r="H6103"/>
      <c r="I6103"/>
      <c r="J6103"/>
      <c r="K6103"/>
      <c r="L6103"/>
      <c r="M6103"/>
      <c r="N6103"/>
      <c r="O6103"/>
      <c r="P6103"/>
      <c r="Q6103"/>
      <c r="R6103"/>
      <c r="S6103"/>
      <c r="T6103"/>
      <c r="U6103"/>
      <c r="V6103"/>
      <c r="W6103"/>
      <c r="X6103"/>
      <c r="Y6103"/>
      <c r="Z6103"/>
      <c r="AA6103"/>
      <c r="AB6103"/>
      <c r="AC6103"/>
    </row>
    <row r="6104" spans="1:29" x14ac:dyDescent="0.3">
      <c r="A6104" s="12" t="s">
        <v>1370</v>
      </c>
      <c r="B6104" t="s">
        <v>376</v>
      </c>
      <c r="C6104" t="s">
        <v>123</v>
      </c>
      <c r="D6104" t="s">
        <v>459</v>
      </c>
      <c r="E6104" t="s">
        <v>460</v>
      </c>
      <c r="F6104"/>
      <c r="G6104"/>
      <c r="H6104"/>
      <c r="I6104"/>
      <c r="J6104"/>
      <c r="K6104"/>
      <c r="L6104"/>
      <c r="M6104"/>
      <c r="N6104"/>
      <c r="O6104"/>
      <c r="P6104"/>
      <c r="Q6104"/>
      <c r="R6104"/>
      <c r="S6104"/>
      <c r="T6104"/>
      <c r="U6104"/>
      <c r="V6104"/>
      <c r="W6104"/>
      <c r="X6104"/>
      <c r="Y6104"/>
      <c r="Z6104"/>
      <c r="AA6104"/>
      <c r="AB6104"/>
      <c r="AC6104"/>
    </row>
    <row r="6105" spans="1:29" x14ac:dyDescent="0.3">
      <c r="A6105" s="12" t="s">
        <v>1370</v>
      </c>
      <c r="B6105" t="s">
        <v>376</v>
      </c>
      <c r="C6105" t="s">
        <v>123</v>
      </c>
      <c r="D6105" t="s">
        <v>461</v>
      </c>
      <c r="E6105" t="s">
        <v>462</v>
      </c>
      <c r="F6105"/>
      <c r="G6105"/>
      <c r="H6105"/>
      <c r="I6105"/>
      <c r="J6105"/>
      <c r="K6105"/>
      <c r="L6105"/>
      <c r="M6105"/>
      <c r="N6105"/>
      <c r="O6105"/>
      <c r="P6105"/>
      <c r="Q6105"/>
      <c r="R6105"/>
      <c r="S6105"/>
      <c r="T6105"/>
      <c r="U6105"/>
      <c r="V6105"/>
      <c r="W6105"/>
      <c r="X6105"/>
      <c r="Y6105"/>
      <c r="Z6105"/>
      <c r="AA6105"/>
      <c r="AB6105"/>
      <c r="AC6105"/>
    </row>
    <row r="6106" spans="1:29" x14ac:dyDescent="0.3">
      <c r="A6106" s="12" t="s">
        <v>1370</v>
      </c>
      <c r="B6106" t="s">
        <v>376</v>
      </c>
      <c r="C6106" t="s">
        <v>123</v>
      </c>
      <c r="D6106" t="s">
        <v>463</v>
      </c>
      <c r="E6106" t="s">
        <v>464</v>
      </c>
      <c r="F6106"/>
      <c r="G6106"/>
      <c r="H6106"/>
      <c r="I6106"/>
      <c r="J6106"/>
      <c r="K6106"/>
      <c r="L6106"/>
      <c r="M6106"/>
      <c r="N6106"/>
      <c r="O6106"/>
      <c r="P6106"/>
      <c r="Q6106"/>
      <c r="R6106"/>
      <c r="S6106"/>
      <c r="T6106"/>
      <c r="U6106"/>
      <c r="V6106"/>
      <c r="W6106"/>
      <c r="X6106"/>
      <c r="Y6106"/>
      <c r="Z6106"/>
      <c r="AA6106"/>
      <c r="AB6106"/>
      <c r="AC6106"/>
    </row>
    <row r="6107" spans="1:29" x14ac:dyDescent="0.3">
      <c r="A6107" s="12" t="s">
        <v>1370</v>
      </c>
      <c r="B6107" t="s">
        <v>376</v>
      </c>
      <c r="C6107" t="s">
        <v>123</v>
      </c>
      <c r="D6107" t="s">
        <v>465</v>
      </c>
      <c r="E6107" t="s">
        <v>466</v>
      </c>
      <c r="F6107"/>
      <c r="G6107"/>
      <c r="H6107"/>
      <c r="I6107"/>
      <c r="J6107"/>
      <c r="K6107"/>
      <c r="L6107"/>
      <c r="M6107"/>
      <c r="N6107"/>
      <c r="O6107"/>
      <c r="P6107"/>
      <c r="Q6107"/>
      <c r="R6107"/>
      <c r="S6107"/>
      <c r="T6107"/>
      <c r="U6107"/>
      <c r="V6107"/>
      <c r="W6107"/>
      <c r="X6107"/>
      <c r="Y6107"/>
      <c r="Z6107"/>
      <c r="AA6107"/>
      <c r="AB6107"/>
      <c r="AC6107"/>
    </row>
    <row r="6108" spans="1:29" x14ac:dyDescent="0.3">
      <c r="A6108" s="12" t="s">
        <v>1370</v>
      </c>
      <c r="B6108" t="s">
        <v>376</v>
      </c>
      <c r="C6108" t="s">
        <v>123</v>
      </c>
      <c r="D6108" t="s">
        <v>215</v>
      </c>
      <c r="E6108" t="s">
        <v>467</v>
      </c>
      <c r="F6108"/>
      <c r="G6108"/>
      <c r="H6108"/>
      <c r="I6108"/>
      <c r="J6108"/>
      <c r="K6108"/>
      <c r="L6108"/>
      <c r="M6108"/>
      <c r="N6108"/>
      <c r="O6108"/>
      <c r="P6108"/>
      <c r="Q6108"/>
      <c r="R6108"/>
      <c r="S6108"/>
      <c r="T6108"/>
      <c r="U6108"/>
      <c r="V6108"/>
      <c r="W6108"/>
      <c r="X6108"/>
      <c r="Y6108"/>
      <c r="Z6108"/>
      <c r="AA6108"/>
      <c r="AB6108"/>
      <c r="AC6108"/>
    </row>
    <row r="6109" spans="1:29" x14ac:dyDescent="0.3">
      <c r="A6109" s="12" t="s">
        <v>1370</v>
      </c>
      <c r="B6109" t="s">
        <v>376</v>
      </c>
      <c r="C6109" t="s">
        <v>123</v>
      </c>
      <c r="D6109" t="s">
        <v>468</v>
      </c>
      <c r="E6109" t="s">
        <v>469</v>
      </c>
      <c r="F6109"/>
      <c r="G6109"/>
      <c r="H6109"/>
      <c r="I6109"/>
      <c r="J6109"/>
      <c r="K6109"/>
      <c r="L6109"/>
      <c r="M6109"/>
      <c r="N6109"/>
      <c r="O6109"/>
      <c r="P6109"/>
      <c r="Q6109"/>
      <c r="R6109"/>
      <c r="S6109"/>
      <c r="T6109"/>
      <c r="U6109"/>
      <c r="V6109"/>
      <c r="W6109"/>
      <c r="X6109"/>
      <c r="Y6109"/>
      <c r="Z6109"/>
      <c r="AA6109"/>
      <c r="AB6109"/>
      <c r="AC6109"/>
    </row>
    <row r="6110" spans="1:29" x14ac:dyDescent="0.3">
      <c r="A6110" s="12" t="s">
        <v>1370</v>
      </c>
      <c r="B6110" t="s">
        <v>376</v>
      </c>
      <c r="C6110" t="s">
        <v>123</v>
      </c>
      <c r="D6110" t="s">
        <v>470</v>
      </c>
      <c r="E6110" t="s">
        <v>471</v>
      </c>
      <c r="F6110"/>
      <c r="G6110"/>
      <c r="H6110"/>
      <c r="I6110"/>
      <c r="J6110"/>
      <c r="K6110"/>
      <c r="L6110"/>
      <c r="M6110"/>
      <c r="N6110"/>
      <c r="O6110"/>
      <c r="P6110"/>
      <c r="Q6110"/>
      <c r="R6110"/>
      <c r="S6110"/>
      <c r="T6110"/>
      <c r="U6110"/>
      <c r="V6110"/>
      <c r="W6110"/>
      <c r="X6110"/>
      <c r="Y6110"/>
      <c r="Z6110"/>
      <c r="AA6110"/>
      <c r="AB6110"/>
      <c r="AC6110"/>
    </row>
    <row r="6111" spans="1:29" x14ac:dyDescent="0.3">
      <c r="A6111" s="12" t="s">
        <v>1370</v>
      </c>
      <c r="B6111" t="s">
        <v>376</v>
      </c>
      <c r="C6111" t="s">
        <v>123</v>
      </c>
      <c r="D6111" t="s">
        <v>472</v>
      </c>
      <c r="E6111" t="s">
        <v>473</v>
      </c>
      <c r="F6111"/>
      <c r="G6111"/>
      <c r="H6111"/>
      <c r="I6111"/>
      <c r="J6111"/>
      <c r="K6111"/>
      <c r="L6111"/>
      <c r="M6111"/>
      <c r="N6111"/>
      <c r="O6111"/>
      <c r="P6111"/>
      <c r="Q6111"/>
      <c r="R6111"/>
      <c r="S6111"/>
      <c r="T6111"/>
      <c r="U6111"/>
      <c r="V6111"/>
      <c r="W6111"/>
      <c r="X6111"/>
      <c r="Y6111"/>
      <c r="Z6111"/>
      <c r="AA6111"/>
      <c r="AB6111"/>
      <c r="AC6111"/>
    </row>
    <row r="6112" spans="1:29" x14ac:dyDescent="0.3">
      <c r="A6112" s="12" t="s">
        <v>1370</v>
      </c>
      <c r="B6112" t="s">
        <v>376</v>
      </c>
      <c r="C6112" t="s">
        <v>123</v>
      </c>
      <c r="D6112" t="s">
        <v>474</v>
      </c>
      <c r="E6112" t="s">
        <v>475</v>
      </c>
      <c r="F6112"/>
      <c r="G6112"/>
      <c r="H6112"/>
      <c r="I6112"/>
      <c r="J6112"/>
      <c r="K6112"/>
      <c r="L6112"/>
      <c r="M6112"/>
      <c r="N6112"/>
      <c r="O6112"/>
      <c r="P6112"/>
      <c r="Q6112"/>
      <c r="R6112"/>
      <c r="S6112"/>
      <c r="T6112"/>
      <c r="U6112"/>
      <c r="V6112"/>
      <c r="W6112"/>
      <c r="X6112"/>
      <c r="Y6112"/>
      <c r="Z6112"/>
      <c r="AA6112"/>
      <c r="AB6112"/>
      <c r="AC6112"/>
    </row>
    <row r="6113" spans="1:29" x14ac:dyDescent="0.3">
      <c r="A6113" s="12" t="s">
        <v>1370</v>
      </c>
      <c r="B6113" t="s">
        <v>376</v>
      </c>
      <c r="C6113" t="s">
        <v>123</v>
      </c>
      <c r="D6113" t="s">
        <v>476</v>
      </c>
      <c r="E6113" t="s">
        <v>477</v>
      </c>
      <c r="F6113"/>
      <c r="G6113"/>
      <c r="H6113"/>
      <c r="I6113"/>
      <c r="J6113"/>
      <c r="K6113"/>
      <c r="L6113"/>
      <c r="M6113"/>
      <c r="N6113"/>
      <c r="O6113"/>
      <c r="P6113"/>
      <c r="Q6113"/>
      <c r="R6113"/>
      <c r="S6113"/>
      <c r="T6113"/>
      <c r="U6113"/>
      <c r="V6113"/>
      <c r="W6113"/>
      <c r="X6113"/>
      <c r="Y6113"/>
      <c r="Z6113"/>
      <c r="AA6113"/>
      <c r="AB6113"/>
      <c r="AC6113"/>
    </row>
    <row r="6114" spans="1:29" x14ac:dyDescent="0.3">
      <c r="A6114" s="12" t="s">
        <v>1370</v>
      </c>
      <c r="B6114" t="s">
        <v>376</v>
      </c>
      <c r="C6114" t="s">
        <v>123</v>
      </c>
      <c r="D6114" t="s">
        <v>291</v>
      </c>
      <c r="E6114" t="s">
        <v>478</v>
      </c>
      <c r="F6114"/>
      <c r="G6114"/>
      <c r="H6114"/>
      <c r="I6114"/>
      <c r="J6114"/>
      <c r="K6114"/>
      <c r="L6114"/>
      <c r="M6114"/>
      <c r="N6114"/>
      <c r="O6114"/>
      <c r="P6114"/>
      <c r="Q6114"/>
      <c r="R6114"/>
      <c r="S6114"/>
      <c r="T6114"/>
      <c r="U6114"/>
      <c r="V6114"/>
      <c r="W6114"/>
      <c r="X6114"/>
      <c r="Y6114"/>
      <c r="Z6114"/>
      <c r="AA6114"/>
      <c r="AB6114"/>
      <c r="AC6114"/>
    </row>
    <row r="6115" spans="1:29" x14ac:dyDescent="0.3">
      <c r="A6115" s="12" t="s">
        <v>1370</v>
      </c>
      <c r="B6115" t="s">
        <v>376</v>
      </c>
      <c r="C6115" t="s">
        <v>123</v>
      </c>
      <c r="D6115" t="s">
        <v>479</v>
      </c>
      <c r="E6115" t="s">
        <v>480</v>
      </c>
      <c r="F6115"/>
      <c r="G6115"/>
      <c r="H6115"/>
      <c r="I6115"/>
      <c r="J6115"/>
      <c r="K6115"/>
      <c r="L6115"/>
      <c r="M6115"/>
      <c r="N6115"/>
      <c r="O6115"/>
      <c r="P6115"/>
      <c r="Q6115"/>
      <c r="R6115"/>
      <c r="S6115"/>
      <c r="T6115"/>
      <c r="U6115"/>
      <c r="V6115"/>
      <c r="W6115"/>
      <c r="X6115"/>
      <c r="Y6115"/>
      <c r="Z6115"/>
      <c r="AA6115"/>
      <c r="AB6115"/>
      <c r="AC6115"/>
    </row>
    <row r="6116" spans="1:29" x14ac:dyDescent="0.3">
      <c r="A6116" s="12" t="s">
        <v>1370</v>
      </c>
      <c r="B6116" t="s">
        <v>376</v>
      </c>
      <c r="C6116" t="s">
        <v>123</v>
      </c>
      <c r="D6116" t="s">
        <v>481</v>
      </c>
      <c r="E6116" t="s">
        <v>482</v>
      </c>
      <c r="F6116"/>
      <c r="G6116"/>
      <c r="H6116"/>
      <c r="I6116"/>
      <c r="J6116"/>
      <c r="K6116"/>
      <c r="L6116"/>
      <c r="M6116"/>
      <c r="N6116"/>
      <c r="O6116"/>
      <c r="P6116"/>
      <c r="Q6116"/>
      <c r="R6116"/>
      <c r="S6116"/>
      <c r="T6116"/>
      <c r="U6116"/>
      <c r="V6116"/>
      <c r="W6116"/>
      <c r="X6116"/>
      <c r="Y6116"/>
      <c r="Z6116"/>
      <c r="AA6116"/>
      <c r="AB6116"/>
      <c r="AC6116"/>
    </row>
    <row r="6117" spans="1:29" x14ac:dyDescent="0.3">
      <c r="A6117" s="12" t="s">
        <v>1370</v>
      </c>
      <c r="B6117" t="s">
        <v>376</v>
      </c>
      <c r="C6117" t="s">
        <v>123</v>
      </c>
      <c r="D6117" t="s">
        <v>483</v>
      </c>
      <c r="E6117" t="s">
        <v>484</v>
      </c>
      <c r="F6117"/>
      <c r="G6117"/>
      <c r="H6117"/>
      <c r="I6117"/>
      <c r="J6117"/>
      <c r="K6117"/>
      <c r="L6117"/>
      <c r="M6117"/>
      <c r="N6117"/>
      <c r="O6117"/>
      <c r="P6117"/>
      <c r="Q6117"/>
      <c r="R6117"/>
      <c r="S6117"/>
      <c r="T6117"/>
      <c r="U6117"/>
      <c r="V6117"/>
      <c r="W6117"/>
      <c r="X6117"/>
      <c r="Y6117"/>
      <c r="Z6117"/>
      <c r="AA6117"/>
      <c r="AB6117"/>
      <c r="AC6117"/>
    </row>
    <row r="6118" spans="1:29" x14ac:dyDescent="0.3">
      <c r="A6118" s="12" t="s">
        <v>1370</v>
      </c>
      <c r="B6118" t="s">
        <v>376</v>
      </c>
      <c r="C6118" t="s">
        <v>123</v>
      </c>
      <c r="D6118" t="s">
        <v>485</v>
      </c>
      <c r="E6118" t="s">
        <v>486</v>
      </c>
      <c r="F6118"/>
      <c r="G6118"/>
      <c r="H6118"/>
      <c r="I6118"/>
      <c r="J6118"/>
      <c r="K6118"/>
      <c r="L6118"/>
      <c r="M6118"/>
      <c r="N6118"/>
      <c r="O6118"/>
      <c r="P6118"/>
      <c r="Q6118"/>
      <c r="R6118"/>
      <c r="S6118"/>
      <c r="T6118"/>
      <c r="U6118"/>
      <c r="V6118"/>
      <c r="W6118"/>
      <c r="X6118"/>
      <c r="Y6118"/>
      <c r="Z6118"/>
      <c r="AA6118"/>
      <c r="AB6118"/>
      <c r="AC6118"/>
    </row>
    <row r="6119" spans="1:29" x14ac:dyDescent="0.3">
      <c r="A6119" s="12" t="s">
        <v>1370</v>
      </c>
      <c r="B6119" t="s">
        <v>376</v>
      </c>
      <c r="C6119" t="s">
        <v>123</v>
      </c>
      <c r="D6119" t="s">
        <v>487</v>
      </c>
      <c r="E6119" t="s">
        <v>488</v>
      </c>
      <c r="F6119"/>
      <c r="G6119"/>
      <c r="H6119"/>
      <c r="I6119"/>
      <c r="J6119"/>
      <c r="K6119"/>
      <c r="L6119"/>
      <c r="M6119"/>
      <c r="N6119"/>
      <c r="O6119"/>
      <c r="P6119"/>
      <c r="Q6119"/>
      <c r="R6119"/>
      <c r="S6119"/>
      <c r="T6119"/>
      <c r="U6119"/>
      <c r="V6119"/>
      <c r="W6119"/>
      <c r="X6119"/>
      <c r="Y6119"/>
      <c r="Z6119"/>
      <c r="AA6119"/>
      <c r="AB6119"/>
      <c r="AC6119"/>
    </row>
    <row r="6120" spans="1:29" x14ac:dyDescent="0.3">
      <c r="A6120" s="12" t="s">
        <v>1370</v>
      </c>
      <c r="B6120" t="s">
        <v>376</v>
      </c>
      <c r="C6120" t="s">
        <v>123</v>
      </c>
      <c r="D6120" t="s">
        <v>489</v>
      </c>
      <c r="E6120" t="s">
        <v>490</v>
      </c>
      <c r="F6120"/>
      <c r="G6120"/>
      <c r="H6120"/>
      <c r="I6120"/>
      <c r="J6120"/>
      <c r="K6120"/>
      <c r="L6120"/>
      <c r="M6120"/>
      <c r="N6120"/>
      <c r="O6120"/>
      <c r="P6120"/>
      <c r="Q6120"/>
      <c r="R6120"/>
      <c r="S6120"/>
      <c r="T6120"/>
      <c r="U6120"/>
      <c r="V6120"/>
      <c r="W6120"/>
      <c r="X6120"/>
      <c r="Y6120"/>
      <c r="Z6120"/>
      <c r="AA6120"/>
      <c r="AB6120"/>
      <c r="AC6120"/>
    </row>
    <row r="6121" spans="1:29" x14ac:dyDescent="0.3">
      <c r="A6121" s="12" t="s">
        <v>1370</v>
      </c>
      <c r="B6121" t="s">
        <v>376</v>
      </c>
      <c r="C6121" t="s">
        <v>123</v>
      </c>
      <c r="D6121" t="s">
        <v>491</v>
      </c>
      <c r="E6121" t="s">
        <v>492</v>
      </c>
      <c r="F6121"/>
      <c r="G6121"/>
      <c r="H6121"/>
      <c r="I6121"/>
      <c r="J6121"/>
      <c r="K6121"/>
      <c r="L6121"/>
      <c r="M6121"/>
      <c r="N6121"/>
      <c r="O6121"/>
      <c r="P6121"/>
      <c r="Q6121"/>
      <c r="R6121"/>
      <c r="S6121"/>
      <c r="T6121"/>
      <c r="U6121"/>
      <c r="V6121"/>
      <c r="W6121"/>
      <c r="X6121"/>
      <c r="Y6121"/>
      <c r="Z6121"/>
      <c r="AA6121"/>
      <c r="AB6121"/>
      <c r="AC6121"/>
    </row>
    <row r="6122" spans="1:29" x14ac:dyDescent="0.3">
      <c r="A6122" s="12" t="s">
        <v>1370</v>
      </c>
      <c r="B6122" t="s">
        <v>376</v>
      </c>
      <c r="C6122" t="s">
        <v>123</v>
      </c>
      <c r="D6122" t="s">
        <v>292</v>
      </c>
      <c r="E6122" t="s">
        <v>493</v>
      </c>
      <c r="F6122"/>
      <c r="G6122"/>
      <c r="H6122"/>
      <c r="I6122"/>
      <c r="J6122"/>
      <c r="K6122"/>
      <c r="L6122"/>
      <c r="M6122"/>
      <c r="N6122"/>
      <c r="O6122"/>
      <c r="P6122"/>
      <c r="Q6122"/>
      <c r="R6122"/>
      <c r="S6122"/>
      <c r="T6122"/>
      <c r="U6122"/>
      <c r="V6122"/>
      <c r="W6122"/>
      <c r="X6122"/>
      <c r="Y6122"/>
      <c r="Z6122"/>
      <c r="AA6122"/>
      <c r="AB6122"/>
      <c r="AC6122"/>
    </row>
    <row r="6123" spans="1:29" x14ac:dyDescent="0.3">
      <c r="A6123" s="12" t="s">
        <v>1370</v>
      </c>
      <c r="B6123" t="s">
        <v>376</v>
      </c>
      <c r="C6123" t="s">
        <v>123</v>
      </c>
      <c r="D6123" t="s">
        <v>494</v>
      </c>
      <c r="E6123" t="s">
        <v>495</v>
      </c>
      <c r="F6123"/>
      <c r="G6123"/>
      <c r="H6123"/>
      <c r="I6123"/>
      <c r="J6123"/>
      <c r="K6123"/>
      <c r="L6123"/>
      <c r="M6123"/>
      <c r="N6123"/>
      <c r="O6123"/>
      <c r="P6123"/>
      <c r="Q6123"/>
      <c r="R6123"/>
      <c r="S6123"/>
      <c r="T6123"/>
      <c r="U6123"/>
      <c r="V6123"/>
      <c r="W6123"/>
      <c r="X6123"/>
      <c r="Y6123"/>
      <c r="Z6123"/>
      <c r="AA6123"/>
      <c r="AB6123"/>
      <c r="AC6123"/>
    </row>
    <row r="6124" spans="1:29" x14ac:dyDescent="0.3">
      <c r="A6124" s="12" t="s">
        <v>1370</v>
      </c>
      <c r="B6124" t="s">
        <v>376</v>
      </c>
      <c r="C6124" t="s">
        <v>123</v>
      </c>
      <c r="D6124" t="s">
        <v>496</v>
      </c>
      <c r="E6124" t="s">
        <v>497</v>
      </c>
      <c r="F6124"/>
      <c r="G6124"/>
      <c r="H6124"/>
      <c r="I6124"/>
      <c r="J6124"/>
      <c r="K6124"/>
      <c r="L6124"/>
      <c r="M6124"/>
      <c r="N6124"/>
      <c r="O6124"/>
      <c r="P6124"/>
      <c r="Q6124"/>
      <c r="R6124"/>
      <c r="S6124"/>
      <c r="T6124"/>
      <c r="U6124"/>
      <c r="V6124"/>
      <c r="W6124"/>
      <c r="X6124"/>
      <c r="Y6124"/>
      <c r="Z6124"/>
      <c r="AA6124"/>
      <c r="AB6124"/>
      <c r="AC6124"/>
    </row>
    <row r="6125" spans="1:29" x14ac:dyDescent="0.3">
      <c r="A6125" s="12" t="s">
        <v>1370</v>
      </c>
      <c r="B6125" t="s">
        <v>376</v>
      </c>
      <c r="C6125" t="s">
        <v>123</v>
      </c>
      <c r="D6125" t="s">
        <v>498</v>
      </c>
      <c r="E6125" t="s">
        <v>499</v>
      </c>
      <c r="F6125"/>
      <c r="G6125"/>
      <c r="H6125"/>
      <c r="I6125"/>
      <c r="J6125"/>
      <c r="K6125"/>
      <c r="L6125"/>
      <c r="M6125"/>
      <c r="N6125"/>
      <c r="O6125"/>
      <c r="P6125"/>
      <c r="Q6125"/>
      <c r="R6125"/>
      <c r="S6125"/>
      <c r="T6125"/>
      <c r="U6125"/>
      <c r="V6125"/>
      <c r="W6125"/>
      <c r="X6125"/>
      <c r="Y6125"/>
      <c r="Z6125"/>
      <c r="AA6125"/>
      <c r="AB6125"/>
      <c r="AC6125"/>
    </row>
    <row r="6126" spans="1:29" x14ac:dyDescent="0.3">
      <c r="A6126" s="12" t="s">
        <v>1370</v>
      </c>
      <c r="B6126" t="s">
        <v>376</v>
      </c>
      <c r="C6126" t="s">
        <v>123</v>
      </c>
      <c r="D6126" t="s">
        <v>500</v>
      </c>
      <c r="E6126" t="s">
        <v>501</v>
      </c>
      <c r="F6126"/>
      <c r="G6126"/>
      <c r="H6126"/>
      <c r="I6126"/>
      <c r="J6126"/>
      <c r="K6126"/>
      <c r="L6126"/>
      <c r="M6126"/>
      <c r="N6126"/>
      <c r="O6126"/>
      <c r="P6126"/>
      <c r="Q6126"/>
      <c r="R6126"/>
      <c r="S6126"/>
      <c r="T6126"/>
      <c r="U6126"/>
      <c r="V6126"/>
      <c r="W6126"/>
      <c r="X6126"/>
      <c r="Y6126"/>
      <c r="Z6126"/>
      <c r="AA6126"/>
      <c r="AB6126"/>
      <c r="AC6126"/>
    </row>
    <row r="6127" spans="1:29" x14ac:dyDescent="0.3">
      <c r="A6127" s="12" t="s">
        <v>1370</v>
      </c>
      <c r="B6127" t="s">
        <v>376</v>
      </c>
      <c r="C6127" t="s">
        <v>123</v>
      </c>
      <c r="D6127" t="s">
        <v>502</v>
      </c>
      <c r="E6127" t="s">
        <v>503</v>
      </c>
      <c r="F6127"/>
      <c r="G6127"/>
      <c r="H6127"/>
      <c r="I6127"/>
      <c r="J6127"/>
      <c r="K6127"/>
      <c r="L6127"/>
      <c r="M6127"/>
      <c r="N6127"/>
      <c r="O6127"/>
      <c r="P6127"/>
      <c r="Q6127"/>
      <c r="R6127"/>
      <c r="S6127"/>
      <c r="T6127"/>
      <c r="U6127"/>
      <c r="V6127"/>
      <c r="W6127"/>
      <c r="X6127"/>
      <c r="Y6127"/>
      <c r="Z6127"/>
      <c r="AA6127"/>
      <c r="AB6127"/>
      <c r="AC6127"/>
    </row>
    <row r="6128" spans="1:29" x14ac:dyDescent="0.3">
      <c r="A6128" s="12" t="s">
        <v>1370</v>
      </c>
      <c r="B6128" t="s">
        <v>376</v>
      </c>
      <c r="C6128" t="s">
        <v>123</v>
      </c>
      <c r="D6128" t="s">
        <v>504</v>
      </c>
      <c r="E6128" t="s">
        <v>505</v>
      </c>
      <c r="F6128"/>
      <c r="G6128"/>
      <c r="H6128"/>
      <c r="I6128"/>
      <c r="J6128"/>
      <c r="K6128"/>
      <c r="L6128"/>
      <c r="M6128"/>
      <c r="N6128"/>
      <c r="O6128"/>
      <c r="P6128"/>
      <c r="Q6128"/>
      <c r="R6128"/>
      <c r="S6128"/>
      <c r="T6128"/>
      <c r="U6128"/>
      <c r="V6128"/>
      <c r="W6128"/>
      <c r="X6128"/>
      <c r="Y6128"/>
      <c r="Z6128"/>
      <c r="AA6128"/>
      <c r="AB6128"/>
      <c r="AC6128"/>
    </row>
    <row r="6129" spans="1:29" x14ac:dyDescent="0.3">
      <c r="A6129" s="12" t="s">
        <v>1370</v>
      </c>
      <c r="B6129" t="s">
        <v>376</v>
      </c>
      <c r="C6129" t="s">
        <v>123</v>
      </c>
      <c r="D6129" t="s">
        <v>506</v>
      </c>
      <c r="E6129" t="s">
        <v>507</v>
      </c>
      <c r="F6129"/>
      <c r="G6129"/>
      <c r="H6129"/>
      <c r="I6129"/>
      <c r="J6129"/>
      <c r="K6129"/>
      <c r="L6129"/>
      <c r="M6129"/>
      <c r="N6129"/>
      <c r="O6129"/>
      <c r="P6129"/>
      <c r="Q6129"/>
      <c r="R6129"/>
      <c r="S6129"/>
      <c r="T6129"/>
      <c r="U6129"/>
      <c r="V6129"/>
      <c r="W6129"/>
      <c r="X6129"/>
      <c r="Y6129"/>
      <c r="Z6129"/>
      <c r="AA6129"/>
      <c r="AB6129"/>
      <c r="AC6129"/>
    </row>
    <row r="6130" spans="1:29" x14ac:dyDescent="0.3">
      <c r="A6130" s="12" t="s">
        <v>1370</v>
      </c>
      <c r="B6130" t="s">
        <v>376</v>
      </c>
      <c r="C6130" t="s">
        <v>123</v>
      </c>
      <c r="D6130" t="s">
        <v>508</v>
      </c>
      <c r="E6130" t="s">
        <v>509</v>
      </c>
      <c r="F6130"/>
      <c r="G6130"/>
      <c r="H6130"/>
      <c r="I6130"/>
      <c r="J6130"/>
      <c r="K6130"/>
      <c r="L6130"/>
      <c r="M6130"/>
      <c r="N6130"/>
      <c r="O6130"/>
      <c r="P6130"/>
      <c r="Q6130"/>
      <c r="R6130"/>
      <c r="S6130"/>
      <c r="T6130"/>
      <c r="U6130"/>
      <c r="V6130"/>
      <c r="W6130"/>
      <c r="X6130"/>
      <c r="Y6130"/>
      <c r="Z6130"/>
      <c r="AA6130"/>
      <c r="AB6130"/>
      <c r="AC6130"/>
    </row>
    <row r="6131" spans="1:29" x14ac:dyDescent="0.3">
      <c r="A6131" s="12" t="s">
        <v>1370</v>
      </c>
      <c r="B6131" t="s">
        <v>376</v>
      </c>
      <c r="C6131" t="s">
        <v>123</v>
      </c>
      <c r="D6131" t="s">
        <v>510</v>
      </c>
      <c r="E6131" t="s">
        <v>511</v>
      </c>
      <c r="F6131"/>
      <c r="G6131"/>
      <c r="H6131"/>
      <c r="I6131"/>
      <c r="J6131"/>
      <c r="K6131"/>
      <c r="L6131"/>
      <c r="M6131"/>
      <c r="N6131"/>
      <c r="O6131"/>
      <c r="P6131"/>
      <c r="Q6131"/>
      <c r="R6131"/>
      <c r="S6131"/>
      <c r="T6131"/>
      <c r="U6131"/>
      <c r="V6131"/>
      <c r="W6131"/>
      <c r="X6131"/>
      <c r="Y6131"/>
      <c r="Z6131"/>
      <c r="AA6131"/>
      <c r="AB6131"/>
      <c r="AC6131"/>
    </row>
    <row r="6132" spans="1:29" x14ac:dyDescent="0.3">
      <c r="A6132" s="12" t="s">
        <v>1370</v>
      </c>
      <c r="B6132" t="s">
        <v>376</v>
      </c>
      <c r="C6132" t="s">
        <v>123</v>
      </c>
      <c r="D6132" t="s">
        <v>555</v>
      </c>
      <c r="E6132" t="s">
        <v>1424</v>
      </c>
      <c r="F6132"/>
      <c r="G6132"/>
      <c r="H6132"/>
      <c r="I6132"/>
      <c r="J6132"/>
      <c r="K6132"/>
      <c r="L6132"/>
      <c r="M6132"/>
      <c r="N6132"/>
      <c r="O6132"/>
      <c r="P6132"/>
      <c r="Q6132"/>
      <c r="R6132"/>
      <c r="S6132"/>
      <c r="T6132"/>
      <c r="U6132"/>
      <c r="V6132"/>
      <c r="W6132"/>
      <c r="X6132"/>
      <c r="Y6132"/>
      <c r="Z6132"/>
      <c r="AA6132"/>
      <c r="AB6132"/>
      <c r="AC6132"/>
    </row>
    <row r="6133" spans="1:29" x14ac:dyDescent="0.3">
      <c r="A6133" s="12" t="s">
        <v>1370</v>
      </c>
      <c r="B6133" t="s">
        <v>376</v>
      </c>
      <c r="C6133" t="s">
        <v>123</v>
      </c>
      <c r="D6133" t="s">
        <v>512</v>
      </c>
      <c r="E6133" t="s">
        <v>513</v>
      </c>
      <c r="F6133"/>
      <c r="G6133"/>
      <c r="H6133"/>
      <c r="I6133"/>
      <c r="J6133"/>
      <c r="K6133"/>
      <c r="L6133"/>
      <c r="M6133"/>
      <c r="N6133"/>
      <c r="O6133"/>
      <c r="P6133"/>
      <c r="Q6133"/>
      <c r="R6133"/>
      <c r="S6133"/>
      <c r="T6133"/>
      <c r="U6133"/>
      <c r="V6133"/>
      <c r="W6133"/>
      <c r="X6133"/>
      <c r="Y6133"/>
      <c r="Z6133"/>
      <c r="AA6133"/>
      <c r="AB6133"/>
      <c r="AC6133"/>
    </row>
    <row r="6134" spans="1:29" x14ac:dyDescent="0.3">
      <c r="A6134" s="12" t="s">
        <v>1370</v>
      </c>
      <c r="B6134" t="s">
        <v>376</v>
      </c>
      <c r="C6134" t="s">
        <v>123</v>
      </c>
      <c r="D6134" t="s">
        <v>514</v>
      </c>
      <c r="E6134" t="s">
        <v>515</v>
      </c>
      <c r="F6134"/>
      <c r="G6134"/>
      <c r="H6134"/>
      <c r="I6134"/>
      <c r="J6134"/>
      <c r="K6134"/>
      <c r="L6134"/>
      <c r="M6134"/>
      <c r="N6134"/>
      <c r="O6134"/>
      <c r="P6134"/>
      <c r="Q6134"/>
      <c r="R6134"/>
      <c r="S6134"/>
      <c r="T6134"/>
      <c r="U6134"/>
      <c r="V6134"/>
      <c r="W6134"/>
      <c r="X6134"/>
      <c r="Y6134"/>
      <c r="Z6134"/>
      <c r="AA6134"/>
      <c r="AB6134"/>
      <c r="AC6134"/>
    </row>
    <row r="6135" spans="1:29" x14ac:dyDescent="0.3">
      <c r="A6135" s="12" t="s">
        <v>1370</v>
      </c>
      <c r="B6135" t="s">
        <v>376</v>
      </c>
      <c r="C6135" t="s">
        <v>123</v>
      </c>
      <c r="D6135" t="s">
        <v>516</v>
      </c>
      <c r="E6135" t="s">
        <v>517</v>
      </c>
      <c r="F6135"/>
      <c r="G6135"/>
      <c r="H6135"/>
      <c r="I6135"/>
      <c r="J6135"/>
      <c r="K6135"/>
      <c r="L6135"/>
      <c r="M6135"/>
      <c r="N6135"/>
      <c r="O6135"/>
      <c r="P6135"/>
      <c r="Q6135"/>
      <c r="R6135"/>
      <c r="S6135"/>
      <c r="T6135"/>
      <c r="U6135"/>
      <c r="V6135"/>
      <c r="W6135"/>
      <c r="X6135"/>
      <c r="Y6135"/>
      <c r="Z6135"/>
      <c r="AA6135"/>
      <c r="AB6135"/>
      <c r="AC6135"/>
    </row>
    <row r="6136" spans="1:29" x14ac:dyDescent="0.3">
      <c r="A6136" s="12" t="s">
        <v>1370</v>
      </c>
      <c r="B6136" t="s">
        <v>518</v>
      </c>
      <c r="C6136" t="s">
        <v>120</v>
      </c>
      <c r="D6136" t="s">
        <v>299</v>
      </c>
      <c r="E6136" t="s">
        <v>519</v>
      </c>
      <c r="F6136"/>
      <c r="G6136"/>
      <c r="H6136"/>
      <c r="I6136"/>
      <c r="J6136"/>
      <c r="K6136"/>
      <c r="L6136"/>
      <c r="M6136"/>
      <c r="N6136"/>
      <c r="O6136"/>
      <c r="P6136"/>
      <c r="Q6136"/>
      <c r="R6136"/>
      <c r="S6136"/>
      <c r="T6136"/>
      <c r="U6136"/>
      <c r="V6136"/>
      <c r="W6136"/>
      <c r="X6136"/>
      <c r="Y6136"/>
      <c r="Z6136"/>
      <c r="AA6136"/>
      <c r="AB6136"/>
      <c r="AC6136"/>
    </row>
    <row r="6137" spans="1:29" x14ac:dyDescent="0.3">
      <c r="A6137" s="12" t="s">
        <v>1370</v>
      </c>
      <c r="B6137" t="s">
        <v>518</v>
      </c>
      <c r="C6137" t="s">
        <v>123</v>
      </c>
      <c r="D6137" t="s">
        <v>520</v>
      </c>
      <c r="E6137" t="s">
        <v>521</v>
      </c>
      <c r="F6137"/>
      <c r="G6137"/>
      <c r="H6137"/>
      <c r="I6137"/>
      <c r="J6137"/>
      <c r="K6137"/>
      <c r="L6137"/>
      <c r="M6137"/>
      <c r="N6137"/>
      <c r="O6137"/>
      <c r="P6137"/>
      <c r="Q6137"/>
      <c r="R6137"/>
      <c r="S6137"/>
      <c r="T6137"/>
      <c r="U6137"/>
      <c r="V6137"/>
      <c r="W6137"/>
      <c r="X6137"/>
      <c r="Y6137"/>
      <c r="Z6137"/>
      <c r="AA6137"/>
      <c r="AB6137"/>
      <c r="AC6137"/>
    </row>
    <row r="6138" spans="1:29" x14ac:dyDescent="0.3">
      <c r="A6138" s="12" t="s">
        <v>1370</v>
      </c>
      <c r="B6138" t="s">
        <v>518</v>
      </c>
      <c r="C6138" t="s">
        <v>123</v>
      </c>
      <c r="D6138" t="s">
        <v>520</v>
      </c>
      <c r="E6138" t="s">
        <v>522</v>
      </c>
      <c r="F6138"/>
      <c r="G6138"/>
      <c r="H6138"/>
      <c r="I6138"/>
      <c r="J6138"/>
      <c r="K6138"/>
      <c r="L6138"/>
      <c r="M6138"/>
      <c r="N6138"/>
      <c r="O6138"/>
      <c r="P6138"/>
      <c r="Q6138"/>
      <c r="R6138"/>
      <c r="S6138"/>
      <c r="T6138"/>
      <c r="U6138"/>
      <c r="V6138"/>
      <c r="W6138"/>
      <c r="X6138"/>
      <c r="Y6138"/>
      <c r="Z6138"/>
      <c r="AA6138"/>
      <c r="AB6138"/>
      <c r="AC6138"/>
    </row>
    <row r="6139" spans="1:29" x14ac:dyDescent="0.3">
      <c r="A6139" s="12" t="s">
        <v>1370</v>
      </c>
      <c r="B6139" t="s">
        <v>518</v>
      </c>
      <c r="C6139" t="s">
        <v>123</v>
      </c>
      <c r="D6139" t="s">
        <v>520</v>
      </c>
      <c r="E6139" t="s">
        <v>523</v>
      </c>
      <c r="F6139"/>
      <c r="G6139"/>
      <c r="H6139"/>
      <c r="I6139"/>
      <c r="J6139"/>
      <c r="K6139"/>
      <c r="L6139"/>
      <c r="M6139"/>
      <c r="N6139"/>
      <c r="O6139"/>
      <c r="P6139"/>
      <c r="Q6139"/>
      <c r="R6139"/>
      <c r="S6139"/>
      <c r="T6139"/>
      <c r="U6139"/>
      <c r="V6139"/>
      <c r="W6139"/>
      <c r="X6139"/>
      <c r="Y6139"/>
      <c r="Z6139"/>
      <c r="AA6139"/>
      <c r="AB6139"/>
      <c r="AC6139"/>
    </row>
    <row r="6140" spans="1:29" x14ac:dyDescent="0.3">
      <c r="A6140" s="12" t="s">
        <v>1370</v>
      </c>
      <c r="B6140" t="s">
        <v>518</v>
      </c>
      <c r="C6140" t="s">
        <v>123</v>
      </c>
      <c r="D6140" t="s">
        <v>520</v>
      </c>
      <c r="E6140" t="s">
        <v>524</v>
      </c>
      <c r="F6140"/>
      <c r="G6140"/>
      <c r="H6140"/>
      <c r="I6140"/>
      <c r="J6140"/>
      <c r="K6140"/>
      <c r="L6140"/>
      <c r="M6140"/>
      <c r="N6140"/>
      <c r="O6140"/>
      <c r="P6140"/>
      <c r="Q6140"/>
      <c r="R6140"/>
      <c r="S6140"/>
      <c r="T6140"/>
      <c r="U6140"/>
      <c r="V6140"/>
      <c r="W6140"/>
      <c r="X6140"/>
      <c r="Y6140"/>
      <c r="Z6140"/>
      <c r="AA6140"/>
      <c r="AB6140"/>
      <c r="AC6140"/>
    </row>
    <row r="6141" spans="1:29" x14ac:dyDescent="0.3">
      <c r="A6141" s="12" t="s">
        <v>1370</v>
      </c>
      <c r="B6141" t="s">
        <v>518</v>
      </c>
      <c r="C6141" t="s">
        <v>123</v>
      </c>
      <c r="D6141" t="s">
        <v>520</v>
      </c>
      <c r="E6141" t="s">
        <v>525</v>
      </c>
      <c r="F6141"/>
      <c r="G6141"/>
      <c r="H6141"/>
      <c r="I6141"/>
      <c r="J6141"/>
      <c r="K6141"/>
      <c r="L6141"/>
      <c r="M6141"/>
      <c r="N6141"/>
      <c r="O6141"/>
      <c r="P6141"/>
      <c r="Q6141"/>
      <c r="R6141"/>
      <c r="S6141"/>
      <c r="T6141"/>
      <c r="U6141"/>
      <c r="V6141"/>
      <c r="W6141"/>
      <c r="X6141"/>
      <c r="Y6141"/>
      <c r="Z6141"/>
      <c r="AA6141"/>
      <c r="AB6141"/>
      <c r="AC6141"/>
    </row>
    <row r="6142" spans="1:29" x14ac:dyDescent="0.3">
      <c r="A6142" s="12" t="s">
        <v>1370</v>
      </c>
      <c r="B6142" t="s">
        <v>518</v>
      </c>
      <c r="C6142" t="s">
        <v>123</v>
      </c>
      <c r="D6142" t="s">
        <v>520</v>
      </c>
      <c r="E6142" t="s">
        <v>526</v>
      </c>
      <c r="F6142"/>
      <c r="G6142"/>
      <c r="H6142"/>
      <c r="I6142"/>
      <c r="J6142"/>
      <c r="K6142"/>
      <c r="L6142"/>
      <c r="M6142"/>
      <c r="N6142"/>
      <c r="O6142"/>
      <c r="P6142"/>
      <c r="Q6142"/>
      <c r="R6142"/>
      <c r="S6142"/>
      <c r="T6142"/>
      <c r="U6142"/>
      <c r="V6142"/>
      <c r="W6142"/>
      <c r="X6142"/>
      <c r="Y6142"/>
      <c r="Z6142"/>
      <c r="AA6142"/>
      <c r="AB6142"/>
      <c r="AC6142"/>
    </row>
    <row r="6143" spans="1:29" x14ac:dyDescent="0.3">
      <c r="A6143" s="12" t="s">
        <v>1370</v>
      </c>
      <c r="B6143" t="s">
        <v>518</v>
      </c>
      <c r="C6143" t="s">
        <v>123</v>
      </c>
      <c r="D6143" t="s">
        <v>520</v>
      </c>
      <c r="E6143" t="s">
        <v>527</v>
      </c>
      <c r="F6143"/>
      <c r="G6143"/>
      <c r="H6143"/>
      <c r="I6143"/>
      <c r="J6143"/>
      <c r="K6143"/>
      <c r="L6143"/>
      <c r="M6143"/>
      <c r="N6143"/>
      <c r="O6143"/>
      <c r="P6143"/>
      <c r="Q6143"/>
      <c r="R6143"/>
      <c r="S6143"/>
      <c r="T6143"/>
      <c r="U6143"/>
      <c r="V6143"/>
      <c r="W6143"/>
      <c r="X6143"/>
      <c r="Y6143"/>
      <c r="Z6143"/>
      <c r="AA6143"/>
      <c r="AB6143"/>
      <c r="AC6143"/>
    </row>
    <row r="6144" spans="1:29" x14ac:dyDescent="0.3">
      <c r="A6144" s="12" t="s">
        <v>1370</v>
      </c>
      <c r="B6144" t="s">
        <v>518</v>
      </c>
      <c r="C6144" t="s">
        <v>123</v>
      </c>
      <c r="D6144" t="s">
        <v>520</v>
      </c>
      <c r="E6144" t="s">
        <v>528</v>
      </c>
      <c r="F6144"/>
      <c r="G6144"/>
      <c r="H6144"/>
      <c r="I6144"/>
      <c r="J6144"/>
      <c r="K6144"/>
      <c r="L6144"/>
      <c r="M6144"/>
      <c r="N6144"/>
      <c r="O6144"/>
      <c r="P6144"/>
      <c r="Q6144"/>
      <c r="R6144"/>
      <c r="S6144"/>
      <c r="T6144"/>
      <c r="U6144"/>
      <c r="V6144"/>
      <c r="W6144"/>
      <c r="X6144"/>
      <c r="Y6144"/>
      <c r="Z6144"/>
      <c r="AA6144"/>
      <c r="AB6144"/>
      <c r="AC6144"/>
    </row>
    <row r="6145" spans="1:29" x14ac:dyDescent="0.3">
      <c r="A6145" s="12" t="s">
        <v>1370</v>
      </c>
      <c r="B6145" t="s">
        <v>518</v>
      </c>
      <c r="C6145" t="s">
        <v>123</v>
      </c>
      <c r="D6145" t="s">
        <v>520</v>
      </c>
      <c r="E6145" t="s">
        <v>529</v>
      </c>
      <c r="F6145"/>
      <c r="G6145"/>
      <c r="H6145"/>
      <c r="I6145"/>
      <c r="J6145"/>
      <c r="K6145"/>
      <c r="L6145"/>
      <c r="M6145"/>
      <c r="N6145"/>
      <c r="O6145"/>
      <c r="P6145"/>
      <c r="Q6145"/>
      <c r="R6145"/>
      <c r="S6145"/>
      <c r="T6145"/>
      <c r="U6145"/>
      <c r="V6145"/>
      <c r="W6145"/>
      <c r="X6145"/>
      <c r="Y6145"/>
      <c r="Z6145"/>
      <c r="AA6145"/>
      <c r="AB6145"/>
      <c r="AC6145"/>
    </row>
    <row r="6146" spans="1:29" x14ac:dyDescent="0.3">
      <c r="A6146" s="12" t="s">
        <v>1370</v>
      </c>
      <c r="B6146" t="s">
        <v>518</v>
      </c>
      <c r="C6146" t="s">
        <v>123</v>
      </c>
      <c r="D6146" t="s">
        <v>520</v>
      </c>
      <c r="E6146" t="s">
        <v>530</v>
      </c>
      <c r="F6146"/>
      <c r="G6146"/>
      <c r="H6146"/>
      <c r="I6146"/>
      <c r="J6146"/>
      <c r="K6146"/>
      <c r="L6146"/>
      <c r="M6146"/>
      <c r="N6146"/>
      <c r="O6146"/>
      <c r="P6146"/>
      <c r="Q6146"/>
      <c r="R6146"/>
      <c r="S6146"/>
      <c r="T6146"/>
      <c r="U6146"/>
      <c r="V6146"/>
      <c r="W6146"/>
      <c r="X6146"/>
      <c r="Y6146"/>
      <c r="Z6146"/>
      <c r="AA6146"/>
      <c r="AB6146"/>
      <c r="AC6146"/>
    </row>
    <row r="6147" spans="1:29" x14ac:dyDescent="0.3">
      <c r="A6147" s="12" t="s">
        <v>1370</v>
      </c>
      <c r="B6147" t="s">
        <v>518</v>
      </c>
      <c r="C6147" t="s">
        <v>123</v>
      </c>
      <c r="D6147" t="s">
        <v>520</v>
      </c>
      <c r="E6147" t="s">
        <v>531</v>
      </c>
      <c r="F6147"/>
      <c r="G6147"/>
      <c r="H6147"/>
      <c r="I6147"/>
      <c r="J6147"/>
      <c r="K6147"/>
      <c r="L6147"/>
      <c r="M6147"/>
      <c r="N6147"/>
      <c r="O6147"/>
      <c r="P6147"/>
      <c r="Q6147"/>
      <c r="R6147"/>
      <c r="S6147"/>
      <c r="T6147"/>
      <c r="U6147"/>
      <c r="V6147"/>
      <c r="W6147"/>
      <c r="X6147"/>
      <c r="Y6147"/>
      <c r="Z6147"/>
      <c r="AA6147"/>
      <c r="AB6147"/>
      <c r="AC6147"/>
    </row>
    <row r="6148" spans="1:29" x14ac:dyDescent="0.3">
      <c r="A6148" s="12" t="s">
        <v>1370</v>
      </c>
      <c r="B6148" t="s">
        <v>518</v>
      </c>
      <c r="C6148" t="s">
        <v>123</v>
      </c>
      <c r="D6148" t="s">
        <v>520</v>
      </c>
      <c r="E6148" t="s">
        <v>532</v>
      </c>
      <c r="F6148"/>
      <c r="G6148"/>
      <c r="H6148"/>
      <c r="I6148"/>
      <c r="J6148"/>
      <c r="K6148"/>
      <c r="L6148"/>
      <c r="M6148"/>
      <c r="N6148"/>
      <c r="O6148"/>
      <c r="P6148"/>
      <c r="Q6148"/>
      <c r="R6148"/>
      <c r="S6148"/>
      <c r="T6148"/>
      <c r="U6148"/>
      <c r="V6148"/>
      <c r="W6148"/>
      <c r="X6148"/>
      <c r="Y6148"/>
      <c r="Z6148"/>
      <c r="AA6148"/>
      <c r="AB6148"/>
      <c r="AC6148"/>
    </row>
    <row r="6149" spans="1:29" x14ac:dyDescent="0.3">
      <c r="A6149" s="12" t="s">
        <v>1370</v>
      </c>
      <c r="B6149" t="s">
        <v>518</v>
      </c>
      <c r="C6149" t="s">
        <v>123</v>
      </c>
      <c r="D6149" t="s">
        <v>520</v>
      </c>
      <c r="E6149" t="s">
        <v>533</v>
      </c>
      <c r="F6149"/>
      <c r="G6149"/>
      <c r="H6149"/>
      <c r="I6149"/>
      <c r="J6149"/>
      <c r="K6149"/>
      <c r="L6149"/>
      <c r="M6149"/>
      <c r="N6149"/>
      <c r="O6149"/>
      <c r="P6149"/>
      <c r="Q6149"/>
      <c r="R6149"/>
      <c r="S6149"/>
      <c r="T6149"/>
      <c r="U6149"/>
      <c r="V6149"/>
      <c r="W6149"/>
      <c r="X6149"/>
      <c r="Y6149"/>
      <c r="Z6149"/>
      <c r="AA6149"/>
      <c r="AB6149"/>
      <c r="AC6149"/>
    </row>
    <row r="6150" spans="1:29" x14ac:dyDescent="0.3">
      <c r="A6150" s="12" t="s">
        <v>1370</v>
      </c>
      <c r="B6150" t="s">
        <v>518</v>
      </c>
      <c r="C6150" t="s">
        <v>123</v>
      </c>
      <c r="D6150" t="s">
        <v>520</v>
      </c>
      <c r="E6150" t="s">
        <v>534</v>
      </c>
      <c r="F6150"/>
      <c r="G6150"/>
      <c r="H6150"/>
      <c r="I6150"/>
      <c r="J6150"/>
      <c r="K6150"/>
      <c r="L6150"/>
      <c r="M6150"/>
      <c r="N6150"/>
      <c r="O6150"/>
      <c r="P6150"/>
      <c r="Q6150"/>
      <c r="R6150"/>
      <c r="S6150"/>
      <c r="T6150"/>
      <c r="U6150"/>
      <c r="V6150"/>
      <c r="W6150"/>
      <c r="X6150"/>
      <c r="Y6150"/>
      <c r="Z6150"/>
      <c r="AA6150"/>
      <c r="AB6150"/>
      <c r="AC6150"/>
    </row>
    <row r="6151" spans="1:29" x14ac:dyDescent="0.3">
      <c r="A6151" s="12" t="s">
        <v>1370</v>
      </c>
      <c r="B6151" t="s">
        <v>518</v>
      </c>
      <c r="C6151" t="s">
        <v>123</v>
      </c>
      <c r="D6151" t="s">
        <v>520</v>
      </c>
      <c r="E6151" t="s">
        <v>535</v>
      </c>
      <c r="F6151"/>
      <c r="G6151"/>
      <c r="H6151"/>
      <c r="I6151"/>
      <c r="J6151"/>
      <c r="K6151"/>
      <c r="L6151"/>
      <c r="M6151"/>
      <c r="N6151"/>
      <c r="O6151"/>
      <c r="P6151"/>
      <c r="Q6151"/>
      <c r="R6151"/>
      <c r="S6151"/>
      <c r="T6151"/>
      <c r="U6151"/>
      <c r="V6151"/>
      <c r="W6151"/>
      <c r="X6151"/>
      <c r="Y6151"/>
      <c r="Z6151"/>
      <c r="AA6151"/>
      <c r="AB6151"/>
      <c r="AC6151"/>
    </row>
    <row r="6152" spans="1:29" x14ac:dyDescent="0.3">
      <c r="A6152" s="12" t="s">
        <v>1370</v>
      </c>
      <c r="B6152" t="s">
        <v>518</v>
      </c>
      <c r="C6152" t="s">
        <v>123</v>
      </c>
      <c r="D6152" t="s">
        <v>520</v>
      </c>
      <c r="E6152" t="s">
        <v>536</v>
      </c>
      <c r="F6152"/>
      <c r="G6152"/>
      <c r="H6152"/>
      <c r="I6152"/>
      <c r="J6152"/>
      <c r="K6152"/>
      <c r="L6152"/>
      <c r="M6152"/>
      <c r="N6152"/>
      <c r="O6152"/>
      <c r="P6152"/>
      <c r="Q6152"/>
      <c r="R6152"/>
      <c r="S6152"/>
      <c r="T6152"/>
      <c r="U6152"/>
      <c r="V6152"/>
      <c r="W6152"/>
      <c r="X6152"/>
      <c r="Y6152"/>
      <c r="Z6152"/>
      <c r="AA6152"/>
      <c r="AB6152"/>
      <c r="AC6152"/>
    </row>
    <row r="6153" spans="1:29" x14ac:dyDescent="0.3">
      <c r="A6153" s="12" t="s">
        <v>1370</v>
      </c>
      <c r="B6153" t="s">
        <v>518</v>
      </c>
      <c r="C6153" t="s">
        <v>123</v>
      </c>
      <c r="D6153" t="s">
        <v>520</v>
      </c>
      <c r="E6153" t="s">
        <v>537</v>
      </c>
      <c r="F6153"/>
      <c r="G6153"/>
      <c r="H6153"/>
      <c r="I6153"/>
      <c r="J6153"/>
      <c r="K6153"/>
      <c r="L6153"/>
      <c r="M6153"/>
      <c r="N6153"/>
      <c r="O6153"/>
      <c r="P6153"/>
      <c r="Q6153"/>
      <c r="R6153"/>
      <c r="S6153"/>
      <c r="T6153"/>
      <c r="U6153"/>
      <c r="V6153"/>
      <c r="W6153"/>
      <c r="X6153"/>
      <c r="Y6153"/>
      <c r="Z6153"/>
      <c r="AA6153"/>
      <c r="AB6153"/>
      <c r="AC6153"/>
    </row>
    <row r="6154" spans="1:29" x14ac:dyDescent="0.3">
      <c r="A6154" s="12" t="s">
        <v>1370</v>
      </c>
      <c r="B6154" t="s">
        <v>518</v>
      </c>
      <c r="C6154" t="s">
        <v>123</v>
      </c>
      <c r="D6154" t="s">
        <v>538</v>
      </c>
      <c r="E6154" t="s">
        <v>539</v>
      </c>
      <c r="F6154"/>
      <c r="G6154"/>
      <c r="H6154"/>
      <c r="I6154"/>
      <c r="J6154"/>
      <c r="K6154"/>
      <c r="L6154"/>
      <c r="M6154"/>
      <c r="N6154"/>
      <c r="O6154"/>
      <c r="P6154"/>
      <c r="Q6154"/>
      <c r="R6154"/>
      <c r="S6154"/>
      <c r="T6154"/>
      <c r="U6154"/>
      <c r="V6154"/>
      <c r="W6154"/>
      <c r="X6154"/>
      <c r="Y6154"/>
      <c r="Z6154"/>
      <c r="AA6154"/>
      <c r="AB6154"/>
      <c r="AC6154"/>
    </row>
    <row r="6155" spans="1:29" x14ac:dyDescent="0.3">
      <c r="A6155" s="12" t="s">
        <v>1370</v>
      </c>
      <c r="B6155" t="s">
        <v>518</v>
      </c>
      <c r="C6155" t="s">
        <v>123</v>
      </c>
      <c r="D6155" t="s">
        <v>540</v>
      </c>
      <c r="E6155" t="s">
        <v>1247</v>
      </c>
      <c r="F6155"/>
      <c r="G6155"/>
      <c r="H6155"/>
      <c r="I6155"/>
      <c r="J6155"/>
      <c r="K6155"/>
      <c r="L6155"/>
      <c r="M6155"/>
      <c r="N6155"/>
      <c r="O6155"/>
      <c r="P6155"/>
      <c r="Q6155"/>
      <c r="R6155"/>
      <c r="S6155"/>
      <c r="T6155"/>
      <c r="U6155"/>
      <c r="V6155"/>
      <c r="W6155"/>
      <c r="X6155"/>
      <c r="Y6155"/>
      <c r="Z6155"/>
      <c r="AA6155"/>
      <c r="AB6155"/>
      <c r="AC6155"/>
    </row>
    <row r="6156" spans="1:29" x14ac:dyDescent="0.3">
      <c r="A6156" s="12" t="s">
        <v>1370</v>
      </c>
      <c r="B6156" t="s">
        <v>518</v>
      </c>
      <c r="C6156" t="s">
        <v>123</v>
      </c>
      <c r="D6156" t="s">
        <v>542</v>
      </c>
      <c r="E6156" t="s">
        <v>1506</v>
      </c>
      <c r="F6156"/>
      <c r="G6156"/>
      <c r="H6156"/>
      <c r="I6156"/>
      <c r="J6156"/>
      <c r="K6156"/>
      <c r="L6156"/>
      <c r="M6156"/>
      <c r="N6156"/>
      <c r="O6156"/>
      <c r="P6156"/>
      <c r="Q6156"/>
      <c r="R6156"/>
      <c r="S6156"/>
      <c r="T6156"/>
      <c r="U6156"/>
      <c r="V6156"/>
      <c r="W6156"/>
      <c r="X6156"/>
      <c r="Y6156"/>
      <c r="Z6156"/>
      <c r="AA6156"/>
      <c r="AB6156"/>
      <c r="AC6156"/>
    </row>
    <row r="6157" spans="1:29" x14ac:dyDescent="0.3">
      <c r="A6157" s="12" t="s">
        <v>1370</v>
      </c>
      <c r="B6157" t="s">
        <v>518</v>
      </c>
      <c r="C6157" t="s">
        <v>123</v>
      </c>
      <c r="D6157" t="s">
        <v>542</v>
      </c>
      <c r="E6157" t="s">
        <v>1248</v>
      </c>
      <c r="F6157"/>
      <c r="G6157"/>
      <c r="H6157"/>
      <c r="I6157"/>
      <c r="J6157"/>
      <c r="K6157"/>
      <c r="L6157"/>
      <c r="M6157"/>
      <c r="N6157"/>
      <c r="O6157"/>
      <c r="P6157"/>
      <c r="Q6157"/>
      <c r="R6157"/>
      <c r="S6157"/>
      <c r="T6157"/>
      <c r="U6157"/>
      <c r="V6157"/>
      <c r="W6157"/>
      <c r="X6157"/>
      <c r="Y6157"/>
      <c r="Z6157"/>
      <c r="AA6157"/>
      <c r="AB6157"/>
      <c r="AC6157"/>
    </row>
    <row r="6158" spans="1:29" x14ac:dyDescent="0.3">
      <c r="A6158" s="12" t="s">
        <v>1370</v>
      </c>
      <c r="B6158" t="s">
        <v>518</v>
      </c>
      <c r="C6158" t="s">
        <v>123</v>
      </c>
      <c r="D6158" t="s">
        <v>542</v>
      </c>
      <c r="E6158" t="s">
        <v>544</v>
      </c>
      <c r="F6158"/>
      <c r="G6158"/>
      <c r="H6158"/>
      <c r="I6158"/>
      <c r="J6158"/>
      <c r="K6158"/>
      <c r="L6158"/>
      <c r="M6158"/>
      <c r="N6158"/>
      <c r="O6158"/>
      <c r="P6158"/>
      <c r="Q6158"/>
      <c r="R6158"/>
      <c r="S6158"/>
      <c r="T6158"/>
      <c r="U6158"/>
      <c r="V6158"/>
      <c r="W6158"/>
      <c r="X6158"/>
      <c r="Y6158"/>
      <c r="Z6158"/>
      <c r="AA6158"/>
      <c r="AB6158"/>
      <c r="AC6158"/>
    </row>
    <row r="6159" spans="1:29" x14ac:dyDescent="0.3">
      <c r="A6159" s="12" t="s">
        <v>1370</v>
      </c>
      <c r="B6159" t="s">
        <v>518</v>
      </c>
      <c r="C6159" t="s">
        <v>123</v>
      </c>
      <c r="D6159" t="s">
        <v>542</v>
      </c>
      <c r="E6159" t="s">
        <v>1249</v>
      </c>
      <c r="F6159"/>
      <c r="G6159"/>
      <c r="H6159"/>
      <c r="I6159"/>
      <c r="J6159"/>
      <c r="K6159"/>
      <c r="L6159"/>
      <c r="M6159"/>
      <c r="N6159"/>
      <c r="O6159"/>
      <c r="P6159"/>
      <c r="Q6159"/>
      <c r="R6159"/>
      <c r="S6159"/>
      <c r="T6159"/>
      <c r="U6159"/>
      <c r="V6159"/>
      <c r="W6159"/>
      <c r="X6159"/>
      <c r="Y6159"/>
      <c r="Z6159"/>
      <c r="AA6159"/>
      <c r="AB6159"/>
      <c r="AC6159"/>
    </row>
    <row r="6160" spans="1:29" x14ac:dyDescent="0.3">
      <c r="A6160" s="12" t="s">
        <v>1370</v>
      </c>
      <c r="B6160" t="s">
        <v>518</v>
      </c>
      <c r="C6160" t="s">
        <v>123</v>
      </c>
      <c r="D6160" t="s">
        <v>542</v>
      </c>
      <c r="E6160" t="s">
        <v>547</v>
      </c>
      <c r="F6160"/>
      <c r="G6160"/>
      <c r="H6160"/>
      <c r="I6160"/>
      <c r="J6160"/>
      <c r="K6160"/>
      <c r="L6160"/>
      <c r="M6160"/>
      <c r="N6160"/>
      <c r="O6160"/>
      <c r="P6160"/>
      <c r="Q6160"/>
      <c r="R6160"/>
      <c r="S6160"/>
      <c r="T6160"/>
      <c r="U6160"/>
      <c r="V6160"/>
      <c r="W6160"/>
      <c r="X6160"/>
      <c r="Y6160"/>
      <c r="Z6160"/>
      <c r="AA6160"/>
      <c r="AB6160"/>
      <c r="AC6160"/>
    </row>
    <row r="6161" spans="1:29" x14ac:dyDescent="0.3">
      <c r="A6161" s="12" t="s">
        <v>1370</v>
      </c>
      <c r="B6161" t="s">
        <v>518</v>
      </c>
      <c r="C6161" t="s">
        <v>123</v>
      </c>
      <c r="D6161" t="s">
        <v>542</v>
      </c>
      <c r="E6161" t="s">
        <v>1507</v>
      </c>
      <c r="F6161"/>
      <c r="G6161"/>
      <c r="H6161"/>
      <c r="I6161"/>
      <c r="J6161"/>
      <c r="K6161"/>
      <c r="L6161"/>
      <c r="M6161"/>
      <c r="N6161"/>
      <c r="O6161"/>
      <c r="P6161"/>
      <c r="Q6161"/>
      <c r="R6161"/>
      <c r="S6161"/>
      <c r="T6161"/>
      <c r="U6161"/>
      <c r="V6161"/>
      <c r="W6161"/>
      <c r="X6161"/>
      <c r="Y6161"/>
      <c r="Z6161"/>
      <c r="AA6161"/>
      <c r="AB6161"/>
      <c r="AC6161"/>
    </row>
    <row r="6162" spans="1:29" x14ac:dyDescent="0.3">
      <c r="A6162" s="12" t="s">
        <v>1370</v>
      </c>
      <c r="B6162" t="s">
        <v>518</v>
      </c>
      <c r="C6162" t="s">
        <v>123</v>
      </c>
      <c r="D6162" t="s">
        <v>542</v>
      </c>
      <c r="E6162" t="s">
        <v>1508</v>
      </c>
      <c r="F6162"/>
      <c r="G6162"/>
      <c r="H6162"/>
      <c r="I6162"/>
      <c r="J6162"/>
      <c r="K6162"/>
      <c r="L6162"/>
      <c r="M6162"/>
      <c r="N6162"/>
      <c r="O6162"/>
      <c r="P6162"/>
      <c r="Q6162"/>
      <c r="R6162"/>
      <c r="S6162"/>
      <c r="T6162"/>
      <c r="U6162"/>
      <c r="V6162"/>
      <c r="W6162"/>
      <c r="X6162"/>
      <c r="Y6162"/>
      <c r="Z6162"/>
      <c r="AA6162"/>
      <c r="AB6162"/>
      <c r="AC6162"/>
    </row>
    <row r="6163" spans="1:29" x14ac:dyDescent="0.3">
      <c r="A6163" s="12" t="s">
        <v>1370</v>
      </c>
      <c r="B6163" t="s">
        <v>518</v>
      </c>
      <c r="C6163" t="s">
        <v>123</v>
      </c>
      <c r="D6163" t="s">
        <v>542</v>
      </c>
      <c r="E6163" t="s">
        <v>548</v>
      </c>
      <c r="F6163"/>
      <c r="G6163"/>
      <c r="H6163"/>
      <c r="I6163"/>
      <c r="J6163"/>
      <c r="K6163"/>
      <c r="L6163"/>
      <c r="M6163"/>
      <c r="N6163"/>
      <c r="O6163"/>
      <c r="P6163"/>
      <c r="Q6163"/>
      <c r="R6163"/>
      <c r="S6163"/>
      <c r="T6163"/>
      <c r="U6163"/>
      <c r="V6163"/>
      <c r="W6163"/>
      <c r="X6163"/>
      <c r="Y6163"/>
      <c r="Z6163"/>
      <c r="AA6163"/>
      <c r="AB6163"/>
      <c r="AC6163"/>
    </row>
    <row r="6164" spans="1:29" x14ac:dyDescent="0.3">
      <c r="A6164" s="12" t="s">
        <v>1370</v>
      </c>
      <c r="B6164" t="s">
        <v>518</v>
      </c>
      <c r="C6164" t="s">
        <v>123</v>
      </c>
      <c r="D6164" t="s">
        <v>542</v>
      </c>
      <c r="E6164" t="s">
        <v>549</v>
      </c>
      <c r="F6164"/>
      <c r="G6164"/>
      <c r="H6164"/>
      <c r="I6164"/>
      <c r="J6164"/>
      <c r="K6164"/>
      <c r="L6164"/>
      <c r="M6164"/>
      <c r="N6164"/>
      <c r="O6164"/>
      <c r="P6164"/>
      <c r="Q6164"/>
      <c r="R6164"/>
      <c r="S6164"/>
      <c r="T6164"/>
      <c r="U6164"/>
      <c r="V6164"/>
      <c r="W6164"/>
      <c r="X6164"/>
      <c r="Y6164"/>
      <c r="Z6164"/>
      <c r="AA6164"/>
      <c r="AB6164"/>
      <c r="AC6164"/>
    </row>
    <row r="6165" spans="1:29" x14ac:dyDescent="0.3">
      <c r="A6165" s="12" t="s">
        <v>1370</v>
      </c>
      <c r="B6165" t="s">
        <v>518</v>
      </c>
      <c r="C6165" t="s">
        <v>123</v>
      </c>
      <c r="D6165" t="s">
        <v>542</v>
      </c>
      <c r="E6165" t="s">
        <v>550</v>
      </c>
      <c r="F6165"/>
      <c r="G6165"/>
      <c r="H6165"/>
      <c r="I6165"/>
      <c r="J6165"/>
      <c r="K6165"/>
      <c r="L6165"/>
      <c r="M6165"/>
      <c r="N6165"/>
      <c r="O6165"/>
      <c r="P6165"/>
      <c r="Q6165"/>
      <c r="R6165"/>
      <c r="S6165"/>
      <c r="T6165"/>
      <c r="U6165"/>
      <c r="V6165"/>
      <c r="W6165"/>
      <c r="X6165"/>
      <c r="Y6165"/>
      <c r="Z6165"/>
      <c r="AA6165"/>
      <c r="AB6165"/>
      <c r="AC6165"/>
    </row>
    <row r="6166" spans="1:29" x14ac:dyDescent="0.3">
      <c r="A6166" s="12" t="s">
        <v>1370</v>
      </c>
      <c r="B6166" t="s">
        <v>518</v>
      </c>
      <c r="C6166" t="s">
        <v>123</v>
      </c>
      <c r="D6166" t="s">
        <v>542</v>
      </c>
      <c r="E6166" t="s">
        <v>551</v>
      </c>
      <c r="F6166"/>
      <c r="G6166"/>
      <c r="H6166"/>
      <c r="I6166"/>
      <c r="J6166"/>
      <c r="K6166"/>
      <c r="L6166"/>
      <c r="M6166"/>
      <c r="N6166"/>
      <c r="O6166"/>
      <c r="P6166"/>
      <c r="Q6166"/>
      <c r="R6166"/>
      <c r="S6166"/>
      <c r="T6166"/>
      <c r="U6166"/>
      <c r="V6166"/>
      <c r="W6166"/>
      <c r="X6166"/>
      <c r="Y6166"/>
      <c r="Z6166"/>
      <c r="AA6166"/>
      <c r="AB6166"/>
      <c r="AC6166"/>
    </row>
    <row r="6167" spans="1:29" x14ac:dyDescent="0.3">
      <c r="A6167" s="12" t="s">
        <v>1370</v>
      </c>
      <c r="B6167" t="s">
        <v>518</v>
      </c>
      <c r="C6167" t="s">
        <v>123</v>
      </c>
      <c r="D6167"/>
      <c r="E6167" t="s">
        <v>552</v>
      </c>
      <c r="F6167"/>
      <c r="G6167"/>
      <c r="H6167"/>
      <c r="I6167"/>
      <c r="J6167"/>
      <c r="K6167"/>
      <c r="L6167"/>
      <c r="M6167"/>
      <c r="N6167"/>
      <c r="O6167"/>
      <c r="P6167"/>
      <c r="Q6167"/>
      <c r="R6167"/>
      <c r="S6167"/>
      <c r="T6167"/>
      <c r="U6167"/>
      <c r="V6167"/>
      <c r="W6167"/>
      <c r="X6167"/>
      <c r="Y6167"/>
      <c r="Z6167"/>
      <c r="AA6167"/>
      <c r="AB6167"/>
      <c r="AC6167"/>
    </row>
    <row r="6168" spans="1:29" customFormat="1" x14ac:dyDescent="0.3">
      <c r="A6168" s="12" t="s">
        <v>1243</v>
      </c>
      <c r="B6168" t="s">
        <v>119</v>
      </c>
      <c r="C6168" t="s">
        <v>120</v>
      </c>
      <c r="D6168" t="s">
        <v>121</v>
      </c>
      <c r="E6168" t="s">
        <v>122</v>
      </c>
    </row>
    <row r="6169" spans="1:29" customFormat="1" x14ac:dyDescent="0.3">
      <c r="A6169" s="12" t="s">
        <v>1243</v>
      </c>
      <c r="B6169" t="s">
        <v>119</v>
      </c>
      <c r="C6169" t="s">
        <v>123</v>
      </c>
      <c r="D6169" t="s">
        <v>124</v>
      </c>
      <c r="E6169" t="s">
        <v>125</v>
      </c>
    </row>
    <row r="6170" spans="1:29" customFormat="1" x14ac:dyDescent="0.3">
      <c r="A6170" s="12" t="s">
        <v>1243</v>
      </c>
      <c r="B6170" t="s">
        <v>119</v>
      </c>
      <c r="C6170" t="s">
        <v>123</v>
      </c>
      <c r="D6170" t="s">
        <v>126</v>
      </c>
    </row>
    <row r="6171" spans="1:29" customFormat="1" x14ac:dyDescent="0.3">
      <c r="A6171" s="12" t="s">
        <v>1243</v>
      </c>
      <c r="B6171" t="s">
        <v>119</v>
      </c>
      <c r="C6171" t="s">
        <v>123</v>
      </c>
      <c r="D6171" t="s">
        <v>127</v>
      </c>
      <c r="E6171" t="s">
        <v>128</v>
      </c>
    </row>
    <row r="6172" spans="1:29" customFormat="1" x14ac:dyDescent="0.3">
      <c r="A6172" s="12" t="s">
        <v>1243</v>
      </c>
      <c r="B6172" t="s">
        <v>119</v>
      </c>
      <c r="C6172" t="s">
        <v>123</v>
      </c>
      <c r="D6172" t="s">
        <v>129</v>
      </c>
      <c r="E6172" t="s">
        <v>1425</v>
      </c>
    </row>
    <row r="6173" spans="1:29" customFormat="1" x14ac:dyDescent="0.3">
      <c r="A6173" s="12" t="s">
        <v>1243</v>
      </c>
      <c r="B6173" t="s">
        <v>119</v>
      </c>
      <c r="C6173" t="s">
        <v>123</v>
      </c>
      <c r="D6173" t="s">
        <v>131</v>
      </c>
      <c r="E6173" t="s">
        <v>1426</v>
      </c>
    </row>
    <row r="6174" spans="1:29" customFormat="1" x14ac:dyDescent="0.3">
      <c r="A6174" s="12" t="s">
        <v>1243</v>
      </c>
      <c r="B6174" t="s">
        <v>133</v>
      </c>
      <c r="C6174" t="s">
        <v>120</v>
      </c>
      <c r="D6174" t="s">
        <v>121</v>
      </c>
      <c r="E6174" t="s">
        <v>122</v>
      </c>
    </row>
    <row r="6175" spans="1:29" customFormat="1" x14ac:dyDescent="0.3">
      <c r="A6175" s="12" t="s">
        <v>1243</v>
      </c>
      <c r="B6175" t="s">
        <v>133</v>
      </c>
      <c r="C6175" t="s">
        <v>123</v>
      </c>
      <c r="D6175" t="s">
        <v>134</v>
      </c>
    </row>
    <row r="6176" spans="1:29" customFormat="1" x14ac:dyDescent="0.3">
      <c r="A6176" s="12" t="s">
        <v>1243</v>
      </c>
      <c r="B6176" t="s">
        <v>133</v>
      </c>
      <c r="C6176" t="s">
        <v>123</v>
      </c>
      <c r="D6176" t="s">
        <v>135</v>
      </c>
    </row>
    <row r="6177" spans="1:9" customFormat="1" x14ac:dyDescent="0.3">
      <c r="A6177" s="12" t="s">
        <v>1243</v>
      </c>
      <c r="B6177" t="s">
        <v>133</v>
      </c>
      <c r="C6177" t="s">
        <v>123</v>
      </c>
      <c r="D6177" t="s">
        <v>136</v>
      </c>
    </row>
    <row r="6178" spans="1:9" customFormat="1" x14ac:dyDescent="0.3">
      <c r="A6178" s="12" t="s">
        <v>1243</v>
      </c>
      <c r="B6178" t="s">
        <v>133</v>
      </c>
      <c r="C6178" t="s">
        <v>123</v>
      </c>
      <c r="D6178" t="s">
        <v>137</v>
      </c>
    </row>
    <row r="6179" spans="1:9" customFormat="1" x14ac:dyDescent="0.3">
      <c r="A6179" s="12" t="s">
        <v>1243</v>
      </c>
      <c r="B6179" t="s">
        <v>133</v>
      </c>
      <c r="C6179" t="s">
        <v>123</v>
      </c>
      <c r="D6179" t="s">
        <v>138</v>
      </c>
      <c r="E6179" t="s">
        <v>139</v>
      </c>
    </row>
    <row r="6180" spans="1:9" customFormat="1" x14ac:dyDescent="0.3">
      <c r="A6180" s="12" t="s">
        <v>1243</v>
      </c>
      <c r="B6180" t="s">
        <v>133</v>
      </c>
      <c r="C6180" t="s">
        <v>123</v>
      </c>
      <c r="D6180" t="s">
        <v>140</v>
      </c>
      <c r="E6180" t="s">
        <v>141</v>
      </c>
    </row>
    <row r="6181" spans="1:9" customFormat="1" x14ac:dyDescent="0.3">
      <c r="A6181" s="12" t="s">
        <v>1243</v>
      </c>
      <c r="B6181" t="s">
        <v>133</v>
      </c>
      <c r="C6181" t="s">
        <v>123</v>
      </c>
      <c r="D6181" t="s">
        <v>142</v>
      </c>
      <c r="E6181" t="s">
        <v>114</v>
      </c>
    </row>
    <row r="6182" spans="1:9" customFormat="1" x14ac:dyDescent="0.3">
      <c r="A6182" s="12" t="s">
        <v>1243</v>
      </c>
      <c r="B6182" t="s">
        <v>143</v>
      </c>
      <c r="C6182" t="s">
        <v>120</v>
      </c>
      <c r="D6182" t="s">
        <v>144</v>
      </c>
      <c r="E6182" t="s">
        <v>145</v>
      </c>
      <c r="F6182" t="s">
        <v>146</v>
      </c>
      <c r="G6182" t="s">
        <v>147</v>
      </c>
      <c r="H6182" t="s">
        <v>148</v>
      </c>
      <c r="I6182" t="s">
        <v>99</v>
      </c>
    </row>
    <row r="6183" spans="1:9" customFormat="1" x14ac:dyDescent="0.3">
      <c r="A6183" s="12" t="s">
        <v>1243</v>
      </c>
      <c r="B6183" t="s">
        <v>143</v>
      </c>
      <c r="C6183" t="s">
        <v>123</v>
      </c>
      <c r="D6183" t="s">
        <v>149</v>
      </c>
      <c r="E6183">
        <v>39630.966124999999</v>
      </c>
      <c r="F6183">
        <v>25195.27</v>
      </c>
      <c r="G6183">
        <v>-16140.683875000001</v>
      </c>
      <c r="H6183">
        <v>9054.5861249999998</v>
      </c>
      <c r="I6183">
        <v>-30576.38</v>
      </c>
    </row>
    <row r="6184" spans="1:9" customFormat="1" x14ac:dyDescent="0.3">
      <c r="A6184" s="12" t="s">
        <v>1243</v>
      </c>
      <c r="B6184" t="s">
        <v>143</v>
      </c>
      <c r="C6184" t="s">
        <v>123</v>
      </c>
      <c r="D6184" t="s">
        <v>150</v>
      </c>
      <c r="E6184">
        <v>488304.8</v>
      </c>
      <c r="F6184">
        <v>501794.27</v>
      </c>
      <c r="G6184">
        <v>0</v>
      </c>
      <c r="H6184">
        <v>501794.27</v>
      </c>
      <c r="I6184">
        <v>13489.47</v>
      </c>
    </row>
    <row r="6185" spans="1:9" customFormat="1" x14ac:dyDescent="0.3">
      <c r="A6185" s="12" t="s">
        <v>1243</v>
      </c>
      <c r="B6185" t="s">
        <v>143</v>
      </c>
      <c r="C6185" t="s">
        <v>123</v>
      </c>
      <c r="D6185" t="s">
        <v>151</v>
      </c>
      <c r="E6185">
        <v>50.18</v>
      </c>
      <c r="F6185">
        <v>1.74</v>
      </c>
      <c r="G6185">
        <v>-9.09</v>
      </c>
      <c r="H6185">
        <v>-7.35</v>
      </c>
      <c r="I6185">
        <v>-57.53</v>
      </c>
    </row>
    <row r="6186" spans="1:9" customFormat="1" x14ac:dyDescent="0.3">
      <c r="A6186" s="12" t="s">
        <v>1243</v>
      </c>
      <c r="B6186" t="s">
        <v>143</v>
      </c>
      <c r="C6186" t="s">
        <v>123</v>
      </c>
      <c r="D6186" t="s">
        <v>152</v>
      </c>
      <c r="E6186">
        <v>39.729999999999997</v>
      </c>
      <c r="F6186">
        <v>123.79</v>
      </c>
      <c r="G6186">
        <v>0</v>
      </c>
      <c r="H6186">
        <v>123.79</v>
      </c>
      <c r="I6186">
        <v>84.06</v>
      </c>
    </row>
    <row r="6187" spans="1:9" customFormat="1" x14ac:dyDescent="0.3">
      <c r="A6187" s="12" t="s">
        <v>1243</v>
      </c>
      <c r="B6187" t="s">
        <v>143</v>
      </c>
      <c r="C6187" t="s">
        <v>123</v>
      </c>
      <c r="D6187" t="s">
        <v>97</v>
      </c>
      <c r="E6187">
        <v>528025.676125</v>
      </c>
      <c r="F6187">
        <v>527115.06999999995</v>
      </c>
      <c r="G6187">
        <v>-16149.773875000001</v>
      </c>
      <c r="H6187">
        <v>510965.29612499999</v>
      </c>
      <c r="I6187">
        <v>-17060.38</v>
      </c>
    </row>
    <row r="6188" spans="1:9" customFormat="1" x14ac:dyDescent="0.3">
      <c r="A6188" s="12" t="s">
        <v>1243</v>
      </c>
      <c r="B6188" t="s">
        <v>143</v>
      </c>
      <c r="C6188" t="s">
        <v>120</v>
      </c>
      <c r="D6188" t="s">
        <v>153</v>
      </c>
    </row>
    <row r="6189" spans="1:9" customFormat="1" x14ac:dyDescent="0.3">
      <c r="A6189" s="12" t="s">
        <v>1243</v>
      </c>
      <c r="B6189" t="s">
        <v>143</v>
      </c>
      <c r="C6189" t="s">
        <v>123</v>
      </c>
      <c r="D6189" s="32">
        <v>-3.2309754570000002E-2</v>
      </c>
    </row>
    <row r="6190" spans="1:9" customFormat="1" x14ac:dyDescent="0.3">
      <c r="A6190" s="12" t="s">
        <v>1243</v>
      </c>
      <c r="B6190" t="s">
        <v>154</v>
      </c>
      <c r="C6190" t="s">
        <v>120</v>
      </c>
      <c r="D6190" t="s">
        <v>121</v>
      </c>
      <c r="E6190" t="s">
        <v>122</v>
      </c>
    </row>
    <row r="6191" spans="1:9" customFormat="1" x14ac:dyDescent="0.3">
      <c r="A6191" s="12" t="s">
        <v>1243</v>
      </c>
      <c r="B6191" t="s">
        <v>154</v>
      </c>
      <c r="C6191" t="s">
        <v>123</v>
      </c>
      <c r="D6191" t="s">
        <v>155</v>
      </c>
      <c r="E6191">
        <v>528025.676125</v>
      </c>
    </row>
    <row r="6192" spans="1:9" customFormat="1" x14ac:dyDescent="0.3">
      <c r="A6192" s="12" t="s">
        <v>1243</v>
      </c>
      <c r="B6192" t="s">
        <v>154</v>
      </c>
      <c r="C6192" t="s">
        <v>123</v>
      </c>
      <c r="D6192" t="s">
        <v>156</v>
      </c>
      <c r="E6192">
        <v>-18061.16</v>
      </c>
    </row>
    <row r="6193" spans="1:15" customFormat="1" x14ac:dyDescent="0.3">
      <c r="A6193" s="12" t="s">
        <v>1243</v>
      </c>
      <c r="B6193" t="s">
        <v>154</v>
      </c>
      <c r="C6193" t="s">
        <v>123</v>
      </c>
      <c r="D6193" t="s">
        <v>157</v>
      </c>
      <c r="E6193">
        <v>1312.62</v>
      </c>
    </row>
    <row r="6194" spans="1:15" customFormat="1" x14ac:dyDescent="0.3">
      <c r="A6194" s="12" t="s">
        <v>1243</v>
      </c>
      <c r="B6194" t="s">
        <v>154</v>
      </c>
      <c r="C6194" t="s">
        <v>123</v>
      </c>
      <c r="D6194" t="s">
        <v>158</v>
      </c>
      <c r="E6194">
        <v>-328.18</v>
      </c>
    </row>
    <row r="6195" spans="1:15" customFormat="1" x14ac:dyDescent="0.3">
      <c r="A6195" s="12" t="s">
        <v>1243</v>
      </c>
      <c r="B6195" t="s">
        <v>154</v>
      </c>
      <c r="C6195" t="s">
        <v>123</v>
      </c>
      <c r="D6195" t="s">
        <v>159</v>
      </c>
      <c r="E6195">
        <v>84.06</v>
      </c>
    </row>
    <row r="6196" spans="1:15" customFormat="1" x14ac:dyDescent="0.3">
      <c r="A6196" s="12" t="s">
        <v>1243</v>
      </c>
      <c r="B6196" t="s">
        <v>154</v>
      </c>
      <c r="C6196" t="s">
        <v>123</v>
      </c>
      <c r="D6196" t="s">
        <v>160</v>
      </c>
      <c r="E6196">
        <v>50.46</v>
      </c>
    </row>
    <row r="6197" spans="1:15" customFormat="1" x14ac:dyDescent="0.3">
      <c r="A6197" s="12" t="s">
        <v>1243</v>
      </c>
      <c r="B6197" t="s">
        <v>154</v>
      </c>
      <c r="C6197" t="s">
        <v>123</v>
      </c>
      <c r="D6197" t="s">
        <v>161</v>
      </c>
      <c r="E6197">
        <v>-57.53</v>
      </c>
    </row>
    <row r="6198" spans="1:15" customFormat="1" x14ac:dyDescent="0.3">
      <c r="A6198" s="12" t="s">
        <v>1243</v>
      </c>
      <c r="B6198" t="s">
        <v>154</v>
      </c>
      <c r="C6198" t="s">
        <v>123</v>
      </c>
      <c r="D6198" t="s">
        <v>162</v>
      </c>
      <c r="E6198">
        <v>-60.65</v>
      </c>
    </row>
    <row r="6199" spans="1:15" customFormat="1" x14ac:dyDescent="0.3">
      <c r="A6199" s="12" t="s">
        <v>1243</v>
      </c>
      <c r="B6199" t="s">
        <v>154</v>
      </c>
      <c r="C6199" t="s">
        <v>123</v>
      </c>
      <c r="D6199" t="s">
        <v>163</v>
      </c>
      <c r="E6199">
        <v>510965.29612499999</v>
      </c>
    </row>
    <row r="6200" spans="1:15" customFormat="1" x14ac:dyDescent="0.3">
      <c r="A6200" s="12" t="s">
        <v>1243</v>
      </c>
      <c r="B6200" t="s">
        <v>164</v>
      </c>
      <c r="C6200" t="s">
        <v>120</v>
      </c>
      <c r="D6200" t="s">
        <v>100</v>
      </c>
      <c r="E6200" t="s">
        <v>0</v>
      </c>
      <c r="F6200" t="s">
        <v>101</v>
      </c>
      <c r="G6200" t="s">
        <v>102</v>
      </c>
      <c r="H6200" t="s">
        <v>103</v>
      </c>
      <c r="I6200" t="s">
        <v>104</v>
      </c>
      <c r="J6200" t="s">
        <v>105</v>
      </c>
      <c r="K6200" t="s">
        <v>106</v>
      </c>
      <c r="L6200" t="s">
        <v>107</v>
      </c>
      <c r="M6200" t="s">
        <v>108</v>
      </c>
      <c r="N6200" t="s">
        <v>109</v>
      </c>
      <c r="O6200" t="s">
        <v>165</v>
      </c>
    </row>
    <row r="6201" spans="1:15" customFormat="1" x14ac:dyDescent="0.3">
      <c r="A6201" s="12" t="s">
        <v>1243</v>
      </c>
      <c r="B6201" t="s">
        <v>164</v>
      </c>
      <c r="C6201" t="s">
        <v>123</v>
      </c>
      <c r="D6201" t="s">
        <v>110</v>
      </c>
      <c r="E6201" t="s">
        <v>45</v>
      </c>
      <c r="F6201">
        <v>25</v>
      </c>
      <c r="G6201">
        <v>10</v>
      </c>
      <c r="H6201">
        <v>137.17500000000001</v>
      </c>
      <c r="I6201">
        <v>120.79</v>
      </c>
      <c r="J6201">
        <v>-305.38</v>
      </c>
      <c r="K6201">
        <v>41.25</v>
      </c>
      <c r="L6201">
        <v>-1.3</v>
      </c>
      <c r="M6201">
        <v>0</v>
      </c>
      <c r="N6201">
        <v>-265.43</v>
      </c>
    </row>
    <row r="6202" spans="1:15" customFormat="1" x14ac:dyDescent="0.3">
      <c r="A6202" s="12" t="s">
        <v>1243</v>
      </c>
      <c r="B6202" t="s">
        <v>164</v>
      </c>
      <c r="C6202" t="s">
        <v>123</v>
      </c>
      <c r="D6202" t="s">
        <v>110</v>
      </c>
      <c r="E6202" t="s">
        <v>4</v>
      </c>
      <c r="F6202">
        <v>25</v>
      </c>
      <c r="G6202">
        <v>0</v>
      </c>
      <c r="H6202">
        <v>209</v>
      </c>
      <c r="I6202" t="s">
        <v>111</v>
      </c>
      <c r="J6202">
        <v>-381.75</v>
      </c>
      <c r="K6202">
        <v>16</v>
      </c>
      <c r="L6202">
        <v>-1.3</v>
      </c>
      <c r="M6202">
        <v>0</v>
      </c>
      <c r="N6202">
        <v>-367.05</v>
      </c>
    </row>
    <row r="6203" spans="1:15" customFormat="1" x14ac:dyDescent="0.3">
      <c r="A6203" s="12" t="s">
        <v>1243</v>
      </c>
      <c r="B6203" t="s">
        <v>164</v>
      </c>
      <c r="C6203" t="s">
        <v>123</v>
      </c>
      <c r="D6203" t="s">
        <v>110</v>
      </c>
      <c r="E6203" t="s">
        <v>7</v>
      </c>
      <c r="F6203">
        <v>20</v>
      </c>
      <c r="G6203">
        <v>0</v>
      </c>
      <c r="H6203">
        <v>162.08000000000001</v>
      </c>
      <c r="I6203" t="s">
        <v>111</v>
      </c>
      <c r="J6203">
        <v>194.6</v>
      </c>
      <c r="K6203">
        <v>105.87</v>
      </c>
      <c r="L6203">
        <v>-1.3</v>
      </c>
      <c r="M6203">
        <v>0</v>
      </c>
      <c r="N6203">
        <v>299.17</v>
      </c>
    </row>
    <row r="6204" spans="1:15" customFormat="1" x14ac:dyDescent="0.3">
      <c r="A6204" s="12" t="s">
        <v>1243</v>
      </c>
      <c r="B6204" t="s">
        <v>164</v>
      </c>
      <c r="C6204" t="s">
        <v>123</v>
      </c>
      <c r="D6204" t="s">
        <v>110</v>
      </c>
      <c r="E6204" t="s">
        <v>1373</v>
      </c>
      <c r="F6204">
        <v>100</v>
      </c>
      <c r="G6204">
        <v>100</v>
      </c>
      <c r="H6204">
        <v>59.21</v>
      </c>
      <c r="I6204">
        <v>59.2</v>
      </c>
      <c r="J6204">
        <v>-1</v>
      </c>
      <c r="K6204">
        <v>0</v>
      </c>
      <c r="L6204">
        <v>0</v>
      </c>
      <c r="M6204">
        <v>0</v>
      </c>
      <c r="N6204">
        <v>-1</v>
      </c>
    </row>
    <row r="6205" spans="1:15" customFormat="1" x14ac:dyDescent="0.3">
      <c r="A6205" s="12" t="s">
        <v>1243</v>
      </c>
      <c r="B6205" t="s">
        <v>164</v>
      </c>
      <c r="C6205" t="s">
        <v>123</v>
      </c>
      <c r="D6205" t="s">
        <v>110</v>
      </c>
      <c r="E6205" t="s">
        <v>1155</v>
      </c>
      <c r="F6205">
        <v>40</v>
      </c>
      <c r="G6205">
        <v>40</v>
      </c>
      <c r="H6205">
        <v>127.59</v>
      </c>
      <c r="I6205">
        <v>115.24</v>
      </c>
      <c r="J6205">
        <v>-494</v>
      </c>
      <c r="K6205">
        <v>0</v>
      </c>
      <c r="L6205">
        <v>0</v>
      </c>
      <c r="M6205">
        <v>0</v>
      </c>
      <c r="N6205">
        <v>-494</v>
      </c>
    </row>
    <row r="6206" spans="1:15" customFormat="1" x14ac:dyDescent="0.3">
      <c r="A6206" s="12" t="s">
        <v>1243</v>
      </c>
      <c r="B6206" t="s">
        <v>164</v>
      </c>
      <c r="C6206" t="s">
        <v>123</v>
      </c>
      <c r="D6206" t="s">
        <v>110</v>
      </c>
      <c r="E6206" t="s">
        <v>1427</v>
      </c>
      <c r="F6206">
        <v>0</v>
      </c>
      <c r="G6206">
        <v>5</v>
      </c>
      <c r="H6206" t="s">
        <v>111</v>
      </c>
      <c r="I6206">
        <v>942.89</v>
      </c>
      <c r="J6206">
        <v>-89.75</v>
      </c>
      <c r="K6206">
        <v>67.900000000000006</v>
      </c>
      <c r="L6206">
        <v>-1.3</v>
      </c>
      <c r="M6206">
        <v>0</v>
      </c>
      <c r="N6206">
        <v>-23.15</v>
      </c>
    </row>
    <row r="6207" spans="1:15" customFormat="1" x14ac:dyDescent="0.3">
      <c r="A6207" s="12" t="s">
        <v>1243</v>
      </c>
      <c r="B6207" t="s">
        <v>164</v>
      </c>
      <c r="C6207" t="s">
        <v>123</v>
      </c>
      <c r="D6207" t="s">
        <v>110</v>
      </c>
      <c r="E6207" t="s">
        <v>48</v>
      </c>
      <c r="F6207">
        <v>35</v>
      </c>
      <c r="G6207">
        <v>35</v>
      </c>
      <c r="H6207">
        <v>182.16</v>
      </c>
      <c r="I6207">
        <v>166.79</v>
      </c>
      <c r="J6207">
        <v>-537.95000000000005</v>
      </c>
      <c r="K6207">
        <v>0</v>
      </c>
      <c r="L6207">
        <v>0</v>
      </c>
      <c r="M6207">
        <v>0</v>
      </c>
      <c r="N6207">
        <v>-537.95000000000005</v>
      </c>
    </row>
    <row r="6208" spans="1:15" customFormat="1" x14ac:dyDescent="0.3">
      <c r="A6208" s="12" t="s">
        <v>1243</v>
      </c>
      <c r="B6208" t="s">
        <v>164</v>
      </c>
      <c r="C6208" t="s">
        <v>123</v>
      </c>
      <c r="D6208" t="s">
        <v>110</v>
      </c>
      <c r="E6208" t="s">
        <v>54</v>
      </c>
      <c r="F6208">
        <v>5</v>
      </c>
      <c r="G6208">
        <v>5</v>
      </c>
      <c r="H6208">
        <v>334.12</v>
      </c>
      <c r="I6208">
        <v>328.93</v>
      </c>
      <c r="J6208">
        <v>-25.95</v>
      </c>
      <c r="K6208">
        <v>0</v>
      </c>
      <c r="L6208">
        <v>0</v>
      </c>
      <c r="M6208">
        <v>0</v>
      </c>
      <c r="N6208">
        <v>-25.95</v>
      </c>
    </row>
    <row r="6209" spans="1:14" customFormat="1" x14ac:dyDescent="0.3">
      <c r="A6209" s="12" t="s">
        <v>1243</v>
      </c>
      <c r="B6209" t="s">
        <v>164</v>
      </c>
      <c r="C6209" t="s">
        <v>123</v>
      </c>
      <c r="D6209" t="s">
        <v>110</v>
      </c>
      <c r="E6209" t="s">
        <v>19</v>
      </c>
      <c r="F6209">
        <v>30</v>
      </c>
      <c r="G6209">
        <v>30</v>
      </c>
      <c r="H6209">
        <v>168.95</v>
      </c>
      <c r="I6209">
        <v>189.3</v>
      </c>
      <c r="J6209">
        <v>610.5</v>
      </c>
      <c r="K6209">
        <v>0</v>
      </c>
      <c r="L6209">
        <v>0</v>
      </c>
      <c r="M6209">
        <v>4.5</v>
      </c>
      <c r="N6209">
        <v>615</v>
      </c>
    </row>
    <row r="6210" spans="1:14" customFormat="1" x14ac:dyDescent="0.3">
      <c r="A6210" s="12" t="s">
        <v>1243</v>
      </c>
      <c r="B6210" t="s">
        <v>164</v>
      </c>
      <c r="C6210" t="s">
        <v>123</v>
      </c>
      <c r="D6210" t="s">
        <v>110</v>
      </c>
      <c r="E6210" t="s">
        <v>1428</v>
      </c>
      <c r="F6210">
        <v>0</v>
      </c>
      <c r="G6210">
        <v>250</v>
      </c>
      <c r="H6210" t="s">
        <v>111</v>
      </c>
      <c r="I6210">
        <v>21.35</v>
      </c>
      <c r="J6210">
        <v>190</v>
      </c>
      <c r="K6210">
        <v>-95</v>
      </c>
      <c r="L6210">
        <v>-1.75</v>
      </c>
      <c r="M6210">
        <v>0</v>
      </c>
      <c r="N6210">
        <v>93.25</v>
      </c>
    </row>
    <row r="6211" spans="1:14" customFormat="1" x14ac:dyDescent="0.3">
      <c r="A6211" s="12" t="s">
        <v>1243</v>
      </c>
      <c r="B6211" t="s">
        <v>164</v>
      </c>
      <c r="C6211" t="s">
        <v>123</v>
      </c>
      <c r="D6211" t="s">
        <v>110</v>
      </c>
      <c r="E6211" t="s">
        <v>1374</v>
      </c>
      <c r="F6211">
        <v>60</v>
      </c>
      <c r="G6211">
        <v>60</v>
      </c>
      <c r="H6211">
        <v>123.67</v>
      </c>
      <c r="I6211">
        <v>105.11</v>
      </c>
      <c r="J6211">
        <v>-1113.5999999999999</v>
      </c>
      <c r="K6211">
        <v>0</v>
      </c>
      <c r="L6211">
        <v>0</v>
      </c>
      <c r="M6211">
        <v>0</v>
      </c>
      <c r="N6211">
        <v>-1113.5999999999999</v>
      </c>
    </row>
    <row r="6212" spans="1:14" customFormat="1" x14ac:dyDescent="0.3">
      <c r="A6212" s="12" t="s">
        <v>1243</v>
      </c>
      <c r="B6212" t="s">
        <v>164</v>
      </c>
      <c r="C6212" t="s">
        <v>123</v>
      </c>
      <c r="D6212" t="s">
        <v>110</v>
      </c>
      <c r="E6212" t="s">
        <v>1253</v>
      </c>
      <c r="F6212">
        <v>30</v>
      </c>
      <c r="G6212">
        <v>30</v>
      </c>
      <c r="H6212">
        <v>155.57</v>
      </c>
      <c r="I6212">
        <v>145.35</v>
      </c>
      <c r="J6212">
        <v>-306.60000000000002</v>
      </c>
      <c r="K6212">
        <v>0</v>
      </c>
      <c r="L6212">
        <v>0</v>
      </c>
      <c r="M6212">
        <v>9.83</v>
      </c>
      <c r="N6212">
        <v>-296.77</v>
      </c>
    </row>
    <row r="6213" spans="1:14" customFormat="1" x14ac:dyDescent="0.3">
      <c r="A6213" s="12" t="s">
        <v>1243</v>
      </c>
      <c r="B6213" t="s">
        <v>164</v>
      </c>
      <c r="C6213" t="s">
        <v>123</v>
      </c>
      <c r="D6213" t="s">
        <v>110</v>
      </c>
      <c r="E6213" t="s">
        <v>1254</v>
      </c>
      <c r="F6213">
        <v>50</v>
      </c>
      <c r="G6213">
        <v>50</v>
      </c>
      <c r="H6213">
        <v>241.87</v>
      </c>
      <c r="I6213">
        <v>220.96</v>
      </c>
      <c r="J6213">
        <v>-1045.5</v>
      </c>
      <c r="K6213">
        <v>0</v>
      </c>
      <c r="L6213">
        <v>0</v>
      </c>
      <c r="M6213">
        <v>26.02</v>
      </c>
      <c r="N6213">
        <v>-1019.48</v>
      </c>
    </row>
    <row r="6214" spans="1:14" customFormat="1" x14ac:dyDescent="0.3">
      <c r="A6214" s="12" t="s">
        <v>1243</v>
      </c>
      <c r="B6214" t="s">
        <v>164</v>
      </c>
      <c r="C6214" t="s">
        <v>123</v>
      </c>
      <c r="D6214" t="s">
        <v>110</v>
      </c>
      <c r="E6214" t="s">
        <v>70</v>
      </c>
      <c r="F6214">
        <v>20</v>
      </c>
      <c r="G6214">
        <v>20</v>
      </c>
      <c r="H6214">
        <v>249.72</v>
      </c>
      <c r="I6214">
        <v>239.71</v>
      </c>
      <c r="J6214">
        <v>-200.2</v>
      </c>
      <c r="K6214">
        <v>0</v>
      </c>
      <c r="L6214">
        <v>0</v>
      </c>
      <c r="M6214">
        <v>0</v>
      </c>
      <c r="N6214">
        <v>-200.2</v>
      </c>
    </row>
    <row r="6215" spans="1:14" customFormat="1" x14ac:dyDescent="0.3">
      <c r="A6215" s="12" t="s">
        <v>1243</v>
      </c>
      <c r="B6215" t="s">
        <v>164</v>
      </c>
      <c r="C6215" t="s">
        <v>123</v>
      </c>
      <c r="D6215" t="s">
        <v>110</v>
      </c>
      <c r="E6215" t="s">
        <v>49</v>
      </c>
      <c r="F6215">
        <v>5</v>
      </c>
      <c r="G6215">
        <v>0</v>
      </c>
      <c r="H6215">
        <v>795.35</v>
      </c>
      <c r="I6215" t="s">
        <v>111</v>
      </c>
      <c r="J6215">
        <v>-81.75</v>
      </c>
      <c r="K6215">
        <v>2.35</v>
      </c>
      <c r="L6215">
        <v>-1.3</v>
      </c>
      <c r="M6215">
        <v>4.87</v>
      </c>
      <c r="N6215">
        <v>-75.83</v>
      </c>
    </row>
    <row r="6216" spans="1:14" customFormat="1" x14ac:dyDescent="0.3">
      <c r="A6216" s="12" t="s">
        <v>1243</v>
      </c>
      <c r="B6216" t="s">
        <v>164</v>
      </c>
      <c r="C6216" t="s">
        <v>123</v>
      </c>
      <c r="D6216" t="s">
        <v>110</v>
      </c>
      <c r="E6216" t="s">
        <v>1375</v>
      </c>
      <c r="F6216">
        <v>60</v>
      </c>
      <c r="G6216">
        <v>30</v>
      </c>
      <c r="H6216">
        <v>92.69</v>
      </c>
      <c r="I6216">
        <v>110.45</v>
      </c>
      <c r="J6216">
        <v>650.4</v>
      </c>
      <c r="K6216">
        <v>12.15</v>
      </c>
      <c r="L6216">
        <v>-3.9</v>
      </c>
      <c r="M6216">
        <v>0</v>
      </c>
      <c r="N6216">
        <v>658.65</v>
      </c>
    </row>
    <row r="6217" spans="1:14" customFormat="1" x14ac:dyDescent="0.3">
      <c r="A6217" s="12" t="s">
        <v>1243</v>
      </c>
      <c r="B6217" t="s">
        <v>164</v>
      </c>
      <c r="C6217" t="s">
        <v>123</v>
      </c>
      <c r="D6217" t="s">
        <v>110</v>
      </c>
      <c r="E6217" t="s">
        <v>28</v>
      </c>
      <c r="F6217">
        <v>56</v>
      </c>
      <c r="G6217">
        <v>56</v>
      </c>
      <c r="H6217">
        <v>423.46</v>
      </c>
      <c r="I6217">
        <v>421.5</v>
      </c>
      <c r="J6217">
        <v>-109.76</v>
      </c>
      <c r="K6217">
        <v>0</v>
      </c>
      <c r="L6217">
        <v>0</v>
      </c>
      <c r="M6217">
        <v>34.86</v>
      </c>
      <c r="N6217">
        <v>-74.900000000000006</v>
      </c>
    </row>
    <row r="6218" spans="1:14" customFormat="1" x14ac:dyDescent="0.3">
      <c r="A6218" s="12" t="s">
        <v>1243</v>
      </c>
      <c r="B6218" t="s">
        <v>164</v>
      </c>
      <c r="C6218" t="s">
        <v>123</v>
      </c>
      <c r="D6218" t="s">
        <v>110</v>
      </c>
      <c r="E6218" t="s">
        <v>71</v>
      </c>
      <c r="F6218">
        <v>40</v>
      </c>
      <c r="G6218">
        <v>40</v>
      </c>
      <c r="H6218">
        <v>138.25</v>
      </c>
      <c r="I6218">
        <v>134.29</v>
      </c>
      <c r="J6218">
        <v>-158.4</v>
      </c>
      <c r="K6218">
        <v>0</v>
      </c>
      <c r="L6218">
        <v>0</v>
      </c>
      <c r="M6218">
        <v>0.3</v>
      </c>
      <c r="N6218">
        <v>-158.1</v>
      </c>
    </row>
    <row r="6219" spans="1:14" customFormat="1" x14ac:dyDescent="0.3">
      <c r="A6219" s="12" t="s">
        <v>1243</v>
      </c>
      <c r="B6219" t="s">
        <v>164</v>
      </c>
      <c r="C6219" t="s">
        <v>123</v>
      </c>
      <c r="D6219" t="s">
        <v>110</v>
      </c>
      <c r="E6219" t="s">
        <v>29</v>
      </c>
      <c r="F6219">
        <v>9</v>
      </c>
      <c r="G6219">
        <v>18</v>
      </c>
      <c r="H6219">
        <v>387.82</v>
      </c>
      <c r="I6219">
        <v>181.96</v>
      </c>
      <c r="J6219">
        <v>-215.1</v>
      </c>
      <c r="K6219">
        <v>0</v>
      </c>
      <c r="L6219">
        <v>0</v>
      </c>
      <c r="M6219">
        <v>0</v>
      </c>
      <c r="N6219">
        <v>-215.1</v>
      </c>
    </row>
    <row r="6220" spans="1:14" customFormat="1" x14ac:dyDescent="0.3">
      <c r="A6220" s="12" t="s">
        <v>1243</v>
      </c>
      <c r="B6220" t="s">
        <v>164</v>
      </c>
      <c r="C6220" t="s">
        <v>123</v>
      </c>
      <c r="D6220" t="s">
        <v>110</v>
      </c>
      <c r="E6220" t="s">
        <v>1429</v>
      </c>
      <c r="F6220">
        <v>0</v>
      </c>
      <c r="G6220">
        <v>100</v>
      </c>
      <c r="H6220" t="s">
        <v>111</v>
      </c>
      <c r="I6220">
        <v>75.63</v>
      </c>
      <c r="J6220">
        <v>-12</v>
      </c>
      <c r="K6220">
        <v>18</v>
      </c>
      <c r="L6220">
        <v>-1.3</v>
      </c>
      <c r="M6220">
        <v>0</v>
      </c>
      <c r="N6220">
        <v>4.7</v>
      </c>
    </row>
    <row r="6221" spans="1:14" customFormat="1" x14ac:dyDescent="0.3">
      <c r="A6221" s="12" t="s">
        <v>1243</v>
      </c>
      <c r="B6221" t="s">
        <v>164</v>
      </c>
      <c r="C6221" t="s">
        <v>123</v>
      </c>
      <c r="D6221" t="s">
        <v>110</v>
      </c>
      <c r="E6221" t="s">
        <v>82</v>
      </c>
      <c r="F6221">
        <v>150</v>
      </c>
      <c r="G6221">
        <v>150</v>
      </c>
      <c r="H6221">
        <v>509.74</v>
      </c>
      <c r="I6221">
        <v>511.23</v>
      </c>
      <c r="J6221">
        <v>223.5</v>
      </c>
      <c r="K6221">
        <v>0</v>
      </c>
      <c r="L6221">
        <v>0</v>
      </c>
      <c r="M6221">
        <v>93.9</v>
      </c>
      <c r="N6221">
        <v>317.39999999999998</v>
      </c>
    </row>
    <row r="6222" spans="1:14" customFormat="1" x14ac:dyDescent="0.3">
      <c r="A6222" s="12" t="s">
        <v>1243</v>
      </c>
      <c r="B6222" t="s">
        <v>164</v>
      </c>
      <c r="C6222" t="s">
        <v>123</v>
      </c>
      <c r="D6222" t="s">
        <v>110</v>
      </c>
      <c r="E6222" t="s">
        <v>1255</v>
      </c>
      <c r="F6222">
        <v>400</v>
      </c>
      <c r="G6222">
        <v>550</v>
      </c>
      <c r="H6222">
        <v>187.62</v>
      </c>
      <c r="I6222">
        <v>175.23</v>
      </c>
      <c r="J6222">
        <v>-6621</v>
      </c>
      <c r="K6222">
        <v>85.5</v>
      </c>
      <c r="L6222">
        <v>-1.3</v>
      </c>
      <c r="M6222">
        <v>255.61</v>
      </c>
      <c r="N6222">
        <v>-6281.19</v>
      </c>
    </row>
    <row r="6223" spans="1:14" customFormat="1" x14ac:dyDescent="0.3">
      <c r="A6223" s="12" t="s">
        <v>1243</v>
      </c>
      <c r="B6223" t="s">
        <v>164</v>
      </c>
      <c r="C6223" t="s">
        <v>123</v>
      </c>
      <c r="D6223" t="s">
        <v>110</v>
      </c>
      <c r="E6223" t="s">
        <v>51</v>
      </c>
      <c r="F6223">
        <v>50</v>
      </c>
      <c r="G6223">
        <v>0</v>
      </c>
      <c r="H6223">
        <v>32.64</v>
      </c>
      <c r="I6223" t="s">
        <v>111</v>
      </c>
      <c r="J6223">
        <v>40</v>
      </c>
      <c r="K6223">
        <v>-87</v>
      </c>
      <c r="L6223">
        <v>-1.3</v>
      </c>
      <c r="M6223">
        <v>0</v>
      </c>
      <c r="N6223">
        <v>-48.3</v>
      </c>
    </row>
    <row r="6224" spans="1:14" customFormat="1" x14ac:dyDescent="0.3">
      <c r="A6224" s="12" t="s">
        <v>1243</v>
      </c>
      <c r="B6224" t="s">
        <v>164</v>
      </c>
      <c r="C6224" t="s">
        <v>123</v>
      </c>
      <c r="D6224" t="s">
        <v>110</v>
      </c>
      <c r="E6224" t="s">
        <v>86</v>
      </c>
      <c r="F6224">
        <v>40</v>
      </c>
      <c r="G6224">
        <v>40</v>
      </c>
      <c r="H6224">
        <v>602.54999999999995</v>
      </c>
      <c r="I6224">
        <v>586.08000000000004</v>
      </c>
      <c r="J6224">
        <v>-658.8</v>
      </c>
      <c r="K6224">
        <v>0</v>
      </c>
      <c r="L6224">
        <v>0</v>
      </c>
      <c r="M6224">
        <v>0</v>
      </c>
      <c r="N6224">
        <v>-658.8</v>
      </c>
    </row>
    <row r="6225" spans="1:14" customFormat="1" x14ac:dyDescent="0.3">
      <c r="A6225" s="12" t="s">
        <v>1243</v>
      </c>
      <c r="B6225" t="s">
        <v>164</v>
      </c>
      <c r="C6225" t="s">
        <v>123</v>
      </c>
      <c r="D6225" t="s">
        <v>110</v>
      </c>
      <c r="E6225" t="s">
        <v>1256</v>
      </c>
      <c r="F6225">
        <v>20</v>
      </c>
      <c r="G6225">
        <v>0</v>
      </c>
      <c r="H6225">
        <v>205</v>
      </c>
      <c r="I6225" t="s">
        <v>111</v>
      </c>
      <c r="J6225">
        <v>-416.8</v>
      </c>
      <c r="K6225">
        <v>-4</v>
      </c>
      <c r="L6225">
        <v>-1.3</v>
      </c>
      <c r="M6225">
        <v>3</v>
      </c>
      <c r="N6225">
        <v>-419.1</v>
      </c>
    </row>
    <row r="6226" spans="1:14" customFormat="1" x14ac:dyDescent="0.3">
      <c r="A6226" s="12" t="s">
        <v>1243</v>
      </c>
      <c r="B6226" t="s">
        <v>164</v>
      </c>
      <c r="C6226" t="s">
        <v>123</v>
      </c>
      <c r="D6226" t="s">
        <v>110</v>
      </c>
      <c r="E6226" t="s">
        <v>1257</v>
      </c>
      <c r="F6226">
        <v>100</v>
      </c>
      <c r="G6226">
        <v>100</v>
      </c>
      <c r="H6226">
        <v>98.16</v>
      </c>
      <c r="I6226">
        <v>89.08</v>
      </c>
      <c r="J6226">
        <v>-908</v>
      </c>
      <c r="K6226">
        <v>0</v>
      </c>
      <c r="L6226">
        <v>0</v>
      </c>
      <c r="M6226">
        <v>64.16</v>
      </c>
      <c r="N6226">
        <v>-843.84</v>
      </c>
    </row>
    <row r="6227" spans="1:14" customFormat="1" x14ac:dyDescent="0.3">
      <c r="A6227" s="12" t="s">
        <v>1243</v>
      </c>
      <c r="B6227" t="s">
        <v>164</v>
      </c>
      <c r="C6227" t="s">
        <v>123</v>
      </c>
      <c r="D6227" t="s">
        <v>110</v>
      </c>
      <c r="E6227" t="s">
        <v>1258</v>
      </c>
      <c r="F6227">
        <v>60</v>
      </c>
      <c r="G6227">
        <v>60</v>
      </c>
      <c r="H6227">
        <v>553.45000000000005</v>
      </c>
      <c r="I6227">
        <v>538.80999999999995</v>
      </c>
      <c r="J6227">
        <v>-878.4</v>
      </c>
      <c r="K6227">
        <v>0</v>
      </c>
      <c r="L6227">
        <v>0</v>
      </c>
      <c r="M6227">
        <v>78.23</v>
      </c>
      <c r="N6227">
        <v>-800.17</v>
      </c>
    </row>
    <row r="6228" spans="1:14" customFormat="1" x14ac:dyDescent="0.3">
      <c r="A6228" s="12" t="s">
        <v>1243</v>
      </c>
      <c r="B6228" t="s">
        <v>164</v>
      </c>
      <c r="C6228" t="s">
        <v>123</v>
      </c>
      <c r="D6228" t="s">
        <v>110</v>
      </c>
      <c r="E6228" t="s">
        <v>1156</v>
      </c>
      <c r="F6228">
        <v>70</v>
      </c>
      <c r="G6228">
        <v>70</v>
      </c>
      <c r="H6228">
        <v>94.78</v>
      </c>
      <c r="I6228">
        <v>84.14</v>
      </c>
      <c r="J6228">
        <v>-744.8</v>
      </c>
      <c r="K6228">
        <v>0</v>
      </c>
      <c r="L6228">
        <v>0</v>
      </c>
      <c r="M6228">
        <v>23.32</v>
      </c>
      <c r="N6228">
        <v>-721.48</v>
      </c>
    </row>
    <row r="6229" spans="1:14" customFormat="1" x14ac:dyDescent="0.3">
      <c r="A6229" s="12" t="s">
        <v>1243</v>
      </c>
      <c r="B6229" t="s">
        <v>164</v>
      </c>
      <c r="C6229" t="s">
        <v>123</v>
      </c>
      <c r="D6229" t="s">
        <v>110</v>
      </c>
      <c r="E6229" t="s">
        <v>62</v>
      </c>
      <c r="F6229">
        <v>200</v>
      </c>
      <c r="G6229">
        <v>200</v>
      </c>
      <c r="H6229">
        <v>51.34</v>
      </c>
      <c r="I6229">
        <v>48.33</v>
      </c>
      <c r="J6229">
        <v>-602</v>
      </c>
      <c r="K6229">
        <v>0</v>
      </c>
      <c r="L6229">
        <v>0</v>
      </c>
      <c r="M6229">
        <v>30.94</v>
      </c>
      <c r="N6229">
        <v>-571.05999999999995</v>
      </c>
    </row>
    <row r="6230" spans="1:14" customFormat="1" x14ac:dyDescent="0.3">
      <c r="A6230" s="12" t="s">
        <v>1243</v>
      </c>
      <c r="B6230" t="s">
        <v>164</v>
      </c>
      <c r="C6230" t="s">
        <v>123</v>
      </c>
      <c r="D6230" t="s">
        <v>110</v>
      </c>
      <c r="E6230" t="s">
        <v>41</v>
      </c>
      <c r="F6230">
        <v>849</v>
      </c>
      <c r="G6230">
        <v>849</v>
      </c>
      <c r="H6230">
        <v>49.77</v>
      </c>
      <c r="I6230">
        <v>49.96</v>
      </c>
      <c r="J6230">
        <v>161.31</v>
      </c>
      <c r="K6230">
        <v>0</v>
      </c>
      <c r="L6230">
        <v>0</v>
      </c>
      <c r="M6230">
        <v>57.16</v>
      </c>
      <c r="N6230">
        <v>218.47</v>
      </c>
    </row>
    <row r="6231" spans="1:14" customFormat="1" x14ac:dyDescent="0.3">
      <c r="A6231" s="12" t="s">
        <v>1243</v>
      </c>
      <c r="B6231" t="s">
        <v>164</v>
      </c>
      <c r="C6231" t="s">
        <v>123</v>
      </c>
      <c r="D6231" t="s">
        <v>110</v>
      </c>
      <c r="E6231" t="s">
        <v>79</v>
      </c>
      <c r="F6231">
        <v>80</v>
      </c>
      <c r="G6231">
        <v>80</v>
      </c>
      <c r="H6231">
        <v>143.99</v>
      </c>
      <c r="I6231">
        <v>131.76</v>
      </c>
      <c r="J6231">
        <v>-978.4</v>
      </c>
      <c r="K6231">
        <v>0</v>
      </c>
      <c r="L6231">
        <v>0</v>
      </c>
      <c r="M6231">
        <v>40.21</v>
      </c>
      <c r="N6231">
        <v>-938.19</v>
      </c>
    </row>
    <row r="6232" spans="1:14" customFormat="1" x14ac:dyDescent="0.3">
      <c r="A6232" s="12" t="s">
        <v>1243</v>
      </c>
      <c r="B6232" t="s">
        <v>164</v>
      </c>
      <c r="C6232" t="s">
        <v>123</v>
      </c>
      <c r="D6232" t="s">
        <v>110</v>
      </c>
      <c r="E6232" t="s">
        <v>42</v>
      </c>
      <c r="F6232">
        <v>200</v>
      </c>
      <c r="G6232">
        <v>200</v>
      </c>
      <c r="H6232">
        <v>233.73</v>
      </c>
      <c r="I6232">
        <v>232.52</v>
      </c>
      <c r="J6232">
        <v>-242</v>
      </c>
      <c r="K6232">
        <v>0</v>
      </c>
      <c r="L6232">
        <v>0</v>
      </c>
      <c r="M6232">
        <v>57.89</v>
      </c>
      <c r="N6232">
        <v>-184.11</v>
      </c>
    </row>
    <row r="6233" spans="1:14" customFormat="1" x14ac:dyDescent="0.3">
      <c r="A6233" s="12" t="s">
        <v>1243</v>
      </c>
      <c r="B6233" t="s">
        <v>164</v>
      </c>
      <c r="C6233" t="s">
        <v>123</v>
      </c>
      <c r="D6233" t="s">
        <v>110</v>
      </c>
      <c r="E6233" t="s">
        <v>43</v>
      </c>
      <c r="F6233">
        <v>230</v>
      </c>
      <c r="G6233">
        <v>330</v>
      </c>
      <c r="H6233">
        <v>82.93</v>
      </c>
      <c r="I6233">
        <v>75.69</v>
      </c>
      <c r="J6233">
        <v>-1965.2</v>
      </c>
      <c r="K6233">
        <v>-21</v>
      </c>
      <c r="L6233">
        <v>-1.3</v>
      </c>
      <c r="M6233">
        <v>155.43</v>
      </c>
      <c r="N6233">
        <v>-1832.07</v>
      </c>
    </row>
    <row r="6234" spans="1:14" customFormat="1" x14ac:dyDescent="0.3">
      <c r="A6234" s="12" t="s">
        <v>1243</v>
      </c>
      <c r="B6234" t="s">
        <v>164</v>
      </c>
      <c r="C6234" t="s">
        <v>123</v>
      </c>
      <c r="D6234" t="s">
        <v>110</v>
      </c>
      <c r="E6234" t="s">
        <v>44</v>
      </c>
      <c r="F6234">
        <v>60</v>
      </c>
      <c r="G6234">
        <v>60</v>
      </c>
      <c r="H6234">
        <v>147.41</v>
      </c>
      <c r="I6234">
        <v>137.57</v>
      </c>
      <c r="J6234">
        <v>-590.4</v>
      </c>
      <c r="K6234">
        <v>0</v>
      </c>
      <c r="L6234">
        <v>0</v>
      </c>
      <c r="M6234">
        <v>27.97</v>
      </c>
      <c r="N6234">
        <v>-562.42999999999995</v>
      </c>
    </row>
    <row r="6235" spans="1:14" customFormat="1" x14ac:dyDescent="0.3">
      <c r="A6235" s="12" t="s">
        <v>1243</v>
      </c>
      <c r="B6235" t="s">
        <v>164</v>
      </c>
      <c r="C6235" t="s">
        <v>123</v>
      </c>
      <c r="D6235" t="s">
        <v>110</v>
      </c>
      <c r="E6235" t="s">
        <v>84</v>
      </c>
      <c r="F6235">
        <v>50</v>
      </c>
      <c r="G6235">
        <v>50</v>
      </c>
      <c r="H6235">
        <v>222.3</v>
      </c>
      <c r="I6235">
        <v>224.35</v>
      </c>
      <c r="J6235">
        <v>102.5</v>
      </c>
      <c r="K6235">
        <v>0</v>
      </c>
      <c r="L6235">
        <v>0</v>
      </c>
      <c r="M6235">
        <v>16.239999999999998</v>
      </c>
      <c r="N6235">
        <v>118.74</v>
      </c>
    </row>
    <row r="6236" spans="1:14" customFormat="1" x14ac:dyDescent="0.3">
      <c r="A6236" s="12" t="s">
        <v>1243</v>
      </c>
      <c r="B6236" t="s">
        <v>164</v>
      </c>
      <c r="C6236" t="s">
        <v>123</v>
      </c>
      <c r="D6236" t="s">
        <v>97</v>
      </c>
      <c r="J6236">
        <v>-17511.68</v>
      </c>
      <c r="K6236">
        <v>142.02000000000001</v>
      </c>
      <c r="L6236">
        <v>-18.649999999999999</v>
      </c>
      <c r="M6236">
        <v>984.44</v>
      </c>
      <c r="N6236">
        <v>-16403.87</v>
      </c>
    </row>
    <row r="6237" spans="1:14" customFormat="1" x14ac:dyDescent="0.3">
      <c r="A6237" s="12" t="s">
        <v>1243</v>
      </c>
      <c r="B6237" t="s">
        <v>164</v>
      </c>
      <c r="C6237" t="s">
        <v>123</v>
      </c>
      <c r="D6237" t="s">
        <v>112</v>
      </c>
      <c r="E6237" t="s">
        <v>1430</v>
      </c>
      <c r="F6237">
        <v>0</v>
      </c>
      <c r="G6237">
        <v>-2</v>
      </c>
      <c r="H6237" t="s">
        <v>111</v>
      </c>
      <c r="I6237" s="33">
        <v>5935.75</v>
      </c>
      <c r="J6237">
        <v>45</v>
      </c>
      <c r="K6237">
        <v>1517.5</v>
      </c>
      <c r="L6237">
        <v>-6</v>
      </c>
      <c r="M6237">
        <v>0</v>
      </c>
      <c r="N6237">
        <v>1556.5</v>
      </c>
    </row>
    <row r="6238" spans="1:14" customFormat="1" x14ac:dyDescent="0.3">
      <c r="A6238" s="12" t="s">
        <v>1243</v>
      </c>
      <c r="B6238" t="s">
        <v>164</v>
      </c>
      <c r="C6238" t="s">
        <v>123</v>
      </c>
      <c r="D6238" t="s">
        <v>112</v>
      </c>
      <c r="E6238" t="s">
        <v>1431</v>
      </c>
      <c r="F6238">
        <v>0</v>
      </c>
      <c r="G6238">
        <v>-1</v>
      </c>
      <c r="H6238" t="s">
        <v>111</v>
      </c>
      <c r="I6238" s="33">
        <v>21226.5</v>
      </c>
      <c r="J6238">
        <v>2320.5</v>
      </c>
      <c r="K6238">
        <v>2156</v>
      </c>
      <c r="L6238">
        <v>-21</v>
      </c>
      <c r="M6238">
        <v>0</v>
      </c>
      <c r="N6238">
        <v>4455.5</v>
      </c>
    </row>
    <row r="6239" spans="1:14" customFormat="1" x14ac:dyDescent="0.3">
      <c r="A6239" s="12" t="s">
        <v>1243</v>
      </c>
      <c r="B6239" t="s">
        <v>164</v>
      </c>
      <c r="C6239" t="s">
        <v>123</v>
      </c>
      <c r="D6239" t="s">
        <v>112</v>
      </c>
      <c r="E6239" t="s">
        <v>1158</v>
      </c>
      <c r="F6239">
        <v>-3</v>
      </c>
      <c r="G6239">
        <v>0</v>
      </c>
      <c r="H6239" s="33">
        <v>20993.5</v>
      </c>
      <c r="I6239" t="s">
        <v>111</v>
      </c>
      <c r="J6239">
        <v>-1996.5</v>
      </c>
      <c r="K6239">
        <v>-4734</v>
      </c>
      <c r="L6239">
        <v>-15</v>
      </c>
      <c r="M6239">
        <v>0</v>
      </c>
      <c r="N6239">
        <v>-6745.5</v>
      </c>
    </row>
    <row r="6240" spans="1:14" customFormat="1" x14ac:dyDescent="0.3">
      <c r="A6240" s="12" t="s">
        <v>1243</v>
      </c>
      <c r="B6240" t="s">
        <v>164</v>
      </c>
      <c r="C6240" t="s">
        <v>123</v>
      </c>
      <c r="D6240" t="s">
        <v>97</v>
      </c>
      <c r="J6240">
        <v>369</v>
      </c>
      <c r="K6240">
        <v>-1060.5</v>
      </c>
      <c r="L6240">
        <v>-42</v>
      </c>
      <c r="M6240">
        <v>0</v>
      </c>
      <c r="N6240">
        <v>-733.5</v>
      </c>
    </row>
    <row r="6241" spans="1:18" customFormat="1" x14ac:dyDescent="0.3">
      <c r="A6241" s="12" t="s">
        <v>1243</v>
      </c>
      <c r="B6241" t="s">
        <v>164</v>
      </c>
      <c r="C6241" t="s">
        <v>123</v>
      </c>
      <c r="D6241" t="s">
        <v>113</v>
      </c>
      <c r="E6241" t="s">
        <v>114</v>
      </c>
      <c r="F6241">
        <v>39630.966124999999</v>
      </c>
      <c r="G6241">
        <v>9054.5861249999998</v>
      </c>
      <c r="H6241">
        <v>1</v>
      </c>
      <c r="I6241">
        <v>1</v>
      </c>
      <c r="J6241">
        <v>0</v>
      </c>
      <c r="K6241">
        <v>0</v>
      </c>
      <c r="L6241">
        <v>0</v>
      </c>
      <c r="M6241">
        <v>0</v>
      </c>
      <c r="N6241">
        <v>0</v>
      </c>
    </row>
    <row r="6242" spans="1:18" customFormat="1" x14ac:dyDescent="0.3">
      <c r="A6242" s="12" t="s">
        <v>1243</v>
      </c>
      <c r="B6242" t="s">
        <v>164</v>
      </c>
      <c r="C6242" t="s">
        <v>123</v>
      </c>
      <c r="D6242" t="s">
        <v>97</v>
      </c>
      <c r="J6242">
        <v>0</v>
      </c>
      <c r="K6242">
        <v>0</v>
      </c>
      <c r="L6242">
        <v>0</v>
      </c>
      <c r="M6242">
        <v>0</v>
      </c>
      <c r="N6242">
        <v>0</v>
      </c>
    </row>
    <row r="6243" spans="1:18" customFormat="1" x14ac:dyDescent="0.3">
      <c r="A6243" s="12" t="s">
        <v>1243</v>
      </c>
      <c r="B6243" t="s">
        <v>164</v>
      </c>
      <c r="C6243" t="s">
        <v>123</v>
      </c>
      <c r="D6243" t="s">
        <v>115</v>
      </c>
      <c r="J6243">
        <v>-17142.68</v>
      </c>
      <c r="K6243">
        <v>-918.48</v>
      </c>
      <c r="L6243">
        <v>-60.65</v>
      </c>
      <c r="M6243">
        <v>984.44</v>
      </c>
      <c r="N6243">
        <v>-17137.37</v>
      </c>
    </row>
    <row r="6244" spans="1:18" customFormat="1" x14ac:dyDescent="0.3">
      <c r="A6244" s="12" t="s">
        <v>1243</v>
      </c>
      <c r="B6244" t="s">
        <v>164</v>
      </c>
      <c r="C6244" t="s">
        <v>123</v>
      </c>
      <c r="D6244" t="s">
        <v>116</v>
      </c>
      <c r="N6244">
        <v>50.46</v>
      </c>
    </row>
    <row r="6245" spans="1:18" customFormat="1" x14ac:dyDescent="0.3">
      <c r="A6245" s="12" t="s">
        <v>1243</v>
      </c>
      <c r="B6245" t="s">
        <v>166</v>
      </c>
      <c r="N6245">
        <v>-17086.91</v>
      </c>
    </row>
    <row r="6246" spans="1:18" customFormat="1" x14ac:dyDescent="0.3">
      <c r="A6246" s="12" t="s">
        <v>1243</v>
      </c>
      <c r="B6246" t="s">
        <v>167</v>
      </c>
      <c r="C6246" t="s">
        <v>120</v>
      </c>
      <c r="D6246" t="s">
        <v>100</v>
      </c>
      <c r="E6246" t="s">
        <v>0</v>
      </c>
      <c r="F6246" t="s">
        <v>168</v>
      </c>
      <c r="G6246" t="s">
        <v>169</v>
      </c>
      <c r="H6246" t="s">
        <v>170</v>
      </c>
      <c r="I6246" t="s">
        <v>171</v>
      </c>
      <c r="J6246" t="s">
        <v>172</v>
      </c>
      <c r="K6246" t="s">
        <v>173</v>
      </c>
      <c r="L6246" t="s">
        <v>174</v>
      </c>
      <c r="M6246" t="s">
        <v>175</v>
      </c>
      <c r="N6246" t="s">
        <v>176</v>
      </c>
      <c r="O6246" t="s">
        <v>177</v>
      </c>
      <c r="P6246" t="s">
        <v>178</v>
      </c>
      <c r="Q6246" t="s">
        <v>97</v>
      </c>
      <c r="R6246" t="s">
        <v>165</v>
      </c>
    </row>
    <row r="6247" spans="1:18" customFormat="1" x14ac:dyDescent="0.3">
      <c r="A6247" s="12" t="s">
        <v>1243</v>
      </c>
      <c r="B6247" t="s">
        <v>167</v>
      </c>
      <c r="C6247" t="s">
        <v>123</v>
      </c>
      <c r="D6247" t="s">
        <v>110</v>
      </c>
      <c r="E6247" t="s">
        <v>45</v>
      </c>
      <c r="F6247">
        <v>0</v>
      </c>
      <c r="G6247">
        <v>0</v>
      </c>
      <c r="H6247">
        <v>-277.24</v>
      </c>
      <c r="I6247">
        <v>0</v>
      </c>
      <c r="J6247">
        <v>0</v>
      </c>
      <c r="K6247">
        <v>-277.24</v>
      </c>
      <c r="L6247">
        <v>0</v>
      </c>
      <c r="M6247">
        <v>-280.95999999999998</v>
      </c>
      <c r="N6247">
        <v>0</v>
      </c>
      <c r="O6247">
        <v>0</v>
      </c>
      <c r="P6247">
        <v>-280.95999999999998</v>
      </c>
      <c r="Q6247">
        <v>-558.20000000000005</v>
      </c>
    </row>
    <row r="6248" spans="1:18" customFormat="1" x14ac:dyDescent="0.3">
      <c r="A6248" s="12" t="s">
        <v>1243</v>
      </c>
      <c r="B6248" t="s">
        <v>167</v>
      </c>
      <c r="C6248" t="s">
        <v>123</v>
      </c>
      <c r="D6248" t="s">
        <v>110</v>
      </c>
      <c r="E6248" t="s">
        <v>4</v>
      </c>
      <c r="F6248">
        <v>0</v>
      </c>
      <c r="G6248">
        <v>0</v>
      </c>
      <c r="H6248">
        <v>-55.35</v>
      </c>
      <c r="I6248">
        <v>0</v>
      </c>
      <c r="J6248">
        <v>0</v>
      </c>
      <c r="K6248">
        <v>-55.35</v>
      </c>
      <c r="L6248">
        <v>0</v>
      </c>
      <c r="M6248">
        <v>0</v>
      </c>
      <c r="N6248">
        <v>0</v>
      </c>
      <c r="O6248">
        <v>0</v>
      </c>
      <c r="P6248">
        <v>0</v>
      </c>
      <c r="Q6248">
        <v>-55.35</v>
      </c>
    </row>
    <row r="6249" spans="1:18" customFormat="1" x14ac:dyDescent="0.3">
      <c r="A6249" s="12" t="s">
        <v>1243</v>
      </c>
      <c r="B6249" t="s">
        <v>167</v>
      </c>
      <c r="C6249" t="s">
        <v>123</v>
      </c>
      <c r="D6249" t="s">
        <v>110</v>
      </c>
      <c r="E6249" t="s">
        <v>7</v>
      </c>
      <c r="F6249">
        <v>0</v>
      </c>
      <c r="G6249">
        <v>74.989999999999995</v>
      </c>
      <c r="H6249">
        <v>0</v>
      </c>
      <c r="I6249">
        <v>0</v>
      </c>
      <c r="J6249">
        <v>0</v>
      </c>
      <c r="K6249">
        <v>74.989999999999995</v>
      </c>
      <c r="L6249">
        <v>0</v>
      </c>
      <c r="M6249">
        <v>0</v>
      </c>
      <c r="N6249">
        <v>0</v>
      </c>
      <c r="O6249">
        <v>0</v>
      </c>
      <c r="P6249">
        <v>0</v>
      </c>
      <c r="Q6249">
        <v>74.989999999999995</v>
      </c>
    </row>
    <row r="6250" spans="1:18" customFormat="1" x14ac:dyDescent="0.3">
      <c r="A6250" s="12" t="s">
        <v>1243</v>
      </c>
      <c r="B6250" t="s">
        <v>167</v>
      </c>
      <c r="C6250" t="s">
        <v>123</v>
      </c>
      <c r="D6250" t="s">
        <v>110</v>
      </c>
      <c r="E6250" t="s">
        <v>1373</v>
      </c>
      <c r="F6250">
        <v>0</v>
      </c>
      <c r="G6250">
        <v>0</v>
      </c>
      <c r="H6250">
        <v>0</v>
      </c>
      <c r="I6250">
        <v>0</v>
      </c>
      <c r="J6250">
        <v>0</v>
      </c>
      <c r="K6250">
        <v>0</v>
      </c>
      <c r="L6250">
        <v>172.7</v>
      </c>
      <c r="M6250">
        <v>0</v>
      </c>
      <c r="N6250">
        <v>0</v>
      </c>
      <c r="O6250">
        <v>0</v>
      </c>
      <c r="P6250">
        <v>172.7</v>
      </c>
      <c r="Q6250">
        <v>172.7</v>
      </c>
    </row>
    <row r="6251" spans="1:18" customFormat="1" x14ac:dyDescent="0.3">
      <c r="A6251" s="12" t="s">
        <v>1243</v>
      </c>
      <c r="B6251" t="s">
        <v>167</v>
      </c>
      <c r="C6251" t="s">
        <v>123</v>
      </c>
      <c r="D6251" t="s">
        <v>110</v>
      </c>
      <c r="E6251" t="s">
        <v>1155</v>
      </c>
      <c r="F6251">
        <v>0</v>
      </c>
      <c r="G6251">
        <v>0</v>
      </c>
      <c r="H6251">
        <v>0</v>
      </c>
      <c r="I6251">
        <v>0</v>
      </c>
      <c r="J6251">
        <v>0</v>
      </c>
      <c r="K6251">
        <v>0</v>
      </c>
      <c r="L6251">
        <v>0</v>
      </c>
      <c r="M6251">
        <v>-428.3</v>
      </c>
      <c r="N6251">
        <v>0</v>
      </c>
      <c r="O6251">
        <v>0</v>
      </c>
      <c r="P6251">
        <v>-428.3</v>
      </c>
      <c r="Q6251">
        <v>-428.3</v>
      </c>
    </row>
    <row r="6252" spans="1:18" customFormat="1" x14ac:dyDescent="0.3">
      <c r="A6252" s="12" t="s">
        <v>1243</v>
      </c>
      <c r="B6252" t="s">
        <v>167</v>
      </c>
      <c r="C6252" t="s">
        <v>123</v>
      </c>
      <c r="D6252" t="s">
        <v>110</v>
      </c>
      <c r="E6252" t="s">
        <v>1427</v>
      </c>
      <c r="F6252">
        <v>0</v>
      </c>
      <c r="G6252">
        <v>0</v>
      </c>
      <c r="H6252">
        <v>0</v>
      </c>
      <c r="I6252">
        <v>0</v>
      </c>
      <c r="J6252">
        <v>0</v>
      </c>
      <c r="K6252">
        <v>0</v>
      </c>
      <c r="L6252">
        <v>0</v>
      </c>
      <c r="M6252">
        <v>-23.15</v>
      </c>
      <c r="N6252">
        <v>0</v>
      </c>
      <c r="O6252">
        <v>0</v>
      </c>
      <c r="P6252">
        <v>-23.15</v>
      </c>
      <c r="Q6252">
        <v>-23.15</v>
      </c>
    </row>
    <row r="6253" spans="1:18" customFormat="1" x14ac:dyDescent="0.3">
      <c r="A6253" s="12" t="s">
        <v>1243</v>
      </c>
      <c r="B6253" t="s">
        <v>167</v>
      </c>
      <c r="C6253" t="s">
        <v>123</v>
      </c>
      <c r="D6253" t="s">
        <v>110</v>
      </c>
      <c r="E6253" t="s">
        <v>48</v>
      </c>
      <c r="F6253">
        <v>0</v>
      </c>
      <c r="G6253">
        <v>0</v>
      </c>
      <c r="H6253">
        <v>0</v>
      </c>
      <c r="I6253">
        <v>0</v>
      </c>
      <c r="J6253">
        <v>0</v>
      </c>
      <c r="K6253">
        <v>0</v>
      </c>
      <c r="L6253">
        <v>115.85</v>
      </c>
      <c r="M6253">
        <v>0</v>
      </c>
      <c r="N6253">
        <v>0</v>
      </c>
      <c r="O6253">
        <v>0</v>
      </c>
      <c r="P6253">
        <v>115.85</v>
      </c>
      <c r="Q6253">
        <v>115.85</v>
      </c>
    </row>
    <row r="6254" spans="1:18" customFormat="1" x14ac:dyDescent="0.3">
      <c r="A6254" s="12" t="s">
        <v>1243</v>
      </c>
      <c r="B6254" t="s">
        <v>167</v>
      </c>
      <c r="C6254" t="s">
        <v>123</v>
      </c>
      <c r="D6254" t="s">
        <v>110</v>
      </c>
      <c r="E6254" t="s">
        <v>54</v>
      </c>
      <c r="F6254">
        <v>0</v>
      </c>
      <c r="G6254">
        <v>0</v>
      </c>
      <c r="H6254">
        <v>0</v>
      </c>
      <c r="I6254">
        <v>0</v>
      </c>
      <c r="J6254">
        <v>0</v>
      </c>
      <c r="K6254">
        <v>0</v>
      </c>
      <c r="L6254">
        <v>819.15</v>
      </c>
      <c r="M6254">
        <v>0</v>
      </c>
      <c r="N6254">
        <v>0</v>
      </c>
      <c r="O6254">
        <v>0</v>
      </c>
      <c r="P6254">
        <v>819.15</v>
      </c>
      <c r="Q6254">
        <v>819.15</v>
      </c>
    </row>
    <row r="6255" spans="1:18" customFormat="1" x14ac:dyDescent="0.3">
      <c r="A6255" s="12" t="s">
        <v>1243</v>
      </c>
      <c r="B6255" t="s">
        <v>167</v>
      </c>
      <c r="C6255" t="s">
        <v>123</v>
      </c>
      <c r="D6255" t="s">
        <v>110</v>
      </c>
      <c r="E6255" t="s">
        <v>19</v>
      </c>
      <c r="F6255">
        <v>0</v>
      </c>
      <c r="G6255">
        <v>0</v>
      </c>
      <c r="H6255">
        <v>0</v>
      </c>
      <c r="I6255">
        <v>0</v>
      </c>
      <c r="J6255">
        <v>0</v>
      </c>
      <c r="K6255">
        <v>0</v>
      </c>
      <c r="L6255">
        <v>593.35</v>
      </c>
      <c r="M6255">
        <v>0</v>
      </c>
      <c r="N6255">
        <v>0</v>
      </c>
      <c r="O6255">
        <v>0</v>
      </c>
      <c r="P6255">
        <v>593.35</v>
      </c>
      <c r="Q6255">
        <v>593.35</v>
      </c>
    </row>
    <row r="6256" spans="1:18" customFormat="1" x14ac:dyDescent="0.3">
      <c r="A6256" s="12" t="s">
        <v>1243</v>
      </c>
      <c r="B6256" t="s">
        <v>167</v>
      </c>
      <c r="C6256" t="s">
        <v>123</v>
      </c>
      <c r="D6256" t="s">
        <v>110</v>
      </c>
      <c r="E6256" t="s">
        <v>1428</v>
      </c>
      <c r="F6256">
        <v>0</v>
      </c>
      <c r="G6256">
        <v>0</v>
      </c>
      <c r="H6256">
        <v>0</v>
      </c>
      <c r="I6256">
        <v>0</v>
      </c>
      <c r="J6256">
        <v>0</v>
      </c>
      <c r="K6256">
        <v>0</v>
      </c>
      <c r="L6256">
        <v>93.25</v>
      </c>
      <c r="M6256">
        <v>0</v>
      </c>
      <c r="N6256">
        <v>0</v>
      </c>
      <c r="O6256">
        <v>0</v>
      </c>
      <c r="P6256">
        <v>93.25</v>
      </c>
      <c r="Q6256">
        <v>93.25</v>
      </c>
    </row>
    <row r="6257" spans="1:17" customFormat="1" x14ac:dyDescent="0.3">
      <c r="A6257" s="12" t="s">
        <v>1243</v>
      </c>
      <c r="B6257" t="s">
        <v>167</v>
      </c>
      <c r="C6257" t="s">
        <v>123</v>
      </c>
      <c r="D6257" t="s">
        <v>110</v>
      </c>
      <c r="E6257" t="s">
        <v>1374</v>
      </c>
      <c r="F6257">
        <v>0</v>
      </c>
      <c r="G6257">
        <v>0</v>
      </c>
      <c r="H6257">
        <v>0</v>
      </c>
      <c r="I6257">
        <v>0</v>
      </c>
      <c r="J6257">
        <v>0</v>
      </c>
      <c r="K6257">
        <v>0</v>
      </c>
      <c r="L6257">
        <v>0</v>
      </c>
      <c r="M6257">
        <v>-690.1</v>
      </c>
      <c r="N6257">
        <v>0</v>
      </c>
      <c r="O6257">
        <v>0</v>
      </c>
      <c r="P6257">
        <v>-690.1</v>
      </c>
      <c r="Q6257">
        <v>-690.1</v>
      </c>
    </row>
    <row r="6258" spans="1:17" customFormat="1" x14ac:dyDescent="0.3">
      <c r="A6258" s="12" t="s">
        <v>1243</v>
      </c>
      <c r="B6258" t="s">
        <v>167</v>
      </c>
      <c r="C6258" t="s">
        <v>123</v>
      </c>
      <c r="D6258" t="s">
        <v>110</v>
      </c>
      <c r="E6258" t="s">
        <v>1253</v>
      </c>
      <c r="F6258">
        <v>0</v>
      </c>
      <c r="G6258">
        <v>0</v>
      </c>
      <c r="H6258">
        <v>0</v>
      </c>
      <c r="I6258">
        <v>0</v>
      </c>
      <c r="J6258">
        <v>0</v>
      </c>
      <c r="K6258">
        <v>0</v>
      </c>
      <c r="L6258">
        <v>0</v>
      </c>
      <c r="M6258">
        <v>-61.6</v>
      </c>
      <c r="N6258">
        <v>0</v>
      </c>
      <c r="O6258">
        <v>0</v>
      </c>
      <c r="P6258">
        <v>-61.6</v>
      </c>
      <c r="Q6258">
        <v>-61.6</v>
      </c>
    </row>
    <row r="6259" spans="1:17" customFormat="1" x14ac:dyDescent="0.3">
      <c r="A6259" s="12" t="s">
        <v>1243</v>
      </c>
      <c r="B6259" t="s">
        <v>167</v>
      </c>
      <c r="C6259" t="s">
        <v>123</v>
      </c>
      <c r="D6259" t="s">
        <v>110</v>
      </c>
      <c r="E6259" t="s">
        <v>1254</v>
      </c>
      <c r="F6259">
        <v>0</v>
      </c>
      <c r="G6259">
        <v>0</v>
      </c>
      <c r="H6259">
        <v>0</v>
      </c>
      <c r="I6259">
        <v>0</v>
      </c>
      <c r="J6259">
        <v>0</v>
      </c>
      <c r="K6259">
        <v>0</v>
      </c>
      <c r="L6259">
        <v>142.69999999999999</v>
      </c>
      <c r="M6259">
        <v>0</v>
      </c>
      <c r="N6259">
        <v>0</v>
      </c>
      <c r="O6259">
        <v>0</v>
      </c>
      <c r="P6259">
        <v>142.69999999999999</v>
      </c>
      <c r="Q6259">
        <v>142.69999999999999</v>
      </c>
    </row>
    <row r="6260" spans="1:17" customFormat="1" x14ac:dyDescent="0.3">
      <c r="A6260" s="12" t="s">
        <v>1243</v>
      </c>
      <c r="B6260" t="s">
        <v>167</v>
      </c>
      <c r="C6260" t="s">
        <v>123</v>
      </c>
      <c r="D6260" t="s">
        <v>110</v>
      </c>
      <c r="E6260" t="s">
        <v>70</v>
      </c>
      <c r="F6260">
        <v>0</v>
      </c>
      <c r="G6260">
        <v>0</v>
      </c>
      <c r="H6260">
        <v>0</v>
      </c>
      <c r="I6260">
        <v>0</v>
      </c>
      <c r="J6260">
        <v>0</v>
      </c>
      <c r="K6260">
        <v>0</v>
      </c>
      <c r="L6260">
        <v>585.70000000000005</v>
      </c>
      <c r="M6260">
        <v>0</v>
      </c>
      <c r="N6260">
        <v>0</v>
      </c>
      <c r="O6260">
        <v>0</v>
      </c>
      <c r="P6260">
        <v>585.70000000000005</v>
      </c>
      <c r="Q6260">
        <v>585.70000000000005</v>
      </c>
    </row>
    <row r="6261" spans="1:17" customFormat="1" x14ac:dyDescent="0.3">
      <c r="A6261" s="12" t="s">
        <v>1243</v>
      </c>
      <c r="B6261" t="s">
        <v>167</v>
      </c>
      <c r="C6261" t="s">
        <v>123</v>
      </c>
      <c r="D6261" t="s">
        <v>110</v>
      </c>
      <c r="E6261" t="s">
        <v>49</v>
      </c>
      <c r="F6261">
        <v>0</v>
      </c>
      <c r="G6261">
        <v>134.80000000000001</v>
      </c>
      <c r="H6261">
        <v>0</v>
      </c>
      <c r="I6261">
        <v>0</v>
      </c>
      <c r="J6261">
        <v>0</v>
      </c>
      <c r="K6261">
        <v>134.80000000000001</v>
      </c>
      <c r="L6261">
        <v>0</v>
      </c>
      <c r="M6261">
        <v>0</v>
      </c>
      <c r="N6261">
        <v>0</v>
      </c>
      <c r="O6261">
        <v>0</v>
      </c>
      <c r="P6261">
        <v>0</v>
      </c>
      <c r="Q6261">
        <v>134.80000000000001</v>
      </c>
    </row>
    <row r="6262" spans="1:17" customFormat="1" x14ac:dyDescent="0.3">
      <c r="A6262" s="12" t="s">
        <v>1243</v>
      </c>
      <c r="B6262" t="s">
        <v>167</v>
      </c>
      <c r="C6262" t="s">
        <v>123</v>
      </c>
      <c r="D6262" t="s">
        <v>110</v>
      </c>
      <c r="E6262" t="s">
        <v>1375</v>
      </c>
      <c r="F6262">
        <v>0</v>
      </c>
      <c r="G6262">
        <v>472.375</v>
      </c>
      <c r="H6262">
        <v>0</v>
      </c>
      <c r="I6262">
        <v>0</v>
      </c>
      <c r="J6262">
        <v>0</v>
      </c>
      <c r="K6262">
        <v>472.375</v>
      </c>
      <c r="L6262">
        <v>310.375</v>
      </c>
      <c r="M6262">
        <v>0</v>
      </c>
      <c r="N6262">
        <v>0</v>
      </c>
      <c r="O6262">
        <v>0</v>
      </c>
      <c r="P6262">
        <v>310.375</v>
      </c>
      <c r="Q6262">
        <v>782.75</v>
      </c>
    </row>
    <row r="6263" spans="1:17" customFormat="1" x14ac:dyDescent="0.3">
      <c r="A6263" s="12" t="s">
        <v>1243</v>
      </c>
      <c r="B6263" t="s">
        <v>167</v>
      </c>
      <c r="C6263" t="s">
        <v>123</v>
      </c>
      <c r="D6263" t="s">
        <v>110</v>
      </c>
      <c r="E6263" t="s">
        <v>28</v>
      </c>
      <c r="F6263">
        <v>0</v>
      </c>
      <c r="G6263">
        <v>0</v>
      </c>
      <c r="H6263">
        <v>0</v>
      </c>
      <c r="I6263">
        <v>0</v>
      </c>
      <c r="J6263">
        <v>0</v>
      </c>
      <c r="K6263">
        <v>0</v>
      </c>
      <c r="L6263">
        <v>403.93387799999999</v>
      </c>
      <c r="M6263">
        <v>-376.99</v>
      </c>
      <c r="N6263">
        <v>0</v>
      </c>
      <c r="O6263">
        <v>0</v>
      </c>
      <c r="P6263">
        <v>26.943878000000002</v>
      </c>
      <c r="Q6263">
        <v>26.943878000000002</v>
      </c>
    </row>
    <row r="6264" spans="1:17" customFormat="1" x14ac:dyDescent="0.3">
      <c r="A6264" s="12" t="s">
        <v>1243</v>
      </c>
      <c r="B6264" t="s">
        <v>167</v>
      </c>
      <c r="C6264" t="s">
        <v>123</v>
      </c>
      <c r="D6264" t="s">
        <v>110</v>
      </c>
      <c r="E6264" t="s">
        <v>71</v>
      </c>
      <c r="F6264">
        <v>0</v>
      </c>
      <c r="G6264">
        <v>0</v>
      </c>
      <c r="H6264">
        <v>0</v>
      </c>
      <c r="I6264">
        <v>0</v>
      </c>
      <c r="J6264">
        <v>0</v>
      </c>
      <c r="K6264">
        <v>0</v>
      </c>
      <c r="L6264">
        <v>0</v>
      </c>
      <c r="M6264">
        <v>-231.5</v>
      </c>
      <c r="N6264">
        <v>0</v>
      </c>
      <c r="O6264">
        <v>0</v>
      </c>
      <c r="P6264">
        <v>-231.5</v>
      </c>
      <c r="Q6264">
        <v>-231.5</v>
      </c>
    </row>
    <row r="6265" spans="1:17" customFormat="1" x14ac:dyDescent="0.3">
      <c r="A6265" s="12" t="s">
        <v>1243</v>
      </c>
      <c r="B6265" t="s">
        <v>167</v>
      </c>
      <c r="C6265" t="s">
        <v>123</v>
      </c>
      <c r="D6265" t="s">
        <v>110</v>
      </c>
      <c r="E6265" t="s">
        <v>29</v>
      </c>
      <c r="F6265">
        <v>0</v>
      </c>
      <c r="G6265">
        <v>0</v>
      </c>
      <c r="H6265">
        <v>0</v>
      </c>
      <c r="I6265">
        <v>0</v>
      </c>
      <c r="J6265">
        <v>0</v>
      </c>
      <c r="K6265">
        <v>0</v>
      </c>
      <c r="L6265">
        <v>331.7</v>
      </c>
      <c r="M6265">
        <v>-25.22</v>
      </c>
      <c r="N6265">
        <v>0</v>
      </c>
      <c r="O6265">
        <v>0</v>
      </c>
      <c r="P6265">
        <v>306.48</v>
      </c>
      <c r="Q6265">
        <v>306.48</v>
      </c>
    </row>
    <row r="6266" spans="1:17" customFormat="1" x14ac:dyDescent="0.3">
      <c r="A6266" s="12" t="s">
        <v>1243</v>
      </c>
      <c r="B6266" t="s">
        <v>167</v>
      </c>
      <c r="C6266" t="s">
        <v>123</v>
      </c>
      <c r="D6266" t="s">
        <v>110</v>
      </c>
      <c r="E6266" t="s">
        <v>1429</v>
      </c>
      <c r="F6266">
        <v>0</v>
      </c>
      <c r="G6266">
        <v>0</v>
      </c>
      <c r="H6266">
        <v>0</v>
      </c>
      <c r="I6266">
        <v>0</v>
      </c>
      <c r="J6266">
        <v>0</v>
      </c>
      <c r="K6266">
        <v>0</v>
      </c>
      <c r="L6266">
        <v>4.7</v>
      </c>
      <c r="M6266">
        <v>0</v>
      </c>
      <c r="N6266">
        <v>0</v>
      </c>
      <c r="O6266">
        <v>0</v>
      </c>
      <c r="P6266">
        <v>4.7</v>
      </c>
      <c r="Q6266">
        <v>4.7</v>
      </c>
    </row>
    <row r="6267" spans="1:17" customFormat="1" x14ac:dyDescent="0.3">
      <c r="A6267" s="12" t="s">
        <v>1243</v>
      </c>
      <c r="B6267" t="s">
        <v>167</v>
      </c>
      <c r="C6267" t="s">
        <v>123</v>
      </c>
      <c r="D6267" t="s">
        <v>110</v>
      </c>
      <c r="E6267" t="s">
        <v>82</v>
      </c>
      <c r="F6267">
        <v>0</v>
      </c>
      <c r="G6267">
        <v>0</v>
      </c>
      <c r="H6267">
        <v>0</v>
      </c>
      <c r="I6267">
        <v>0</v>
      </c>
      <c r="J6267">
        <v>0</v>
      </c>
      <c r="K6267">
        <v>0</v>
      </c>
      <c r="L6267">
        <v>5222.3999999999996</v>
      </c>
      <c r="M6267">
        <v>0</v>
      </c>
      <c r="N6267">
        <v>0</v>
      </c>
      <c r="O6267">
        <v>0</v>
      </c>
      <c r="P6267">
        <v>5222.3999999999996</v>
      </c>
      <c r="Q6267">
        <v>5222.3999999999996</v>
      </c>
    </row>
    <row r="6268" spans="1:17" customFormat="1" x14ac:dyDescent="0.3">
      <c r="A6268" s="12" t="s">
        <v>1243</v>
      </c>
      <c r="B6268" t="s">
        <v>167</v>
      </c>
      <c r="C6268" t="s">
        <v>123</v>
      </c>
      <c r="D6268" t="s">
        <v>110</v>
      </c>
      <c r="E6268" t="s">
        <v>1255</v>
      </c>
      <c r="F6268">
        <v>0</v>
      </c>
      <c r="G6268">
        <v>0</v>
      </c>
      <c r="H6268">
        <v>0</v>
      </c>
      <c r="I6268">
        <v>0</v>
      </c>
      <c r="J6268">
        <v>0</v>
      </c>
      <c r="K6268">
        <v>0</v>
      </c>
      <c r="L6268">
        <v>0</v>
      </c>
      <c r="M6268">
        <v>-3720.8</v>
      </c>
      <c r="N6268">
        <v>0</v>
      </c>
      <c r="O6268">
        <v>0</v>
      </c>
      <c r="P6268">
        <v>-3720.8</v>
      </c>
      <c r="Q6268">
        <v>-3720.8</v>
      </c>
    </row>
    <row r="6269" spans="1:17" customFormat="1" x14ac:dyDescent="0.3">
      <c r="A6269" s="12" t="s">
        <v>1243</v>
      </c>
      <c r="B6269" t="s">
        <v>167</v>
      </c>
      <c r="C6269" t="s">
        <v>123</v>
      </c>
      <c r="D6269" t="s">
        <v>110</v>
      </c>
      <c r="E6269" t="s">
        <v>51</v>
      </c>
      <c r="F6269">
        <v>0</v>
      </c>
      <c r="G6269">
        <v>0</v>
      </c>
      <c r="H6269">
        <v>-479.35</v>
      </c>
      <c r="I6269">
        <v>0</v>
      </c>
      <c r="J6269">
        <v>0</v>
      </c>
      <c r="K6269">
        <v>-479.35</v>
      </c>
      <c r="L6269">
        <v>0</v>
      </c>
      <c r="M6269">
        <v>0</v>
      </c>
      <c r="N6269">
        <v>0</v>
      </c>
      <c r="O6269">
        <v>0</v>
      </c>
      <c r="P6269">
        <v>0</v>
      </c>
      <c r="Q6269">
        <v>-479.35</v>
      </c>
    </row>
    <row r="6270" spans="1:17" customFormat="1" x14ac:dyDescent="0.3">
      <c r="A6270" s="12" t="s">
        <v>1243</v>
      </c>
      <c r="B6270" t="s">
        <v>167</v>
      </c>
      <c r="C6270" t="s">
        <v>123</v>
      </c>
      <c r="D6270" t="s">
        <v>110</v>
      </c>
      <c r="E6270" t="s">
        <v>86</v>
      </c>
      <c r="F6270">
        <v>0</v>
      </c>
      <c r="G6270">
        <v>0</v>
      </c>
      <c r="H6270">
        <v>0</v>
      </c>
      <c r="I6270">
        <v>0</v>
      </c>
      <c r="J6270">
        <v>0</v>
      </c>
      <c r="K6270">
        <v>0</v>
      </c>
      <c r="L6270">
        <v>1428</v>
      </c>
      <c r="M6270">
        <v>0</v>
      </c>
      <c r="N6270">
        <v>0</v>
      </c>
      <c r="O6270">
        <v>0</v>
      </c>
      <c r="P6270">
        <v>1428</v>
      </c>
      <c r="Q6270">
        <v>1428</v>
      </c>
    </row>
    <row r="6271" spans="1:17" customFormat="1" x14ac:dyDescent="0.3">
      <c r="A6271" s="12" t="s">
        <v>1243</v>
      </c>
      <c r="B6271" t="s">
        <v>167</v>
      </c>
      <c r="C6271" t="s">
        <v>123</v>
      </c>
      <c r="D6271" t="s">
        <v>110</v>
      </c>
      <c r="E6271" t="s">
        <v>1256</v>
      </c>
      <c r="F6271">
        <v>0</v>
      </c>
      <c r="G6271">
        <v>0</v>
      </c>
      <c r="H6271">
        <v>-423.4</v>
      </c>
      <c r="I6271">
        <v>0</v>
      </c>
      <c r="J6271">
        <v>0</v>
      </c>
      <c r="K6271">
        <v>-423.4</v>
      </c>
      <c r="L6271">
        <v>0</v>
      </c>
      <c r="M6271">
        <v>0</v>
      </c>
      <c r="N6271">
        <v>0</v>
      </c>
      <c r="O6271">
        <v>0</v>
      </c>
      <c r="P6271">
        <v>0</v>
      </c>
      <c r="Q6271">
        <v>-423.4</v>
      </c>
    </row>
    <row r="6272" spans="1:17" customFormat="1" x14ac:dyDescent="0.3">
      <c r="A6272" s="12" t="s">
        <v>1243</v>
      </c>
      <c r="B6272" t="s">
        <v>167</v>
      </c>
      <c r="C6272" t="s">
        <v>123</v>
      </c>
      <c r="D6272" t="s">
        <v>110</v>
      </c>
      <c r="E6272" t="s">
        <v>1257</v>
      </c>
      <c r="F6272">
        <v>0</v>
      </c>
      <c r="G6272">
        <v>0</v>
      </c>
      <c r="H6272">
        <v>0</v>
      </c>
      <c r="I6272">
        <v>0</v>
      </c>
      <c r="J6272">
        <v>0</v>
      </c>
      <c r="K6272">
        <v>0</v>
      </c>
      <c r="L6272">
        <v>0</v>
      </c>
      <c r="M6272">
        <v>-818.3</v>
      </c>
      <c r="N6272">
        <v>0</v>
      </c>
      <c r="O6272">
        <v>0</v>
      </c>
      <c r="P6272">
        <v>-818.3</v>
      </c>
      <c r="Q6272">
        <v>-818.3</v>
      </c>
    </row>
    <row r="6273" spans="1:17" customFormat="1" x14ac:dyDescent="0.3">
      <c r="A6273" s="12" t="s">
        <v>1243</v>
      </c>
      <c r="B6273" t="s">
        <v>167</v>
      </c>
      <c r="C6273" t="s">
        <v>123</v>
      </c>
      <c r="D6273" t="s">
        <v>110</v>
      </c>
      <c r="E6273" t="s">
        <v>1258</v>
      </c>
      <c r="F6273">
        <v>0</v>
      </c>
      <c r="G6273">
        <v>0</v>
      </c>
      <c r="H6273">
        <v>0</v>
      </c>
      <c r="I6273">
        <v>0</v>
      </c>
      <c r="J6273">
        <v>0</v>
      </c>
      <c r="K6273">
        <v>0</v>
      </c>
      <c r="L6273">
        <v>461.2</v>
      </c>
      <c r="M6273">
        <v>0</v>
      </c>
      <c r="N6273">
        <v>0</v>
      </c>
      <c r="O6273">
        <v>0</v>
      </c>
      <c r="P6273">
        <v>461.2</v>
      </c>
      <c r="Q6273">
        <v>461.2</v>
      </c>
    </row>
    <row r="6274" spans="1:17" customFormat="1" x14ac:dyDescent="0.3">
      <c r="A6274" s="12" t="s">
        <v>1243</v>
      </c>
      <c r="B6274" t="s">
        <v>167</v>
      </c>
      <c r="C6274" t="s">
        <v>123</v>
      </c>
      <c r="D6274" t="s">
        <v>110</v>
      </c>
      <c r="E6274" t="s">
        <v>1156</v>
      </c>
      <c r="F6274">
        <v>0</v>
      </c>
      <c r="G6274">
        <v>0</v>
      </c>
      <c r="H6274">
        <v>0</v>
      </c>
      <c r="I6274">
        <v>0</v>
      </c>
      <c r="J6274">
        <v>0</v>
      </c>
      <c r="K6274">
        <v>0</v>
      </c>
      <c r="L6274">
        <v>0</v>
      </c>
      <c r="M6274">
        <v>-428.05</v>
      </c>
      <c r="N6274">
        <v>0</v>
      </c>
      <c r="O6274">
        <v>0</v>
      </c>
      <c r="P6274">
        <v>-428.05</v>
      </c>
      <c r="Q6274">
        <v>-428.05</v>
      </c>
    </row>
    <row r="6275" spans="1:17" customFormat="1" x14ac:dyDescent="0.3">
      <c r="A6275" s="12" t="s">
        <v>1243</v>
      </c>
      <c r="B6275" t="s">
        <v>167</v>
      </c>
      <c r="C6275" t="s">
        <v>123</v>
      </c>
      <c r="D6275" t="s">
        <v>110</v>
      </c>
      <c r="E6275" t="s">
        <v>62</v>
      </c>
      <c r="F6275">
        <v>0</v>
      </c>
      <c r="G6275">
        <v>0</v>
      </c>
      <c r="H6275">
        <v>0</v>
      </c>
      <c r="I6275">
        <v>0</v>
      </c>
      <c r="J6275">
        <v>0</v>
      </c>
      <c r="K6275">
        <v>0</v>
      </c>
      <c r="L6275">
        <v>1371.13</v>
      </c>
      <c r="M6275">
        <v>0</v>
      </c>
      <c r="N6275">
        <v>0</v>
      </c>
      <c r="O6275">
        <v>0</v>
      </c>
      <c r="P6275">
        <v>1371.13</v>
      </c>
      <c r="Q6275">
        <v>1371.13</v>
      </c>
    </row>
    <row r="6276" spans="1:17" customFormat="1" x14ac:dyDescent="0.3">
      <c r="A6276" s="12" t="s">
        <v>1243</v>
      </c>
      <c r="B6276" t="s">
        <v>167</v>
      </c>
      <c r="C6276" t="s">
        <v>123</v>
      </c>
      <c r="D6276" t="s">
        <v>110</v>
      </c>
      <c r="E6276" t="s">
        <v>41</v>
      </c>
      <c r="F6276">
        <v>0</v>
      </c>
      <c r="G6276">
        <v>0</v>
      </c>
      <c r="H6276">
        <v>0</v>
      </c>
      <c r="I6276">
        <v>0</v>
      </c>
      <c r="J6276">
        <v>0</v>
      </c>
      <c r="K6276">
        <v>0</v>
      </c>
      <c r="L6276">
        <v>4623.1499999999996</v>
      </c>
      <c r="M6276">
        <v>0</v>
      </c>
      <c r="N6276">
        <v>0</v>
      </c>
      <c r="O6276">
        <v>0</v>
      </c>
      <c r="P6276">
        <v>4623.1499999999996</v>
      </c>
      <c r="Q6276">
        <v>4623.1499999999996</v>
      </c>
    </row>
    <row r="6277" spans="1:17" customFormat="1" x14ac:dyDescent="0.3">
      <c r="A6277" s="12" t="s">
        <v>1243</v>
      </c>
      <c r="B6277" t="s">
        <v>167</v>
      </c>
      <c r="C6277" t="s">
        <v>123</v>
      </c>
      <c r="D6277" t="s">
        <v>110</v>
      </c>
      <c r="E6277" t="s">
        <v>79</v>
      </c>
      <c r="F6277">
        <v>0</v>
      </c>
      <c r="G6277">
        <v>0</v>
      </c>
      <c r="H6277">
        <v>0</v>
      </c>
      <c r="I6277">
        <v>0</v>
      </c>
      <c r="J6277">
        <v>0</v>
      </c>
      <c r="K6277">
        <v>0</v>
      </c>
      <c r="L6277">
        <v>856</v>
      </c>
      <c r="M6277">
        <v>0</v>
      </c>
      <c r="N6277">
        <v>0</v>
      </c>
      <c r="O6277">
        <v>0</v>
      </c>
      <c r="P6277">
        <v>856</v>
      </c>
      <c r="Q6277">
        <v>856</v>
      </c>
    </row>
    <row r="6278" spans="1:17" customFormat="1" x14ac:dyDescent="0.3">
      <c r="A6278" s="12" t="s">
        <v>1243</v>
      </c>
      <c r="B6278" t="s">
        <v>167</v>
      </c>
      <c r="C6278" t="s">
        <v>123</v>
      </c>
      <c r="D6278" t="s">
        <v>110</v>
      </c>
      <c r="E6278" t="s">
        <v>42</v>
      </c>
      <c r="F6278">
        <v>0</v>
      </c>
      <c r="G6278">
        <v>0</v>
      </c>
      <c r="H6278">
        <v>0</v>
      </c>
      <c r="I6278">
        <v>0</v>
      </c>
      <c r="J6278">
        <v>0</v>
      </c>
      <c r="K6278">
        <v>0</v>
      </c>
      <c r="L6278">
        <v>5083</v>
      </c>
      <c r="M6278">
        <v>0</v>
      </c>
      <c r="N6278">
        <v>0</v>
      </c>
      <c r="O6278">
        <v>0</v>
      </c>
      <c r="P6278">
        <v>5083</v>
      </c>
      <c r="Q6278">
        <v>5083</v>
      </c>
    </row>
    <row r="6279" spans="1:17" customFormat="1" x14ac:dyDescent="0.3">
      <c r="A6279" s="12" t="s">
        <v>1243</v>
      </c>
      <c r="B6279" t="s">
        <v>167</v>
      </c>
      <c r="C6279" t="s">
        <v>123</v>
      </c>
      <c r="D6279" t="s">
        <v>110</v>
      </c>
      <c r="E6279" t="s">
        <v>43</v>
      </c>
      <c r="F6279">
        <v>0</v>
      </c>
      <c r="G6279">
        <v>0</v>
      </c>
      <c r="H6279">
        <v>0</v>
      </c>
      <c r="I6279">
        <v>0</v>
      </c>
      <c r="J6279">
        <v>0</v>
      </c>
      <c r="K6279">
        <v>0</v>
      </c>
      <c r="L6279">
        <v>983.2</v>
      </c>
      <c r="M6279">
        <v>-322.3</v>
      </c>
      <c r="N6279">
        <v>0</v>
      </c>
      <c r="O6279">
        <v>0</v>
      </c>
      <c r="P6279">
        <v>660.9</v>
      </c>
      <c r="Q6279">
        <v>660.9</v>
      </c>
    </row>
    <row r="6280" spans="1:17" customFormat="1" x14ac:dyDescent="0.3">
      <c r="A6280" s="12" t="s">
        <v>1243</v>
      </c>
      <c r="B6280" t="s">
        <v>167</v>
      </c>
      <c r="C6280" t="s">
        <v>123</v>
      </c>
      <c r="D6280" t="s">
        <v>110</v>
      </c>
      <c r="E6280" t="s">
        <v>44</v>
      </c>
      <c r="F6280">
        <v>0</v>
      </c>
      <c r="G6280">
        <v>0</v>
      </c>
      <c r="H6280">
        <v>0</v>
      </c>
      <c r="I6280">
        <v>0</v>
      </c>
      <c r="J6280">
        <v>0</v>
      </c>
      <c r="K6280">
        <v>0</v>
      </c>
      <c r="L6280">
        <v>0</v>
      </c>
      <c r="M6280">
        <v>-335.45</v>
      </c>
      <c r="N6280">
        <v>0</v>
      </c>
      <c r="O6280">
        <v>0</v>
      </c>
      <c r="P6280">
        <v>-335.45</v>
      </c>
      <c r="Q6280">
        <v>-335.45</v>
      </c>
    </row>
    <row r="6281" spans="1:17" customFormat="1" x14ac:dyDescent="0.3">
      <c r="A6281" s="12" t="s">
        <v>1243</v>
      </c>
      <c r="B6281" t="s">
        <v>167</v>
      </c>
      <c r="C6281" t="s">
        <v>123</v>
      </c>
      <c r="D6281" t="s">
        <v>110</v>
      </c>
      <c r="E6281" t="s">
        <v>84</v>
      </c>
      <c r="F6281">
        <v>0</v>
      </c>
      <c r="G6281">
        <v>0</v>
      </c>
      <c r="H6281">
        <v>0</v>
      </c>
      <c r="I6281">
        <v>0</v>
      </c>
      <c r="J6281">
        <v>0</v>
      </c>
      <c r="K6281">
        <v>0</v>
      </c>
      <c r="L6281">
        <v>1942</v>
      </c>
      <c r="M6281">
        <v>0</v>
      </c>
      <c r="N6281">
        <v>0</v>
      </c>
      <c r="O6281">
        <v>0</v>
      </c>
      <c r="P6281">
        <v>1942</v>
      </c>
      <c r="Q6281">
        <v>1942</v>
      </c>
    </row>
    <row r="6282" spans="1:17" customFormat="1" x14ac:dyDescent="0.3">
      <c r="A6282" s="12" t="s">
        <v>1243</v>
      </c>
      <c r="B6282" t="s">
        <v>167</v>
      </c>
      <c r="C6282" t="s">
        <v>123</v>
      </c>
      <c r="D6282" t="s">
        <v>97</v>
      </c>
      <c r="F6282">
        <v>0</v>
      </c>
      <c r="G6282">
        <v>682.16499999999996</v>
      </c>
      <c r="H6282">
        <v>-1235.3399999999999</v>
      </c>
      <c r="I6282">
        <v>0</v>
      </c>
      <c r="J6282">
        <v>0</v>
      </c>
      <c r="K6282">
        <v>-553.17499999999995</v>
      </c>
      <c r="L6282">
        <v>25543.488878</v>
      </c>
      <c r="M6282">
        <v>-7742.72</v>
      </c>
      <c r="N6282">
        <v>0</v>
      </c>
      <c r="O6282">
        <v>0</v>
      </c>
      <c r="P6282">
        <v>17800.768877999999</v>
      </c>
      <c r="Q6282">
        <v>17247.593878</v>
      </c>
    </row>
    <row r="6283" spans="1:17" customFormat="1" x14ac:dyDescent="0.3">
      <c r="A6283" s="12" t="s">
        <v>1243</v>
      </c>
      <c r="B6283" t="s">
        <v>167</v>
      </c>
      <c r="C6283" t="s">
        <v>123</v>
      </c>
      <c r="D6283" t="s">
        <v>112</v>
      </c>
      <c r="E6283" t="s">
        <v>1430</v>
      </c>
      <c r="F6283">
        <v>0</v>
      </c>
      <c r="G6283">
        <v>0</v>
      </c>
      <c r="H6283">
        <v>0</v>
      </c>
      <c r="I6283">
        <v>0</v>
      </c>
      <c r="J6283">
        <v>0</v>
      </c>
      <c r="K6283">
        <v>0</v>
      </c>
      <c r="L6283">
        <v>1556.5</v>
      </c>
      <c r="M6283">
        <v>0</v>
      </c>
      <c r="N6283">
        <v>0</v>
      </c>
      <c r="O6283">
        <v>0</v>
      </c>
      <c r="P6283">
        <v>1556.5</v>
      </c>
      <c r="Q6283">
        <v>1556.5</v>
      </c>
    </row>
    <row r="6284" spans="1:17" customFormat="1" x14ac:dyDescent="0.3">
      <c r="A6284" s="12" t="s">
        <v>1243</v>
      </c>
      <c r="B6284" t="s">
        <v>167</v>
      </c>
      <c r="C6284" t="s">
        <v>123</v>
      </c>
      <c r="D6284" t="s">
        <v>112</v>
      </c>
      <c r="E6284" t="s">
        <v>1431</v>
      </c>
      <c r="F6284">
        <v>0</v>
      </c>
      <c r="G6284">
        <v>2891.5</v>
      </c>
      <c r="H6284">
        <v>0</v>
      </c>
      <c r="I6284">
        <v>0</v>
      </c>
      <c r="J6284">
        <v>0</v>
      </c>
      <c r="K6284">
        <v>2891.5</v>
      </c>
      <c r="L6284">
        <v>1564</v>
      </c>
      <c r="M6284">
        <v>0</v>
      </c>
      <c r="N6284">
        <v>0</v>
      </c>
      <c r="O6284">
        <v>0</v>
      </c>
      <c r="P6284">
        <v>1564</v>
      </c>
      <c r="Q6284">
        <v>4455.5</v>
      </c>
    </row>
    <row r="6285" spans="1:17" customFormat="1" x14ac:dyDescent="0.3">
      <c r="A6285" s="12" t="s">
        <v>1243</v>
      </c>
      <c r="B6285" t="s">
        <v>167</v>
      </c>
      <c r="C6285" t="s">
        <v>123</v>
      </c>
      <c r="D6285" t="s">
        <v>112</v>
      </c>
      <c r="E6285" t="s">
        <v>1158</v>
      </c>
      <c r="F6285">
        <v>0</v>
      </c>
      <c r="G6285">
        <v>0</v>
      </c>
      <c r="H6285">
        <v>-9605</v>
      </c>
      <c r="I6285">
        <v>0</v>
      </c>
      <c r="J6285">
        <v>0</v>
      </c>
      <c r="K6285">
        <v>-9605</v>
      </c>
      <c r="L6285">
        <v>0</v>
      </c>
      <c r="M6285">
        <v>0</v>
      </c>
      <c r="N6285">
        <v>0</v>
      </c>
      <c r="O6285">
        <v>0</v>
      </c>
      <c r="P6285">
        <v>0</v>
      </c>
      <c r="Q6285">
        <v>-9605</v>
      </c>
    </row>
    <row r="6286" spans="1:17" customFormat="1" x14ac:dyDescent="0.3">
      <c r="A6286" s="12" t="s">
        <v>1243</v>
      </c>
      <c r="B6286" t="s">
        <v>167</v>
      </c>
      <c r="C6286" t="s">
        <v>123</v>
      </c>
      <c r="D6286" t="s">
        <v>97</v>
      </c>
      <c r="F6286">
        <v>0</v>
      </c>
      <c r="G6286">
        <v>2891.5</v>
      </c>
      <c r="H6286">
        <v>-9605</v>
      </c>
      <c r="I6286">
        <v>0</v>
      </c>
      <c r="J6286">
        <v>0</v>
      </c>
      <c r="K6286">
        <v>-6713.5</v>
      </c>
      <c r="L6286">
        <v>3120.5</v>
      </c>
      <c r="M6286">
        <v>0</v>
      </c>
      <c r="N6286">
        <v>0</v>
      </c>
      <c r="O6286">
        <v>0</v>
      </c>
      <c r="P6286">
        <v>3120.5</v>
      </c>
      <c r="Q6286">
        <v>-3593</v>
      </c>
    </row>
    <row r="6287" spans="1:17" customFormat="1" x14ac:dyDescent="0.3">
      <c r="A6287" s="12" t="s">
        <v>1243</v>
      </c>
      <c r="B6287" t="s">
        <v>167</v>
      </c>
      <c r="C6287" t="s">
        <v>123</v>
      </c>
      <c r="D6287" t="s">
        <v>115</v>
      </c>
      <c r="F6287">
        <v>0</v>
      </c>
      <c r="G6287">
        <v>3573.665</v>
      </c>
      <c r="H6287">
        <v>-10840.34</v>
      </c>
      <c r="I6287">
        <v>0</v>
      </c>
      <c r="J6287">
        <v>0</v>
      </c>
      <c r="K6287">
        <v>-7266.6750000000002</v>
      </c>
      <c r="L6287">
        <v>28663.988878</v>
      </c>
      <c r="M6287">
        <v>-7742.72</v>
      </c>
      <c r="N6287">
        <v>0</v>
      </c>
      <c r="O6287">
        <v>0</v>
      </c>
      <c r="P6287">
        <v>20921.268877999999</v>
      </c>
      <c r="Q6287">
        <v>13654.593878</v>
      </c>
    </row>
    <row r="6288" spans="1:17" customFormat="1" x14ac:dyDescent="0.3">
      <c r="A6288" s="12" t="s">
        <v>1243</v>
      </c>
      <c r="B6288" t="s">
        <v>179</v>
      </c>
      <c r="C6288" t="s">
        <v>120</v>
      </c>
      <c r="D6288" t="s">
        <v>180</v>
      </c>
      <c r="E6288" t="s">
        <v>181</v>
      </c>
      <c r="F6288" t="s">
        <v>97</v>
      </c>
      <c r="G6288" t="s">
        <v>182</v>
      </c>
      <c r="H6288" t="s">
        <v>112</v>
      </c>
    </row>
    <row r="6289" spans="1:15" customFormat="1" x14ac:dyDescent="0.3">
      <c r="A6289" s="12" t="s">
        <v>1243</v>
      </c>
      <c r="B6289" t="s">
        <v>179</v>
      </c>
      <c r="C6289" t="s">
        <v>123</v>
      </c>
      <c r="D6289" t="s">
        <v>183</v>
      </c>
      <c r="E6289" t="s">
        <v>184</v>
      </c>
      <c r="F6289">
        <v>39630.966124999999</v>
      </c>
      <c r="G6289">
        <v>13702.196125</v>
      </c>
      <c r="H6289">
        <v>25928.77</v>
      </c>
    </row>
    <row r="6290" spans="1:15" customFormat="1" x14ac:dyDescent="0.3">
      <c r="A6290" s="12" t="s">
        <v>1243</v>
      </c>
      <c r="B6290" t="s">
        <v>179</v>
      </c>
      <c r="C6290" t="s">
        <v>123</v>
      </c>
      <c r="D6290" t="s">
        <v>162</v>
      </c>
      <c r="E6290" t="s">
        <v>184</v>
      </c>
      <c r="F6290">
        <v>-60.65</v>
      </c>
      <c r="G6290">
        <v>-18.649999999999999</v>
      </c>
      <c r="H6290">
        <v>-42</v>
      </c>
    </row>
    <row r="6291" spans="1:15" customFormat="1" x14ac:dyDescent="0.3">
      <c r="A6291" s="12" t="s">
        <v>1243</v>
      </c>
      <c r="B6291" t="s">
        <v>179</v>
      </c>
      <c r="C6291" t="s">
        <v>123</v>
      </c>
      <c r="D6291" t="s">
        <v>157</v>
      </c>
      <c r="E6291" t="s">
        <v>184</v>
      </c>
      <c r="F6291">
        <v>1270.7</v>
      </c>
      <c r="G6291">
        <v>1270.7</v>
      </c>
      <c r="H6291">
        <v>0</v>
      </c>
    </row>
    <row r="6292" spans="1:15" customFormat="1" x14ac:dyDescent="0.3">
      <c r="A6292" s="12" t="s">
        <v>1243</v>
      </c>
      <c r="B6292" t="s">
        <v>179</v>
      </c>
      <c r="C6292" t="s">
        <v>123</v>
      </c>
      <c r="D6292" t="s">
        <v>116</v>
      </c>
      <c r="E6292" t="s">
        <v>184</v>
      </c>
      <c r="F6292">
        <v>50.46</v>
      </c>
      <c r="G6292">
        <v>50.46</v>
      </c>
      <c r="H6292">
        <v>0</v>
      </c>
    </row>
    <row r="6293" spans="1:15" customFormat="1" x14ac:dyDescent="0.3">
      <c r="A6293" s="12" t="s">
        <v>1243</v>
      </c>
      <c r="B6293" t="s">
        <v>179</v>
      </c>
      <c r="C6293" t="s">
        <v>123</v>
      </c>
      <c r="D6293" t="s">
        <v>186</v>
      </c>
      <c r="E6293" t="s">
        <v>184</v>
      </c>
      <c r="F6293">
        <v>-691.5</v>
      </c>
      <c r="G6293">
        <v>0</v>
      </c>
      <c r="H6293">
        <v>-691.5</v>
      </c>
    </row>
    <row r="6294" spans="1:15" customFormat="1" x14ac:dyDescent="0.3">
      <c r="A6294" s="12" t="s">
        <v>1243</v>
      </c>
      <c r="B6294" t="s">
        <v>179</v>
      </c>
      <c r="C6294" t="s">
        <v>123</v>
      </c>
      <c r="D6294" t="s">
        <v>187</v>
      </c>
      <c r="E6294" t="s">
        <v>184</v>
      </c>
      <c r="F6294">
        <v>24073.17</v>
      </c>
      <c r="G6294">
        <v>24073.17</v>
      </c>
      <c r="H6294">
        <v>0</v>
      </c>
    </row>
    <row r="6295" spans="1:15" customFormat="1" x14ac:dyDescent="0.3">
      <c r="A6295" s="12" t="s">
        <v>1243</v>
      </c>
      <c r="B6295" t="s">
        <v>179</v>
      </c>
      <c r="C6295" t="s">
        <v>123</v>
      </c>
      <c r="D6295" t="s">
        <v>188</v>
      </c>
      <c r="E6295" t="s">
        <v>184</v>
      </c>
      <c r="F6295">
        <v>-54932.3</v>
      </c>
      <c r="G6295">
        <v>-54932.3</v>
      </c>
      <c r="H6295">
        <v>0</v>
      </c>
    </row>
    <row r="6296" spans="1:15" customFormat="1" x14ac:dyDescent="0.3">
      <c r="A6296" s="12" t="s">
        <v>1243</v>
      </c>
      <c r="B6296" t="s">
        <v>179</v>
      </c>
      <c r="C6296" t="s">
        <v>123</v>
      </c>
      <c r="D6296" t="s">
        <v>1159</v>
      </c>
      <c r="E6296" t="s">
        <v>184</v>
      </c>
      <c r="F6296">
        <v>41.92</v>
      </c>
      <c r="G6296">
        <v>41.92</v>
      </c>
      <c r="H6296">
        <v>0</v>
      </c>
    </row>
    <row r="6297" spans="1:15" customFormat="1" x14ac:dyDescent="0.3">
      <c r="A6297" s="12" t="s">
        <v>1243</v>
      </c>
      <c r="B6297" t="s">
        <v>179</v>
      </c>
      <c r="C6297" t="s">
        <v>123</v>
      </c>
      <c r="D6297" t="s">
        <v>158</v>
      </c>
      <c r="E6297" t="s">
        <v>184</v>
      </c>
      <c r="F6297">
        <v>-328.18</v>
      </c>
      <c r="G6297">
        <v>-328.18</v>
      </c>
      <c r="H6297">
        <v>0</v>
      </c>
    </row>
    <row r="6298" spans="1:15" customFormat="1" x14ac:dyDescent="0.3">
      <c r="A6298" s="12" t="s">
        <v>1243</v>
      </c>
      <c r="B6298" t="s">
        <v>179</v>
      </c>
      <c r="C6298" t="s">
        <v>123</v>
      </c>
      <c r="D6298" t="s">
        <v>189</v>
      </c>
      <c r="E6298" t="s">
        <v>184</v>
      </c>
      <c r="F6298">
        <v>9054.5861249999998</v>
      </c>
      <c r="G6298">
        <v>-16140.683875000001</v>
      </c>
      <c r="H6298">
        <v>25195.27</v>
      </c>
    </row>
    <row r="6299" spans="1:15" customFormat="1" x14ac:dyDescent="0.3">
      <c r="A6299" s="12" t="s">
        <v>1243</v>
      </c>
      <c r="B6299" t="s">
        <v>179</v>
      </c>
      <c r="C6299" t="s">
        <v>123</v>
      </c>
      <c r="D6299" t="s">
        <v>190</v>
      </c>
      <c r="E6299" t="s">
        <v>184</v>
      </c>
      <c r="F6299">
        <v>8603.5861249999998</v>
      </c>
      <c r="G6299">
        <v>-16140.683875000001</v>
      </c>
      <c r="H6299">
        <v>24744.27</v>
      </c>
    </row>
    <row r="6300" spans="1:15" customFormat="1" x14ac:dyDescent="0.3">
      <c r="A6300" s="12" t="s">
        <v>1243</v>
      </c>
      <c r="B6300" t="s">
        <v>191</v>
      </c>
      <c r="C6300" t="s">
        <v>120</v>
      </c>
      <c r="D6300" t="s">
        <v>192</v>
      </c>
      <c r="E6300" t="s">
        <v>100</v>
      </c>
      <c r="F6300" t="s">
        <v>181</v>
      </c>
      <c r="G6300" t="s">
        <v>0</v>
      </c>
      <c r="H6300" t="s">
        <v>193</v>
      </c>
      <c r="I6300" t="s">
        <v>194</v>
      </c>
      <c r="J6300" t="s">
        <v>195</v>
      </c>
      <c r="K6300" t="s">
        <v>196</v>
      </c>
      <c r="L6300" t="s">
        <v>197</v>
      </c>
      <c r="M6300" t="s">
        <v>198</v>
      </c>
      <c r="N6300" t="s">
        <v>199</v>
      </c>
      <c r="O6300" t="s">
        <v>165</v>
      </c>
    </row>
    <row r="6301" spans="1:15" customFormat="1" x14ac:dyDescent="0.3">
      <c r="A6301" s="12" t="s">
        <v>1243</v>
      </c>
      <c r="B6301" t="s">
        <v>191</v>
      </c>
      <c r="C6301" t="s">
        <v>123</v>
      </c>
      <c r="D6301" t="s">
        <v>200</v>
      </c>
      <c r="E6301" t="s">
        <v>110</v>
      </c>
      <c r="F6301" t="s">
        <v>114</v>
      </c>
      <c r="G6301" t="s">
        <v>45</v>
      </c>
      <c r="H6301">
        <v>10</v>
      </c>
      <c r="I6301">
        <v>1</v>
      </c>
      <c r="J6301">
        <v>148.886</v>
      </c>
      <c r="K6301">
        <v>1488.86</v>
      </c>
      <c r="L6301">
        <v>120.79</v>
      </c>
      <c r="M6301">
        <v>1207.9000000000001</v>
      </c>
      <c r="N6301">
        <v>-280.95999999999998</v>
      </c>
    </row>
    <row r="6302" spans="1:15" customFormat="1" x14ac:dyDescent="0.3">
      <c r="A6302" s="12" t="s">
        <v>1243</v>
      </c>
      <c r="B6302" t="s">
        <v>191</v>
      </c>
      <c r="C6302" t="s">
        <v>123</v>
      </c>
      <c r="D6302" t="s">
        <v>200</v>
      </c>
      <c r="E6302" t="s">
        <v>110</v>
      </c>
      <c r="F6302" t="s">
        <v>114</v>
      </c>
      <c r="G6302" t="s">
        <v>1373</v>
      </c>
      <c r="H6302">
        <v>100</v>
      </c>
      <c r="I6302">
        <v>1</v>
      </c>
      <c r="J6302">
        <v>57.472999999999999</v>
      </c>
      <c r="K6302">
        <v>5747.3</v>
      </c>
      <c r="L6302">
        <v>59.2</v>
      </c>
      <c r="M6302">
        <v>5920</v>
      </c>
      <c r="N6302">
        <v>172.7</v>
      </c>
    </row>
    <row r="6303" spans="1:15" customFormat="1" x14ac:dyDescent="0.3">
      <c r="A6303" s="12" t="s">
        <v>1243</v>
      </c>
      <c r="B6303" t="s">
        <v>191</v>
      </c>
      <c r="C6303" t="s">
        <v>123</v>
      </c>
      <c r="D6303" t="s">
        <v>200</v>
      </c>
      <c r="E6303" t="s">
        <v>110</v>
      </c>
      <c r="F6303" t="s">
        <v>114</v>
      </c>
      <c r="G6303" t="s">
        <v>1155</v>
      </c>
      <c r="H6303">
        <v>40</v>
      </c>
      <c r="I6303">
        <v>1</v>
      </c>
      <c r="J6303">
        <v>125.94750000000001</v>
      </c>
      <c r="K6303">
        <v>5037.8999999999996</v>
      </c>
      <c r="L6303">
        <v>115.24</v>
      </c>
      <c r="M6303">
        <v>4609.6000000000004</v>
      </c>
      <c r="N6303">
        <v>-428.3</v>
      </c>
    </row>
    <row r="6304" spans="1:15" customFormat="1" x14ac:dyDescent="0.3">
      <c r="A6304" s="12" t="s">
        <v>1243</v>
      </c>
      <c r="B6304" t="s">
        <v>191</v>
      </c>
      <c r="C6304" t="s">
        <v>123</v>
      </c>
      <c r="D6304" t="s">
        <v>200</v>
      </c>
      <c r="E6304" t="s">
        <v>110</v>
      </c>
      <c r="F6304" t="s">
        <v>114</v>
      </c>
      <c r="G6304" t="s">
        <v>1427</v>
      </c>
      <c r="H6304">
        <v>5</v>
      </c>
      <c r="I6304">
        <v>1</v>
      </c>
      <c r="J6304">
        <v>947.52</v>
      </c>
      <c r="K6304">
        <v>4737.6000000000004</v>
      </c>
      <c r="L6304">
        <v>942.89</v>
      </c>
      <c r="M6304">
        <v>4714.45</v>
      </c>
      <c r="N6304">
        <v>-23.15</v>
      </c>
    </row>
    <row r="6305" spans="1:15" customFormat="1" x14ac:dyDescent="0.3">
      <c r="A6305" s="12" t="s">
        <v>1243</v>
      </c>
      <c r="B6305" t="s">
        <v>191</v>
      </c>
      <c r="C6305" t="s">
        <v>123</v>
      </c>
      <c r="D6305" t="s">
        <v>200</v>
      </c>
      <c r="E6305" t="s">
        <v>110</v>
      </c>
      <c r="F6305" t="s">
        <v>114</v>
      </c>
      <c r="G6305" t="s">
        <v>48</v>
      </c>
      <c r="H6305">
        <v>35</v>
      </c>
      <c r="I6305">
        <v>1</v>
      </c>
      <c r="J6305">
        <v>163.47999999999999</v>
      </c>
      <c r="K6305">
        <v>5721.8</v>
      </c>
      <c r="L6305">
        <v>166.79</v>
      </c>
      <c r="M6305">
        <v>5837.65</v>
      </c>
      <c r="N6305">
        <v>115.85</v>
      </c>
    </row>
    <row r="6306" spans="1:15" customFormat="1" x14ac:dyDescent="0.3">
      <c r="A6306" s="12" t="s">
        <v>1243</v>
      </c>
      <c r="B6306" t="s">
        <v>191</v>
      </c>
      <c r="C6306" t="s">
        <v>123</v>
      </c>
      <c r="D6306" t="s">
        <v>200</v>
      </c>
      <c r="E6306" t="s">
        <v>110</v>
      </c>
      <c r="F6306" t="s">
        <v>114</v>
      </c>
      <c r="G6306" t="s">
        <v>54</v>
      </c>
      <c r="H6306">
        <v>5</v>
      </c>
      <c r="I6306">
        <v>1</v>
      </c>
      <c r="J6306">
        <v>165.1</v>
      </c>
      <c r="K6306">
        <v>825.5</v>
      </c>
      <c r="L6306">
        <v>328.93</v>
      </c>
      <c r="M6306">
        <v>1644.65</v>
      </c>
      <c r="N6306">
        <v>819.15</v>
      </c>
    </row>
    <row r="6307" spans="1:15" customFormat="1" x14ac:dyDescent="0.3">
      <c r="A6307" s="12" t="s">
        <v>1243</v>
      </c>
      <c r="B6307" t="s">
        <v>191</v>
      </c>
      <c r="C6307" t="s">
        <v>123</v>
      </c>
      <c r="D6307" t="s">
        <v>200</v>
      </c>
      <c r="E6307" t="s">
        <v>110</v>
      </c>
      <c r="F6307" t="s">
        <v>114</v>
      </c>
      <c r="G6307" t="s">
        <v>19</v>
      </c>
      <c r="H6307">
        <v>30</v>
      </c>
      <c r="I6307">
        <v>1</v>
      </c>
      <c r="J6307">
        <v>169.52166666700001</v>
      </c>
      <c r="K6307">
        <v>5085.6499999999996</v>
      </c>
      <c r="L6307">
        <v>189.3</v>
      </c>
      <c r="M6307">
        <v>5679</v>
      </c>
      <c r="N6307">
        <v>593.35</v>
      </c>
    </row>
    <row r="6308" spans="1:15" customFormat="1" x14ac:dyDescent="0.3">
      <c r="A6308" s="12" t="s">
        <v>1243</v>
      </c>
      <c r="B6308" t="s">
        <v>191</v>
      </c>
      <c r="C6308" t="s">
        <v>123</v>
      </c>
      <c r="D6308" t="s">
        <v>200</v>
      </c>
      <c r="E6308" t="s">
        <v>110</v>
      </c>
      <c r="F6308" t="s">
        <v>114</v>
      </c>
      <c r="G6308" t="s">
        <v>1428</v>
      </c>
      <c r="H6308">
        <v>250</v>
      </c>
      <c r="I6308">
        <v>1</v>
      </c>
      <c r="J6308">
        <v>20.977</v>
      </c>
      <c r="K6308">
        <v>5244.25</v>
      </c>
      <c r="L6308">
        <v>21.35</v>
      </c>
      <c r="M6308">
        <v>5337.5</v>
      </c>
      <c r="N6308">
        <v>93.25</v>
      </c>
    </row>
    <row r="6309" spans="1:15" customFormat="1" x14ac:dyDescent="0.3">
      <c r="A6309" s="12" t="s">
        <v>1243</v>
      </c>
      <c r="B6309" t="s">
        <v>191</v>
      </c>
      <c r="C6309" t="s">
        <v>123</v>
      </c>
      <c r="D6309" t="s">
        <v>200</v>
      </c>
      <c r="E6309" t="s">
        <v>110</v>
      </c>
      <c r="F6309" t="s">
        <v>114</v>
      </c>
      <c r="G6309" t="s">
        <v>1374</v>
      </c>
      <c r="H6309">
        <v>60</v>
      </c>
      <c r="I6309">
        <v>1</v>
      </c>
      <c r="J6309">
        <v>116.61166666699999</v>
      </c>
      <c r="K6309">
        <v>6996.7</v>
      </c>
      <c r="L6309">
        <v>105.11</v>
      </c>
      <c r="M6309">
        <v>6306.6</v>
      </c>
      <c r="N6309">
        <v>-690.1</v>
      </c>
    </row>
    <row r="6310" spans="1:15" customFormat="1" x14ac:dyDescent="0.3">
      <c r="A6310" s="12" t="s">
        <v>1243</v>
      </c>
      <c r="B6310" t="s">
        <v>191</v>
      </c>
      <c r="C6310" t="s">
        <v>123</v>
      </c>
      <c r="D6310" t="s">
        <v>200</v>
      </c>
      <c r="E6310" t="s">
        <v>110</v>
      </c>
      <c r="F6310" t="s">
        <v>114</v>
      </c>
      <c r="G6310" t="s">
        <v>1253</v>
      </c>
      <c r="H6310">
        <v>30</v>
      </c>
      <c r="I6310">
        <v>1</v>
      </c>
      <c r="J6310">
        <v>147.40333333300001</v>
      </c>
      <c r="K6310">
        <v>4422.1000000000004</v>
      </c>
      <c r="L6310">
        <v>145.35</v>
      </c>
      <c r="M6310">
        <v>4360.5</v>
      </c>
      <c r="N6310">
        <v>-61.6</v>
      </c>
      <c r="O6310" t="s">
        <v>555</v>
      </c>
    </row>
    <row r="6311" spans="1:15" customFormat="1" x14ac:dyDescent="0.3">
      <c r="A6311" s="12" t="s">
        <v>1243</v>
      </c>
      <c r="B6311" t="s">
        <v>191</v>
      </c>
      <c r="C6311" t="s">
        <v>123</v>
      </c>
      <c r="D6311" t="s">
        <v>200</v>
      </c>
      <c r="E6311" t="s">
        <v>110</v>
      </c>
      <c r="F6311" t="s">
        <v>114</v>
      </c>
      <c r="G6311" t="s">
        <v>1254</v>
      </c>
      <c r="H6311">
        <v>50</v>
      </c>
      <c r="I6311">
        <v>1</v>
      </c>
      <c r="J6311">
        <v>218.10599999999999</v>
      </c>
      <c r="K6311">
        <v>10905.3</v>
      </c>
      <c r="L6311">
        <v>220.96</v>
      </c>
      <c r="M6311">
        <v>11048</v>
      </c>
      <c r="N6311">
        <v>142.69999999999999</v>
      </c>
    </row>
    <row r="6312" spans="1:15" customFormat="1" x14ac:dyDescent="0.3">
      <c r="A6312" s="12" t="s">
        <v>1243</v>
      </c>
      <c r="B6312" t="s">
        <v>191</v>
      </c>
      <c r="C6312" t="s">
        <v>123</v>
      </c>
      <c r="D6312" t="s">
        <v>200</v>
      </c>
      <c r="E6312" t="s">
        <v>110</v>
      </c>
      <c r="F6312" t="s">
        <v>114</v>
      </c>
      <c r="G6312" t="s">
        <v>70</v>
      </c>
      <c r="H6312">
        <v>20</v>
      </c>
      <c r="I6312">
        <v>1</v>
      </c>
      <c r="J6312">
        <v>210.42500000000001</v>
      </c>
      <c r="K6312">
        <v>4208.5</v>
      </c>
      <c r="L6312">
        <v>239.71</v>
      </c>
      <c r="M6312">
        <v>4794.2</v>
      </c>
      <c r="N6312">
        <v>585.70000000000005</v>
      </c>
    </row>
    <row r="6313" spans="1:15" customFormat="1" x14ac:dyDescent="0.3">
      <c r="A6313" s="12" t="s">
        <v>1243</v>
      </c>
      <c r="B6313" t="s">
        <v>191</v>
      </c>
      <c r="C6313" t="s">
        <v>123</v>
      </c>
      <c r="D6313" t="s">
        <v>200</v>
      </c>
      <c r="E6313" t="s">
        <v>110</v>
      </c>
      <c r="F6313" t="s">
        <v>114</v>
      </c>
      <c r="G6313" t="s">
        <v>1375</v>
      </c>
      <c r="H6313">
        <v>30</v>
      </c>
      <c r="I6313">
        <v>1</v>
      </c>
      <c r="J6313">
        <v>100.104166667</v>
      </c>
      <c r="K6313">
        <v>3003.125</v>
      </c>
      <c r="L6313">
        <v>110.45</v>
      </c>
      <c r="M6313">
        <v>3313.5</v>
      </c>
      <c r="N6313">
        <v>310.375</v>
      </c>
    </row>
    <row r="6314" spans="1:15" customFormat="1" x14ac:dyDescent="0.3">
      <c r="A6314" s="12" t="s">
        <v>1243</v>
      </c>
      <c r="B6314" t="s">
        <v>191</v>
      </c>
      <c r="C6314" t="s">
        <v>123</v>
      </c>
      <c r="D6314" t="s">
        <v>200</v>
      </c>
      <c r="E6314" t="s">
        <v>110</v>
      </c>
      <c r="F6314" t="s">
        <v>114</v>
      </c>
      <c r="G6314" t="s">
        <v>28</v>
      </c>
      <c r="H6314">
        <v>56</v>
      </c>
      <c r="I6314">
        <v>1</v>
      </c>
      <c r="J6314">
        <v>421.01885932099998</v>
      </c>
      <c r="K6314">
        <v>23577.056122000002</v>
      </c>
      <c r="L6314">
        <v>421.5</v>
      </c>
      <c r="M6314">
        <v>23604</v>
      </c>
      <c r="N6314">
        <v>26.943878000000002</v>
      </c>
    </row>
    <row r="6315" spans="1:15" customFormat="1" x14ac:dyDescent="0.3">
      <c r="A6315" s="12" t="s">
        <v>1243</v>
      </c>
      <c r="B6315" t="s">
        <v>191</v>
      </c>
      <c r="C6315" t="s">
        <v>123</v>
      </c>
      <c r="D6315" t="s">
        <v>200</v>
      </c>
      <c r="E6315" t="s">
        <v>110</v>
      </c>
      <c r="F6315" t="s">
        <v>114</v>
      </c>
      <c r="G6315" t="s">
        <v>71</v>
      </c>
      <c r="H6315">
        <v>40</v>
      </c>
      <c r="I6315">
        <v>1</v>
      </c>
      <c r="J6315">
        <v>140.07749999999999</v>
      </c>
      <c r="K6315">
        <v>5603.1</v>
      </c>
      <c r="L6315">
        <v>134.29</v>
      </c>
      <c r="M6315">
        <v>5371.6</v>
      </c>
      <c r="N6315">
        <v>-231.5</v>
      </c>
    </row>
    <row r="6316" spans="1:15" customFormat="1" x14ac:dyDescent="0.3">
      <c r="A6316" s="12" t="s">
        <v>1243</v>
      </c>
      <c r="B6316" t="s">
        <v>191</v>
      </c>
      <c r="C6316" t="s">
        <v>123</v>
      </c>
      <c r="D6316" t="s">
        <v>200</v>
      </c>
      <c r="E6316" t="s">
        <v>110</v>
      </c>
      <c r="F6316" t="s">
        <v>114</v>
      </c>
      <c r="G6316" t="s">
        <v>29</v>
      </c>
      <c r="H6316">
        <v>18</v>
      </c>
      <c r="I6316">
        <v>1</v>
      </c>
      <c r="J6316">
        <v>164.93333333300001</v>
      </c>
      <c r="K6316">
        <v>2968.8</v>
      </c>
      <c r="L6316">
        <v>181.96</v>
      </c>
      <c r="M6316">
        <v>3275.28</v>
      </c>
      <c r="N6316">
        <v>306.48</v>
      </c>
    </row>
    <row r="6317" spans="1:15" customFormat="1" x14ac:dyDescent="0.3">
      <c r="A6317" s="12" t="s">
        <v>1243</v>
      </c>
      <c r="B6317" t="s">
        <v>191</v>
      </c>
      <c r="C6317" t="s">
        <v>123</v>
      </c>
      <c r="D6317" t="s">
        <v>200</v>
      </c>
      <c r="E6317" t="s">
        <v>110</v>
      </c>
      <c r="F6317" t="s">
        <v>114</v>
      </c>
      <c r="G6317" t="s">
        <v>1429</v>
      </c>
      <c r="H6317">
        <v>100</v>
      </c>
      <c r="I6317">
        <v>1</v>
      </c>
      <c r="J6317">
        <v>75.582999999999998</v>
      </c>
      <c r="K6317">
        <v>7558.3</v>
      </c>
      <c r="L6317">
        <v>75.63</v>
      </c>
      <c r="M6317">
        <v>7563</v>
      </c>
      <c r="N6317">
        <v>4.7</v>
      </c>
    </row>
    <row r="6318" spans="1:15" customFormat="1" x14ac:dyDescent="0.3">
      <c r="A6318" s="12" t="s">
        <v>1243</v>
      </c>
      <c r="B6318" t="s">
        <v>191</v>
      </c>
      <c r="C6318" t="s">
        <v>123</v>
      </c>
      <c r="D6318" t="s">
        <v>200</v>
      </c>
      <c r="E6318" t="s">
        <v>110</v>
      </c>
      <c r="F6318" t="s">
        <v>114</v>
      </c>
      <c r="G6318" t="s">
        <v>82</v>
      </c>
      <c r="H6318">
        <v>150</v>
      </c>
      <c r="I6318">
        <v>1</v>
      </c>
      <c r="J6318">
        <v>476.41399999999999</v>
      </c>
      <c r="K6318">
        <v>71462.100000000006</v>
      </c>
      <c r="L6318">
        <v>511.23</v>
      </c>
      <c r="M6318">
        <v>76684.5</v>
      </c>
      <c r="N6318">
        <v>5222.3999999999996</v>
      </c>
    </row>
    <row r="6319" spans="1:15" customFormat="1" x14ac:dyDescent="0.3">
      <c r="A6319" s="12" t="s">
        <v>1243</v>
      </c>
      <c r="B6319" t="s">
        <v>191</v>
      </c>
      <c r="C6319" t="s">
        <v>123</v>
      </c>
      <c r="D6319" t="s">
        <v>200</v>
      </c>
      <c r="E6319" t="s">
        <v>110</v>
      </c>
      <c r="F6319" t="s">
        <v>114</v>
      </c>
      <c r="G6319" t="s">
        <v>1255</v>
      </c>
      <c r="H6319">
        <v>550</v>
      </c>
      <c r="I6319">
        <v>1</v>
      </c>
      <c r="J6319">
        <v>181.995090909</v>
      </c>
      <c r="K6319">
        <v>100097.3</v>
      </c>
      <c r="L6319">
        <v>175.23</v>
      </c>
      <c r="M6319">
        <v>96376.5</v>
      </c>
      <c r="N6319">
        <v>-3720.8</v>
      </c>
    </row>
    <row r="6320" spans="1:15" customFormat="1" x14ac:dyDescent="0.3">
      <c r="A6320" s="12" t="s">
        <v>1243</v>
      </c>
      <c r="B6320" t="s">
        <v>191</v>
      </c>
      <c r="C6320" t="s">
        <v>123</v>
      </c>
      <c r="D6320" t="s">
        <v>200</v>
      </c>
      <c r="E6320" t="s">
        <v>110</v>
      </c>
      <c r="F6320" t="s">
        <v>114</v>
      </c>
      <c r="G6320" t="s">
        <v>86</v>
      </c>
      <c r="H6320">
        <v>40</v>
      </c>
      <c r="I6320">
        <v>1</v>
      </c>
      <c r="J6320">
        <v>550.38</v>
      </c>
      <c r="K6320">
        <v>22015.200000000001</v>
      </c>
      <c r="L6320">
        <v>586.08000000000004</v>
      </c>
      <c r="M6320">
        <v>23443.200000000001</v>
      </c>
      <c r="N6320">
        <v>1428</v>
      </c>
    </row>
    <row r="6321" spans="1:17" customFormat="1" x14ac:dyDescent="0.3">
      <c r="A6321" s="12" t="s">
        <v>1243</v>
      </c>
      <c r="B6321" t="s">
        <v>191</v>
      </c>
      <c r="C6321" t="s">
        <v>123</v>
      </c>
      <c r="D6321" t="s">
        <v>200</v>
      </c>
      <c r="E6321" t="s">
        <v>110</v>
      </c>
      <c r="F6321" t="s">
        <v>114</v>
      </c>
      <c r="G6321" t="s">
        <v>1257</v>
      </c>
      <c r="H6321">
        <v>100</v>
      </c>
      <c r="I6321">
        <v>1</v>
      </c>
      <c r="J6321">
        <v>97.263000000000005</v>
      </c>
      <c r="K6321">
        <v>9726.2999999999993</v>
      </c>
      <c r="L6321">
        <v>89.08</v>
      </c>
      <c r="M6321">
        <v>8908</v>
      </c>
      <c r="N6321">
        <v>-818.3</v>
      </c>
    </row>
    <row r="6322" spans="1:17" customFormat="1" x14ac:dyDescent="0.3">
      <c r="A6322" s="12" t="s">
        <v>1243</v>
      </c>
      <c r="B6322" t="s">
        <v>191</v>
      </c>
      <c r="C6322" t="s">
        <v>123</v>
      </c>
      <c r="D6322" t="s">
        <v>200</v>
      </c>
      <c r="E6322" t="s">
        <v>110</v>
      </c>
      <c r="F6322" t="s">
        <v>114</v>
      </c>
      <c r="G6322" t="s">
        <v>1258</v>
      </c>
      <c r="H6322">
        <v>60</v>
      </c>
      <c r="I6322">
        <v>1</v>
      </c>
      <c r="J6322">
        <v>531.12333333300001</v>
      </c>
      <c r="K6322">
        <v>31867.4</v>
      </c>
      <c r="L6322">
        <v>538.80999999999995</v>
      </c>
      <c r="M6322">
        <v>32328.6</v>
      </c>
      <c r="N6322">
        <v>461.2</v>
      </c>
    </row>
    <row r="6323" spans="1:17" customFormat="1" x14ac:dyDescent="0.3">
      <c r="A6323" s="12" t="s">
        <v>1243</v>
      </c>
      <c r="B6323" t="s">
        <v>191</v>
      </c>
      <c r="C6323" t="s">
        <v>123</v>
      </c>
      <c r="D6323" t="s">
        <v>200</v>
      </c>
      <c r="E6323" t="s">
        <v>110</v>
      </c>
      <c r="F6323" t="s">
        <v>114</v>
      </c>
      <c r="G6323" t="s">
        <v>1156</v>
      </c>
      <c r="H6323">
        <v>70</v>
      </c>
      <c r="I6323">
        <v>1</v>
      </c>
      <c r="J6323">
        <v>90.254999999999995</v>
      </c>
      <c r="K6323">
        <v>6317.85</v>
      </c>
      <c r="L6323">
        <v>84.14</v>
      </c>
      <c r="M6323">
        <v>5889.8</v>
      </c>
      <c r="N6323">
        <v>-428.05</v>
      </c>
    </row>
    <row r="6324" spans="1:17" customFormat="1" x14ac:dyDescent="0.3">
      <c r="A6324" s="12" t="s">
        <v>1243</v>
      </c>
      <c r="B6324" t="s">
        <v>191</v>
      </c>
      <c r="C6324" t="s">
        <v>123</v>
      </c>
      <c r="D6324" t="s">
        <v>200</v>
      </c>
      <c r="E6324" t="s">
        <v>110</v>
      </c>
      <c r="F6324" t="s">
        <v>114</v>
      </c>
      <c r="G6324" t="s">
        <v>62</v>
      </c>
      <c r="H6324">
        <v>200</v>
      </c>
      <c r="I6324">
        <v>1</v>
      </c>
      <c r="J6324">
        <v>41.474350000000001</v>
      </c>
      <c r="K6324">
        <v>8294.8700000000008</v>
      </c>
      <c r="L6324">
        <v>48.33</v>
      </c>
      <c r="M6324">
        <v>9666</v>
      </c>
      <c r="N6324">
        <v>1371.13</v>
      </c>
    </row>
    <row r="6325" spans="1:17" customFormat="1" x14ac:dyDescent="0.3">
      <c r="A6325" s="12" t="s">
        <v>1243</v>
      </c>
      <c r="B6325" t="s">
        <v>191</v>
      </c>
      <c r="C6325" t="s">
        <v>123</v>
      </c>
      <c r="D6325" t="s">
        <v>200</v>
      </c>
      <c r="E6325" t="s">
        <v>110</v>
      </c>
      <c r="F6325" t="s">
        <v>114</v>
      </c>
      <c r="G6325" t="s">
        <v>41</v>
      </c>
      <c r="H6325">
        <v>849</v>
      </c>
      <c r="I6325">
        <v>1</v>
      </c>
      <c r="J6325">
        <v>44.514593640000001</v>
      </c>
      <c r="K6325">
        <v>37792.89</v>
      </c>
      <c r="L6325">
        <v>49.96</v>
      </c>
      <c r="M6325">
        <v>42416.04</v>
      </c>
      <c r="N6325">
        <v>4623.1499999999996</v>
      </c>
      <c r="O6325" t="s">
        <v>555</v>
      </c>
    </row>
    <row r="6326" spans="1:17" customFormat="1" x14ac:dyDescent="0.3">
      <c r="A6326" s="12" t="s">
        <v>1243</v>
      </c>
      <c r="B6326" t="s">
        <v>191</v>
      </c>
      <c r="C6326" t="s">
        <v>123</v>
      </c>
      <c r="D6326" t="s">
        <v>200</v>
      </c>
      <c r="E6326" t="s">
        <v>110</v>
      </c>
      <c r="F6326" t="s">
        <v>114</v>
      </c>
      <c r="G6326" t="s">
        <v>79</v>
      </c>
      <c r="H6326">
        <v>80</v>
      </c>
      <c r="I6326">
        <v>1</v>
      </c>
      <c r="J6326">
        <v>121.06</v>
      </c>
      <c r="K6326">
        <v>9684.7999999999993</v>
      </c>
      <c r="L6326">
        <v>131.76</v>
      </c>
      <c r="M6326">
        <v>10540.8</v>
      </c>
      <c r="N6326">
        <v>856</v>
      </c>
      <c r="O6326" t="s">
        <v>555</v>
      </c>
    </row>
    <row r="6327" spans="1:17" customFormat="1" x14ac:dyDescent="0.3">
      <c r="A6327" s="12" t="s">
        <v>1243</v>
      </c>
      <c r="B6327" t="s">
        <v>191</v>
      </c>
      <c r="C6327" t="s">
        <v>123</v>
      </c>
      <c r="D6327" t="s">
        <v>200</v>
      </c>
      <c r="E6327" t="s">
        <v>110</v>
      </c>
      <c r="F6327" t="s">
        <v>114</v>
      </c>
      <c r="G6327" t="s">
        <v>42</v>
      </c>
      <c r="H6327">
        <v>200</v>
      </c>
      <c r="I6327">
        <v>1</v>
      </c>
      <c r="J6327">
        <v>207.10499999999999</v>
      </c>
      <c r="K6327">
        <v>41421</v>
      </c>
      <c r="L6327">
        <v>232.52</v>
      </c>
      <c r="M6327">
        <v>46504</v>
      </c>
      <c r="N6327">
        <v>5083</v>
      </c>
    </row>
    <row r="6328" spans="1:17" customFormat="1" x14ac:dyDescent="0.3">
      <c r="A6328" s="12" t="s">
        <v>1243</v>
      </c>
      <c r="B6328" t="s">
        <v>191</v>
      </c>
      <c r="C6328" t="s">
        <v>123</v>
      </c>
      <c r="D6328" t="s">
        <v>200</v>
      </c>
      <c r="E6328" t="s">
        <v>110</v>
      </c>
      <c r="F6328" t="s">
        <v>114</v>
      </c>
      <c r="G6328" t="s">
        <v>43</v>
      </c>
      <c r="H6328">
        <v>330</v>
      </c>
      <c r="I6328">
        <v>1</v>
      </c>
      <c r="J6328">
        <v>73.687272727000007</v>
      </c>
      <c r="K6328">
        <v>24316.799999999999</v>
      </c>
      <c r="L6328">
        <v>75.69</v>
      </c>
      <c r="M6328">
        <v>24977.7</v>
      </c>
      <c r="N6328">
        <v>660.9</v>
      </c>
    </row>
    <row r="6329" spans="1:17" customFormat="1" x14ac:dyDescent="0.3">
      <c r="A6329" s="12" t="s">
        <v>1243</v>
      </c>
      <c r="B6329" t="s">
        <v>191</v>
      </c>
      <c r="C6329" t="s">
        <v>123</v>
      </c>
      <c r="D6329" t="s">
        <v>200</v>
      </c>
      <c r="E6329" t="s">
        <v>110</v>
      </c>
      <c r="F6329" t="s">
        <v>114</v>
      </c>
      <c r="G6329" t="s">
        <v>44</v>
      </c>
      <c r="H6329">
        <v>60</v>
      </c>
      <c r="I6329">
        <v>1</v>
      </c>
      <c r="J6329">
        <v>143.160833333</v>
      </c>
      <c r="K6329">
        <v>8589.65</v>
      </c>
      <c r="L6329">
        <v>137.57</v>
      </c>
      <c r="M6329">
        <v>8254.2000000000007</v>
      </c>
      <c r="N6329">
        <v>-335.45</v>
      </c>
    </row>
    <row r="6330" spans="1:17" customFormat="1" x14ac:dyDescent="0.3">
      <c r="A6330" s="12" t="s">
        <v>1243</v>
      </c>
      <c r="B6330" t="s">
        <v>191</v>
      </c>
      <c r="C6330" t="s">
        <v>123</v>
      </c>
      <c r="D6330" t="s">
        <v>200</v>
      </c>
      <c r="E6330" t="s">
        <v>110</v>
      </c>
      <c r="F6330" t="s">
        <v>114</v>
      </c>
      <c r="G6330" t="s">
        <v>84</v>
      </c>
      <c r="H6330">
        <v>50</v>
      </c>
      <c r="I6330">
        <v>1</v>
      </c>
      <c r="J6330">
        <v>185.51</v>
      </c>
      <c r="K6330">
        <v>9275.5</v>
      </c>
      <c r="L6330">
        <v>224.35</v>
      </c>
      <c r="M6330">
        <v>11217.5</v>
      </c>
      <c r="N6330">
        <v>1942</v>
      </c>
    </row>
    <row r="6331" spans="1:17" customFormat="1" x14ac:dyDescent="0.3">
      <c r="A6331" s="12" t="s">
        <v>1243</v>
      </c>
      <c r="B6331" t="s">
        <v>191</v>
      </c>
      <c r="C6331" t="s">
        <v>97</v>
      </c>
      <c r="E6331" t="s">
        <v>110</v>
      </c>
      <c r="F6331" t="s">
        <v>114</v>
      </c>
      <c r="K6331">
        <v>483993.50112199999</v>
      </c>
      <c r="M6331">
        <v>501794.27</v>
      </c>
      <c r="N6331">
        <v>17800.768877999999</v>
      </c>
    </row>
    <row r="6332" spans="1:17" customFormat="1" x14ac:dyDescent="0.3">
      <c r="A6332" s="12" t="s">
        <v>1243</v>
      </c>
      <c r="B6332" t="s">
        <v>191</v>
      </c>
      <c r="C6332" t="s">
        <v>120</v>
      </c>
      <c r="D6332" t="s">
        <v>192</v>
      </c>
      <c r="E6332" t="s">
        <v>100</v>
      </c>
      <c r="F6332" t="s">
        <v>181</v>
      </c>
      <c r="G6332" t="s">
        <v>0</v>
      </c>
      <c r="H6332" t="s">
        <v>193</v>
      </c>
      <c r="I6332" t="s">
        <v>194</v>
      </c>
      <c r="J6332" t="s">
        <v>195</v>
      </c>
      <c r="K6332" t="s">
        <v>196</v>
      </c>
      <c r="L6332" t="s">
        <v>197</v>
      </c>
      <c r="M6332" t="s">
        <v>198</v>
      </c>
      <c r="N6332" t="s">
        <v>199</v>
      </c>
      <c r="O6332" t="s">
        <v>165</v>
      </c>
    </row>
    <row r="6333" spans="1:17" customFormat="1" x14ac:dyDescent="0.3">
      <c r="A6333" s="12" t="s">
        <v>1243</v>
      </c>
      <c r="B6333" t="s">
        <v>191</v>
      </c>
      <c r="C6333" t="s">
        <v>123</v>
      </c>
      <c r="D6333" t="s">
        <v>200</v>
      </c>
      <c r="E6333" t="s">
        <v>112</v>
      </c>
      <c r="F6333" t="s">
        <v>114</v>
      </c>
      <c r="G6333" t="s">
        <v>1430</v>
      </c>
      <c r="H6333">
        <v>-2</v>
      </c>
      <c r="I6333">
        <v>5</v>
      </c>
      <c r="J6333">
        <v>6091.4</v>
      </c>
      <c r="K6333">
        <v>-60914</v>
      </c>
      <c r="L6333">
        <v>5935.75</v>
      </c>
      <c r="M6333">
        <v>-59357.5</v>
      </c>
      <c r="N6333">
        <v>1556.5</v>
      </c>
    </row>
    <row r="6334" spans="1:17" customFormat="1" x14ac:dyDescent="0.3">
      <c r="A6334" s="12" t="s">
        <v>1243</v>
      </c>
      <c r="B6334" t="s">
        <v>191</v>
      </c>
      <c r="C6334" t="s">
        <v>123</v>
      </c>
      <c r="D6334" t="s">
        <v>200</v>
      </c>
      <c r="E6334" t="s">
        <v>112</v>
      </c>
      <c r="F6334" t="s">
        <v>114</v>
      </c>
      <c r="G6334" t="s">
        <v>1431</v>
      </c>
      <c r="H6334">
        <v>-1</v>
      </c>
      <c r="I6334">
        <v>2</v>
      </c>
      <c r="J6334">
        <v>22008.5</v>
      </c>
      <c r="K6334">
        <v>-44017</v>
      </c>
      <c r="L6334">
        <v>21226.5</v>
      </c>
      <c r="M6334">
        <v>-42453</v>
      </c>
      <c r="N6334">
        <v>1564</v>
      </c>
    </row>
    <row r="6335" spans="1:17" customFormat="1" x14ac:dyDescent="0.3">
      <c r="A6335" s="12" t="s">
        <v>1243</v>
      </c>
      <c r="B6335" t="s">
        <v>191</v>
      </c>
      <c r="C6335" t="s">
        <v>97</v>
      </c>
      <c r="E6335" t="s">
        <v>112</v>
      </c>
      <c r="F6335" t="s">
        <v>114</v>
      </c>
      <c r="K6335">
        <v>-104931</v>
      </c>
      <c r="M6335">
        <v>-101810.5</v>
      </c>
      <c r="N6335">
        <v>3120.5</v>
      </c>
    </row>
    <row r="6336" spans="1:17" customFormat="1" x14ac:dyDescent="0.3">
      <c r="A6336" s="12" t="s">
        <v>1243</v>
      </c>
      <c r="B6336" t="s">
        <v>201</v>
      </c>
      <c r="C6336" t="s">
        <v>120</v>
      </c>
      <c r="D6336" t="s">
        <v>192</v>
      </c>
      <c r="E6336" t="s">
        <v>100</v>
      </c>
      <c r="F6336" t="s">
        <v>181</v>
      </c>
      <c r="G6336" t="s">
        <v>0</v>
      </c>
      <c r="H6336" t="s">
        <v>202</v>
      </c>
      <c r="I6336" t="s">
        <v>193</v>
      </c>
      <c r="J6336" t="s">
        <v>203</v>
      </c>
      <c r="K6336" t="s">
        <v>204</v>
      </c>
      <c r="L6336" t="s">
        <v>205</v>
      </c>
      <c r="M6336" t="s">
        <v>206</v>
      </c>
      <c r="N6336" t="s">
        <v>1</v>
      </c>
      <c r="O6336" t="s">
        <v>207</v>
      </c>
      <c r="P6336" t="s">
        <v>208</v>
      </c>
      <c r="Q6336" t="s">
        <v>165</v>
      </c>
    </row>
    <row r="6337" spans="1:17" customFormat="1" x14ac:dyDescent="0.3">
      <c r="A6337" s="12" t="s">
        <v>1243</v>
      </c>
      <c r="B6337" t="s">
        <v>201</v>
      </c>
      <c r="C6337" t="s">
        <v>123</v>
      </c>
      <c r="D6337" t="s">
        <v>209</v>
      </c>
      <c r="E6337" t="s">
        <v>110</v>
      </c>
      <c r="F6337" t="s">
        <v>114</v>
      </c>
      <c r="G6337" t="s">
        <v>45</v>
      </c>
      <c r="H6337" t="s">
        <v>1432</v>
      </c>
      <c r="I6337">
        <v>-15</v>
      </c>
      <c r="J6337">
        <v>130.49</v>
      </c>
      <c r="K6337">
        <v>127.74</v>
      </c>
      <c r="L6337">
        <v>1957.35</v>
      </c>
      <c r="M6337">
        <v>-1.3</v>
      </c>
      <c r="N6337">
        <v>-2233.29</v>
      </c>
      <c r="O6337">
        <v>-277.24</v>
      </c>
      <c r="P6337">
        <v>41.25</v>
      </c>
      <c r="Q6337" t="s">
        <v>230</v>
      </c>
    </row>
    <row r="6338" spans="1:17" customFormat="1" x14ac:dyDescent="0.3">
      <c r="A6338" s="12" t="s">
        <v>1243</v>
      </c>
      <c r="B6338" t="s">
        <v>201</v>
      </c>
      <c r="C6338" t="s">
        <v>213</v>
      </c>
      <c r="E6338" t="s">
        <v>110</v>
      </c>
      <c r="F6338" t="s">
        <v>114</v>
      </c>
      <c r="G6338" t="s">
        <v>45</v>
      </c>
      <c r="I6338">
        <v>-15</v>
      </c>
      <c r="L6338">
        <v>1957.35</v>
      </c>
      <c r="M6338">
        <v>-1.3</v>
      </c>
      <c r="N6338">
        <v>-2233.29</v>
      </c>
      <c r="O6338">
        <v>-277.24</v>
      </c>
      <c r="P6338">
        <v>41.25</v>
      </c>
    </row>
    <row r="6339" spans="1:17" customFormat="1" x14ac:dyDescent="0.3">
      <c r="A6339" s="12" t="s">
        <v>1243</v>
      </c>
      <c r="B6339" t="s">
        <v>201</v>
      </c>
      <c r="C6339" t="s">
        <v>123</v>
      </c>
      <c r="D6339" t="s">
        <v>209</v>
      </c>
      <c r="E6339" t="s">
        <v>110</v>
      </c>
      <c r="F6339" t="s">
        <v>114</v>
      </c>
      <c r="G6339" t="s">
        <v>4</v>
      </c>
      <c r="H6339" t="s">
        <v>1433</v>
      </c>
      <c r="I6339">
        <v>-25</v>
      </c>
      <c r="J6339">
        <v>194.37</v>
      </c>
      <c r="K6339">
        <v>193.73</v>
      </c>
      <c r="L6339">
        <v>4859.25</v>
      </c>
      <c r="M6339">
        <v>-1.3</v>
      </c>
      <c r="N6339">
        <v>-4913.3</v>
      </c>
      <c r="O6339">
        <v>-55.35</v>
      </c>
      <c r="P6339">
        <v>16</v>
      </c>
      <c r="Q6339" t="s">
        <v>230</v>
      </c>
    </row>
    <row r="6340" spans="1:17" customFormat="1" x14ac:dyDescent="0.3">
      <c r="A6340" s="12" t="s">
        <v>1243</v>
      </c>
      <c r="B6340" t="s">
        <v>201</v>
      </c>
      <c r="C6340" t="s">
        <v>213</v>
      </c>
      <c r="E6340" t="s">
        <v>110</v>
      </c>
      <c r="F6340" t="s">
        <v>114</v>
      </c>
      <c r="G6340" t="s">
        <v>4</v>
      </c>
      <c r="I6340">
        <v>-25</v>
      </c>
      <c r="L6340">
        <v>4859.25</v>
      </c>
      <c r="M6340">
        <v>-1.3</v>
      </c>
      <c r="N6340">
        <v>-4913.3</v>
      </c>
      <c r="O6340">
        <v>-55.35</v>
      </c>
      <c r="P6340">
        <v>16</v>
      </c>
    </row>
    <row r="6341" spans="1:17" customFormat="1" x14ac:dyDescent="0.3">
      <c r="A6341" s="12" t="s">
        <v>1243</v>
      </c>
      <c r="B6341" t="s">
        <v>201</v>
      </c>
      <c r="C6341" t="s">
        <v>123</v>
      </c>
      <c r="D6341" t="s">
        <v>209</v>
      </c>
      <c r="E6341" t="s">
        <v>110</v>
      </c>
      <c r="F6341" t="s">
        <v>114</v>
      </c>
      <c r="G6341" t="s">
        <v>7</v>
      </c>
      <c r="H6341" t="s">
        <v>1434</v>
      </c>
      <c r="I6341">
        <v>-20</v>
      </c>
      <c r="J6341">
        <v>177.1035</v>
      </c>
      <c r="K6341">
        <v>171.81</v>
      </c>
      <c r="L6341">
        <v>3542.07</v>
      </c>
      <c r="M6341">
        <v>-1.3</v>
      </c>
      <c r="N6341">
        <v>-3465.78</v>
      </c>
      <c r="O6341">
        <v>74.989999999999995</v>
      </c>
      <c r="P6341">
        <v>105.87</v>
      </c>
      <c r="Q6341" t="s">
        <v>230</v>
      </c>
    </row>
    <row r="6342" spans="1:17" customFormat="1" x14ac:dyDescent="0.3">
      <c r="A6342" s="12" t="s">
        <v>1243</v>
      </c>
      <c r="B6342" t="s">
        <v>201</v>
      </c>
      <c r="C6342" t="s">
        <v>213</v>
      </c>
      <c r="E6342" t="s">
        <v>110</v>
      </c>
      <c r="F6342" t="s">
        <v>114</v>
      </c>
      <c r="G6342" t="s">
        <v>7</v>
      </c>
      <c r="I6342">
        <v>-20</v>
      </c>
      <c r="L6342">
        <v>3542.07</v>
      </c>
      <c r="M6342">
        <v>-1.3</v>
      </c>
      <c r="N6342">
        <v>-3465.78</v>
      </c>
      <c r="O6342">
        <v>74.989999999999995</v>
      </c>
      <c r="P6342">
        <v>105.87</v>
      </c>
    </row>
    <row r="6343" spans="1:17" customFormat="1" x14ac:dyDescent="0.3">
      <c r="A6343" s="12" t="s">
        <v>1243</v>
      </c>
      <c r="B6343" t="s">
        <v>201</v>
      </c>
      <c r="C6343" t="s">
        <v>123</v>
      </c>
      <c r="D6343" t="s">
        <v>209</v>
      </c>
      <c r="E6343" t="s">
        <v>110</v>
      </c>
      <c r="F6343" t="s">
        <v>114</v>
      </c>
      <c r="G6343" t="s">
        <v>1427</v>
      </c>
      <c r="H6343" t="s">
        <v>1435</v>
      </c>
      <c r="I6343">
        <v>5</v>
      </c>
      <c r="J6343">
        <v>947.26</v>
      </c>
      <c r="K6343">
        <v>960.84</v>
      </c>
      <c r="L6343">
        <v>-4736.3</v>
      </c>
      <c r="M6343">
        <v>-1.3</v>
      </c>
      <c r="N6343">
        <v>4737.6000000000004</v>
      </c>
      <c r="O6343">
        <v>0</v>
      </c>
      <c r="P6343">
        <v>67.900000000000006</v>
      </c>
      <c r="Q6343" t="s">
        <v>215</v>
      </c>
    </row>
    <row r="6344" spans="1:17" customFormat="1" x14ac:dyDescent="0.3">
      <c r="A6344" s="12" t="s">
        <v>1243</v>
      </c>
      <c r="B6344" t="s">
        <v>201</v>
      </c>
      <c r="C6344" t="s">
        <v>213</v>
      </c>
      <c r="E6344" t="s">
        <v>110</v>
      </c>
      <c r="F6344" t="s">
        <v>114</v>
      </c>
      <c r="G6344" t="s">
        <v>1427</v>
      </c>
      <c r="I6344">
        <v>5</v>
      </c>
      <c r="L6344">
        <v>-4736.3</v>
      </c>
      <c r="M6344">
        <v>-1.3</v>
      </c>
      <c r="N6344">
        <v>4737.6000000000004</v>
      </c>
      <c r="O6344">
        <v>0</v>
      </c>
      <c r="P6344">
        <v>67.900000000000006</v>
      </c>
    </row>
    <row r="6345" spans="1:17" customFormat="1" x14ac:dyDescent="0.3">
      <c r="A6345" s="12" t="s">
        <v>1243</v>
      </c>
      <c r="B6345" t="s">
        <v>201</v>
      </c>
      <c r="C6345" t="s">
        <v>123</v>
      </c>
      <c r="D6345" t="s">
        <v>209</v>
      </c>
      <c r="E6345" t="s">
        <v>110</v>
      </c>
      <c r="F6345" t="s">
        <v>114</v>
      </c>
      <c r="G6345" t="s">
        <v>1428</v>
      </c>
      <c r="H6345" t="s">
        <v>1436</v>
      </c>
      <c r="I6345">
        <v>250</v>
      </c>
      <c r="J6345">
        <v>20.97</v>
      </c>
      <c r="K6345">
        <v>20.59</v>
      </c>
      <c r="L6345">
        <v>-5242.5</v>
      </c>
      <c r="M6345">
        <v>-1.75</v>
      </c>
      <c r="N6345">
        <v>5244.25</v>
      </c>
      <c r="O6345">
        <v>0</v>
      </c>
      <c r="P6345">
        <v>-95</v>
      </c>
      <c r="Q6345" t="s">
        <v>211</v>
      </c>
    </row>
    <row r="6346" spans="1:17" customFormat="1" x14ac:dyDescent="0.3">
      <c r="A6346" s="12" t="s">
        <v>1243</v>
      </c>
      <c r="B6346" t="s">
        <v>201</v>
      </c>
      <c r="C6346" t="s">
        <v>213</v>
      </c>
      <c r="E6346" t="s">
        <v>110</v>
      </c>
      <c r="F6346" t="s">
        <v>114</v>
      </c>
      <c r="G6346" t="s">
        <v>1428</v>
      </c>
      <c r="I6346">
        <v>250</v>
      </c>
      <c r="L6346">
        <v>-5242.5</v>
      </c>
      <c r="M6346">
        <v>-1.75</v>
      </c>
      <c r="N6346">
        <v>5244.25</v>
      </c>
      <c r="O6346">
        <v>0</v>
      </c>
      <c r="P6346">
        <v>-95</v>
      </c>
    </row>
    <row r="6347" spans="1:17" customFormat="1" x14ac:dyDescent="0.3">
      <c r="A6347" s="12" t="s">
        <v>1243</v>
      </c>
      <c r="B6347" t="s">
        <v>201</v>
      </c>
      <c r="C6347" t="s">
        <v>123</v>
      </c>
      <c r="D6347" t="s">
        <v>209</v>
      </c>
      <c r="E6347" t="s">
        <v>110</v>
      </c>
      <c r="F6347" t="s">
        <v>114</v>
      </c>
      <c r="G6347" t="s">
        <v>49</v>
      </c>
      <c r="H6347" t="s">
        <v>1437</v>
      </c>
      <c r="I6347">
        <v>-5</v>
      </c>
      <c r="J6347">
        <v>779.47</v>
      </c>
      <c r="K6347">
        <v>779</v>
      </c>
      <c r="L6347">
        <v>3897.35</v>
      </c>
      <c r="M6347">
        <v>-1.3</v>
      </c>
      <c r="N6347">
        <v>-3761.25</v>
      </c>
      <c r="O6347">
        <v>134.80000000000001</v>
      </c>
      <c r="P6347">
        <v>2.35</v>
      </c>
      <c r="Q6347" t="s">
        <v>230</v>
      </c>
    </row>
    <row r="6348" spans="1:17" customFormat="1" x14ac:dyDescent="0.3">
      <c r="A6348" s="12" t="s">
        <v>1243</v>
      </c>
      <c r="B6348" t="s">
        <v>201</v>
      </c>
      <c r="C6348" t="s">
        <v>213</v>
      </c>
      <c r="E6348" t="s">
        <v>110</v>
      </c>
      <c r="F6348" t="s">
        <v>114</v>
      </c>
      <c r="G6348" t="s">
        <v>49</v>
      </c>
      <c r="I6348">
        <v>-5</v>
      </c>
      <c r="L6348">
        <v>3897.35</v>
      </c>
      <c r="M6348">
        <v>-1.3</v>
      </c>
      <c r="N6348">
        <v>-3761.25</v>
      </c>
      <c r="O6348">
        <v>134.80000000000001</v>
      </c>
      <c r="P6348">
        <v>2.35</v>
      </c>
    </row>
    <row r="6349" spans="1:17" customFormat="1" x14ac:dyDescent="0.3">
      <c r="A6349" s="12" t="s">
        <v>1243</v>
      </c>
      <c r="B6349" t="s">
        <v>201</v>
      </c>
      <c r="C6349" t="s">
        <v>123</v>
      </c>
      <c r="D6349" t="s">
        <v>209</v>
      </c>
      <c r="E6349" t="s">
        <v>110</v>
      </c>
      <c r="F6349" t="s">
        <v>114</v>
      </c>
      <c r="G6349" t="s">
        <v>1375</v>
      </c>
      <c r="H6349" t="s">
        <v>1438</v>
      </c>
      <c r="I6349">
        <v>-30</v>
      </c>
      <c r="J6349">
        <v>98.69</v>
      </c>
      <c r="K6349">
        <v>95.91</v>
      </c>
      <c r="L6349">
        <v>2960.7</v>
      </c>
      <c r="M6349">
        <v>-1.3</v>
      </c>
      <c r="N6349">
        <v>-2718.65</v>
      </c>
      <c r="O6349">
        <v>240.75</v>
      </c>
      <c r="P6349">
        <v>83.4</v>
      </c>
      <c r="Q6349" t="s">
        <v>3</v>
      </c>
    </row>
    <row r="6350" spans="1:17" customFormat="1" x14ac:dyDescent="0.3">
      <c r="A6350" s="12" t="s">
        <v>1243</v>
      </c>
      <c r="B6350" t="s">
        <v>201</v>
      </c>
      <c r="C6350" t="s">
        <v>123</v>
      </c>
      <c r="D6350" t="s">
        <v>209</v>
      </c>
      <c r="E6350" t="s">
        <v>110</v>
      </c>
      <c r="F6350" t="s">
        <v>114</v>
      </c>
      <c r="G6350" t="s">
        <v>1375</v>
      </c>
      <c r="H6350" t="s">
        <v>1439</v>
      </c>
      <c r="I6350">
        <v>-15</v>
      </c>
      <c r="J6350">
        <v>106.15</v>
      </c>
      <c r="K6350">
        <v>106.68</v>
      </c>
      <c r="L6350">
        <v>1592.25</v>
      </c>
      <c r="M6350">
        <v>-1.3</v>
      </c>
      <c r="N6350">
        <v>-1359.325</v>
      </c>
      <c r="O6350">
        <v>231.625</v>
      </c>
      <c r="P6350">
        <v>-7.95</v>
      </c>
      <c r="Q6350" t="s">
        <v>3</v>
      </c>
    </row>
    <row r="6351" spans="1:17" customFormat="1" x14ac:dyDescent="0.3">
      <c r="A6351" s="12" t="s">
        <v>1243</v>
      </c>
      <c r="B6351" t="s">
        <v>201</v>
      </c>
      <c r="C6351" t="s">
        <v>123</v>
      </c>
      <c r="D6351" t="s">
        <v>209</v>
      </c>
      <c r="E6351" t="s">
        <v>110</v>
      </c>
      <c r="F6351" t="s">
        <v>114</v>
      </c>
      <c r="G6351" t="s">
        <v>1375</v>
      </c>
      <c r="H6351" t="s">
        <v>1440</v>
      </c>
      <c r="I6351">
        <v>15</v>
      </c>
      <c r="J6351">
        <v>109.5</v>
      </c>
      <c r="K6351">
        <v>105.28</v>
      </c>
      <c r="L6351">
        <v>-1642.5</v>
      </c>
      <c r="M6351">
        <v>-1.3</v>
      </c>
      <c r="N6351">
        <v>1643.8</v>
      </c>
      <c r="O6351">
        <v>0</v>
      </c>
      <c r="P6351">
        <v>-63.3</v>
      </c>
      <c r="Q6351" t="s">
        <v>211</v>
      </c>
    </row>
    <row r="6352" spans="1:17" customFormat="1" x14ac:dyDescent="0.3">
      <c r="A6352" s="12" t="s">
        <v>1243</v>
      </c>
      <c r="B6352" t="s">
        <v>201</v>
      </c>
      <c r="C6352" t="s">
        <v>213</v>
      </c>
      <c r="E6352" t="s">
        <v>110</v>
      </c>
      <c r="F6352" t="s">
        <v>114</v>
      </c>
      <c r="G6352" t="s">
        <v>1375</v>
      </c>
      <c r="I6352">
        <v>-30</v>
      </c>
      <c r="L6352">
        <v>2910.45</v>
      </c>
      <c r="M6352">
        <v>-3.9</v>
      </c>
      <c r="N6352">
        <v>-2434.1750000000002</v>
      </c>
      <c r="O6352">
        <v>472.375</v>
      </c>
      <c r="P6352">
        <v>12.15</v>
      </c>
    </row>
    <row r="6353" spans="1:17" customFormat="1" x14ac:dyDescent="0.3">
      <c r="A6353" s="12" t="s">
        <v>1243</v>
      </c>
      <c r="B6353" t="s">
        <v>201</v>
      </c>
      <c r="C6353" t="s">
        <v>123</v>
      </c>
      <c r="D6353" t="s">
        <v>209</v>
      </c>
      <c r="E6353" t="s">
        <v>110</v>
      </c>
      <c r="F6353" t="s">
        <v>114</v>
      </c>
      <c r="G6353" t="s">
        <v>1429</v>
      </c>
      <c r="H6353" t="s">
        <v>1441</v>
      </c>
      <c r="I6353">
        <v>100</v>
      </c>
      <c r="J6353">
        <v>75.569999999999993</v>
      </c>
      <c r="K6353">
        <v>75.75</v>
      </c>
      <c r="L6353">
        <v>-7557</v>
      </c>
      <c r="M6353">
        <v>-1.3</v>
      </c>
      <c r="N6353">
        <v>7558.3</v>
      </c>
      <c r="O6353">
        <v>0</v>
      </c>
      <c r="P6353">
        <v>18</v>
      </c>
      <c r="Q6353" t="s">
        <v>215</v>
      </c>
    </row>
    <row r="6354" spans="1:17" customFormat="1" x14ac:dyDescent="0.3">
      <c r="A6354" s="12" t="s">
        <v>1243</v>
      </c>
      <c r="B6354" t="s">
        <v>201</v>
      </c>
      <c r="C6354" t="s">
        <v>213</v>
      </c>
      <c r="E6354" t="s">
        <v>110</v>
      </c>
      <c r="F6354" t="s">
        <v>114</v>
      </c>
      <c r="G6354" t="s">
        <v>1429</v>
      </c>
      <c r="I6354">
        <v>100</v>
      </c>
      <c r="L6354">
        <v>-7557</v>
      </c>
      <c r="M6354">
        <v>-1.3</v>
      </c>
      <c r="N6354">
        <v>7558.3</v>
      </c>
      <c r="O6354">
        <v>0</v>
      </c>
      <c r="P6354">
        <v>18</v>
      </c>
    </row>
    <row r="6355" spans="1:17" customFormat="1" x14ac:dyDescent="0.3">
      <c r="A6355" s="12" t="s">
        <v>1243</v>
      </c>
      <c r="B6355" t="s">
        <v>201</v>
      </c>
      <c r="C6355" t="s">
        <v>123</v>
      </c>
      <c r="D6355" t="s">
        <v>209</v>
      </c>
      <c r="E6355" t="s">
        <v>110</v>
      </c>
      <c r="F6355" t="s">
        <v>114</v>
      </c>
      <c r="G6355" t="s">
        <v>1255</v>
      </c>
      <c r="H6355" t="s">
        <v>1442</v>
      </c>
      <c r="I6355">
        <v>150</v>
      </c>
      <c r="J6355">
        <v>185.76</v>
      </c>
      <c r="K6355">
        <v>186.33</v>
      </c>
      <c r="L6355">
        <v>-27864</v>
      </c>
      <c r="M6355">
        <v>-1.3</v>
      </c>
      <c r="N6355">
        <v>27865.3</v>
      </c>
      <c r="O6355">
        <v>0</v>
      </c>
      <c r="P6355">
        <v>85.5</v>
      </c>
      <c r="Q6355" t="s">
        <v>215</v>
      </c>
    </row>
    <row r="6356" spans="1:17" customFormat="1" x14ac:dyDescent="0.3">
      <c r="A6356" s="12" t="s">
        <v>1243</v>
      </c>
      <c r="B6356" t="s">
        <v>201</v>
      </c>
      <c r="C6356" t="s">
        <v>213</v>
      </c>
      <c r="E6356" t="s">
        <v>110</v>
      </c>
      <c r="F6356" t="s">
        <v>114</v>
      </c>
      <c r="G6356" t="s">
        <v>1255</v>
      </c>
      <c r="I6356">
        <v>150</v>
      </c>
      <c r="L6356">
        <v>-27864</v>
      </c>
      <c r="M6356">
        <v>-1.3</v>
      </c>
      <c r="N6356">
        <v>27865.3</v>
      </c>
      <c r="O6356">
        <v>0</v>
      </c>
      <c r="P6356">
        <v>85.5</v>
      </c>
    </row>
    <row r="6357" spans="1:17" customFormat="1" x14ac:dyDescent="0.3">
      <c r="A6357" s="12" t="s">
        <v>1243</v>
      </c>
      <c r="B6357" t="s">
        <v>201</v>
      </c>
      <c r="C6357" t="s">
        <v>123</v>
      </c>
      <c r="D6357" t="s">
        <v>209</v>
      </c>
      <c r="E6357" t="s">
        <v>110</v>
      </c>
      <c r="F6357" t="s">
        <v>114</v>
      </c>
      <c r="G6357" t="s">
        <v>51</v>
      </c>
      <c r="H6357" t="s">
        <v>1443</v>
      </c>
      <c r="I6357">
        <v>-50</v>
      </c>
      <c r="J6357">
        <v>31.7</v>
      </c>
      <c r="K6357">
        <v>33.44</v>
      </c>
      <c r="L6357">
        <v>1585</v>
      </c>
      <c r="M6357">
        <v>-1.3</v>
      </c>
      <c r="N6357">
        <v>-2063.0500000000002</v>
      </c>
      <c r="O6357">
        <v>-479.35</v>
      </c>
      <c r="P6357">
        <v>-87</v>
      </c>
      <c r="Q6357" t="s">
        <v>3</v>
      </c>
    </row>
    <row r="6358" spans="1:17" customFormat="1" x14ac:dyDescent="0.3">
      <c r="A6358" s="12" t="s">
        <v>1243</v>
      </c>
      <c r="B6358" t="s">
        <v>201</v>
      </c>
      <c r="C6358" t="s">
        <v>213</v>
      </c>
      <c r="E6358" t="s">
        <v>110</v>
      </c>
      <c r="F6358" t="s">
        <v>114</v>
      </c>
      <c r="G6358" t="s">
        <v>51</v>
      </c>
      <c r="I6358">
        <v>-50</v>
      </c>
      <c r="L6358">
        <v>1585</v>
      </c>
      <c r="M6358">
        <v>-1.3</v>
      </c>
      <c r="N6358">
        <v>-2063.0500000000002</v>
      </c>
      <c r="O6358">
        <v>-479.35</v>
      </c>
      <c r="P6358">
        <v>-87</v>
      </c>
    </row>
    <row r="6359" spans="1:17" customFormat="1" x14ac:dyDescent="0.3">
      <c r="A6359" s="12" t="s">
        <v>1243</v>
      </c>
      <c r="B6359" t="s">
        <v>201</v>
      </c>
      <c r="C6359" t="s">
        <v>123</v>
      </c>
      <c r="D6359" t="s">
        <v>209</v>
      </c>
      <c r="E6359" t="s">
        <v>110</v>
      </c>
      <c r="F6359" t="s">
        <v>114</v>
      </c>
      <c r="G6359" t="s">
        <v>1256</v>
      </c>
      <c r="H6359" t="s">
        <v>1444</v>
      </c>
      <c r="I6359">
        <v>-20</v>
      </c>
      <c r="J6359">
        <v>183.96</v>
      </c>
      <c r="K6359">
        <v>184.16</v>
      </c>
      <c r="L6359">
        <v>3679.2</v>
      </c>
      <c r="M6359">
        <v>-1.3</v>
      </c>
      <c r="N6359">
        <v>-4101.3</v>
      </c>
      <c r="O6359">
        <v>-423.4</v>
      </c>
      <c r="P6359">
        <v>-4</v>
      </c>
      <c r="Q6359" t="s">
        <v>230</v>
      </c>
    </row>
    <row r="6360" spans="1:17" customFormat="1" x14ac:dyDescent="0.3">
      <c r="A6360" s="12" t="s">
        <v>1243</v>
      </c>
      <c r="B6360" t="s">
        <v>201</v>
      </c>
      <c r="C6360" t="s">
        <v>213</v>
      </c>
      <c r="E6360" t="s">
        <v>110</v>
      </c>
      <c r="F6360" t="s">
        <v>114</v>
      </c>
      <c r="G6360" t="s">
        <v>1256</v>
      </c>
      <c r="I6360">
        <v>-20</v>
      </c>
      <c r="L6360">
        <v>3679.2</v>
      </c>
      <c r="M6360">
        <v>-1.3</v>
      </c>
      <c r="N6360">
        <v>-4101.3</v>
      </c>
      <c r="O6360">
        <v>-423.4</v>
      </c>
      <c r="P6360">
        <v>-4</v>
      </c>
    </row>
    <row r="6361" spans="1:17" customFormat="1" x14ac:dyDescent="0.3">
      <c r="A6361" s="12" t="s">
        <v>1243</v>
      </c>
      <c r="B6361" t="s">
        <v>201</v>
      </c>
      <c r="C6361" t="s">
        <v>123</v>
      </c>
      <c r="D6361" t="s">
        <v>209</v>
      </c>
      <c r="E6361" t="s">
        <v>110</v>
      </c>
      <c r="F6361" t="s">
        <v>114</v>
      </c>
      <c r="G6361" t="s">
        <v>43</v>
      </c>
      <c r="H6361" t="s">
        <v>1445</v>
      </c>
      <c r="I6361">
        <v>100</v>
      </c>
      <c r="J6361">
        <v>78.900000000000006</v>
      </c>
      <c r="K6361">
        <v>78.69</v>
      </c>
      <c r="L6361">
        <v>-7890</v>
      </c>
      <c r="M6361">
        <v>-1.3</v>
      </c>
      <c r="N6361">
        <v>7891.3</v>
      </c>
      <c r="O6361">
        <v>0</v>
      </c>
      <c r="P6361">
        <v>-21</v>
      </c>
      <c r="Q6361" t="s">
        <v>211</v>
      </c>
    </row>
    <row r="6362" spans="1:17" customFormat="1" x14ac:dyDescent="0.3">
      <c r="A6362" s="12" t="s">
        <v>1243</v>
      </c>
      <c r="B6362" t="s">
        <v>201</v>
      </c>
      <c r="C6362" t="s">
        <v>213</v>
      </c>
      <c r="E6362" t="s">
        <v>110</v>
      </c>
      <c r="F6362" t="s">
        <v>114</v>
      </c>
      <c r="G6362" t="s">
        <v>43</v>
      </c>
      <c r="I6362">
        <v>100</v>
      </c>
      <c r="L6362">
        <v>-7890</v>
      </c>
      <c r="M6362">
        <v>-1.3</v>
      </c>
      <c r="N6362">
        <v>7891.3</v>
      </c>
      <c r="O6362">
        <v>0</v>
      </c>
      <c r="P6362">
        <v>-21</v>
      </c>
    </row>
    <row r="6363" spans="1:17" customFormat="1" x14ac:dyDescent="0.3">
      <c r="A6363" s="12" t="s">
        <v>1243</v>
      </c>
      <c r="B6363" t="s">
        <v>201</v>
      </c>
      <c r="C6363" t="s">
        <v>97</v>
      </c>
      <c r="E6363" t="s">
        <v>110</v>
      </c>
      <c r="F6363" t="s">
        <v>114</v>
      </c>
      <c r="L6363">
        <v>-30859.13</v>
      </c>
      <c r="M6363">
        <v>-18.649999999999999</v>
      </c>
      <c r="N6363">
        <v>30324.605</v>
      </c>
      <c r="O6363">
        <v>-553.17499999999995</v>
      </c>
      <c r="P6363">
        <v>142.02000000000001</v>
      </c>
      <c r="Q6363" t="s">
        <v>257</v>
      </c>
    </row>
    <row r="6364" spans="1:17" customFormat="1" x14ac:dyDescent="0.3">
      <c r="A6364" s="12" t="s">
        <v>1243</v>
      </c>
      <c r="B6364" t="s">
        <v>201</v>
      </c>
      <c r="C6364" t="s">
        <v>120</v>
      </c>
      <c r="D6364" t="s">
        <v>192</v>
      </c>
      <c r="E6364" t="s">
        <v>100</v>
      </c>
      <c r="F6364" t="s">
        <v>181</v>
      </c>
      <c r="G6364" t="s">
        <v>0</v>
      </c>
      <c r="H6364" t="s">
        <v>202</v>
      </c>
      <c r="I6364" t="s">
        <v>193</v>
      </c>
      <c r="J6364" t="s">
        <v>203</v>
      </c>
      <c r="K6364" t="s">
        <v>204</v>
      </c>
      <c r="L6364" t="s">
        <v>258</v>
      </c>
      <c r="M6364" t="s">
        <v>206</v>
      </c>
      <c r="N6364" t="s">
        <v>1</v>
      </c>
      <c r="O6364" t="s">
        <v>207</v>
      </c>
      <c r="P6364" t="s">
        <v>208</v>
      </c>
      <c r="Q6364" t="s">
        <v>165</v>
      </c>
    </row>
    <row r="6365" spans="1:17" customFormat="1" x14ac:dyDescent="0.3">
      <c r="A6365" s="12" t="s">
        <v>1243</v>
      </c>
      <c r="B6365" t="s">
        <v>201</v>
      </c>
      <c r="C6365" t="s">
        <v>123</v>
      </c>
      <c r="D6365" t="s">
        <v>209</v>
      </c>
      <c r="E6365" t="s">
        <v>112</v>
      </c>
      <c r="F6365" t="s">
        <v>114</v>
      </c>
      <c r="G6365" t="s">
        <v>1430</v>
      </c>
      <c r="H6365" t="s">
        <v>1446</v>
      </c>
      <c r="I6365">
        <v>-2</v>
      </c>
      <c r="J6365">
        <v>6092</v>
      </c>
      <c r="K6365">
        <v>5940.25</v>
      </c>
      <c r="L6365">
        <v>60920</v>
      </c>
      <c r="M6365">
        <v>-6</v>
      </c>
      <c r="N6365">
        <v>-60914</v>
      </c>
      <c r="O6365">
        <v>0</v>
      </c>
      <c r="P6365">
        <v>1517.5</v>
      </c>
      <c r="Q6365" t="s">
        <v>215</v>
      </c>
    </row>
    <row r="6366" spans="1:17" customFormat="1" x14ac:dyDescent="0.3">
      <c r="A6366" s="12" t="s">
        <v>1243</v>
      </c>
      <c r="B6366" t="s">
        <v>201</v>
      </c>
      <c r="C6366" t="s">
        <v>213</v>
      </c>
      <c r="E6366" t="s">
        <v>112</v>
      </c>
      <c r="F6366" t="s">
        <v>114</v>
      </c>
      <c r="G6366" t="s">
        <v>1430</v>
      </c>
      <c r="I6366">
        <v>-2</v>
      </c>
      <c r="L6366">
        <v>60920</v>
      </c>
      <c r="M6366">
        <v>-6</v>
      </c>
      <c r="N6366">
        <v>-60914</v>
      </c>
      <c r="O6366">
        <v>0</v>
      </c>
      <c r="P6366">
        <v>1517.5</v>
      </c>
    </row>
    <row r="6367" spans="1:17" customFormat="1" x14ac:dyDescent="0.3">
      <c r="A6367" s="12" t="s">
        <v>1243</v>
      </c>
      <c r="B6367" t="s">
        <v>201</v>
      </c>
      <c r="C6367" t="s">
        <v>123</v>
      </c>
      <c r="D6367" t="s">
        <v>209</v>
      </c>
      <c r="E6367" t="s">
        <v>112</v>
      </c>
      <c r="F6367" t="s">
        <v>114</v>
      </c>
      <c r="G6367" t="s">
        <v>1431</v>
      </c>
      <c r="H6367" t="s">
        <v>1447</v>
      </c>
      <c r="I6367">
        <v>-1</v>
      </c>
      <c r="J6367">
        <v>21722.5</v>
      </c>
      <c r="K6367">
        <v>21670</v>
      </c>
      <c r="L6367">
        <v>43445</v>
      </c>
      <c r="M6367">
        <v>-3</v>
      </c>
      <c r="N6367">
        <v>-43442</v>
      </c>
      <c r="O6367">
        <v>0</v>
      </c>
      <c r="P6367">
        <v>105</v>
      </c>
      <c r="Q6367" t="s">
        <v>215</v>
      </c>
    </row>
    <row r="6368" spans="1:17" customFormat="1" x14ac:dyDescent="0.3">
      <c r="A6368" s="12" t="s">
        <v>1243</v>
      </c>
      <c r="B6368" t="s">
        <v>201</v>
      </c>
      <c r="C6368" t="s">
        <v>123</v>
      </c>
      <c r="D6368" t="s">
        <v>209</v>
      </c>
      <c r="E6368" t="s">
        <v>112</v>
      </c>
      <c r="F6368" t="s">
        <v>114</v>
      </c>
      <c r="G6368" t="s">
        <v>1431</v>
      </c>
      <c r="H6368" t="s">
        <v>1448</v>
      </c>
      <c r="I6368">
        <v>-2</v>
      </c>
      <c r="J6368">
        <v>22224.5</v>
      </c>
      <c r="K6368">
        <v>21501.75</v>
      </c>
      <c r="L6368">
        <v>88898</v>
      </c>
      <c r="M6368">
        <v>-6</v>
      </c>
      <c r="N6368">
        <v>-88892</v>
      </c>
      <c r="O6368">
        <v>0</v>
      </c>
      <c r="P6368">
        <v>2891</v>
      </c>
      <c r="Q6368" t="s">
        <v>215</v>
      </c>
    </row>
    <row r="6369" spans="1:17" customFormat="1" x14ac:dyDescent="0.3">
      <c r="A6369" s="12" t="s">
        <v>1243</v>
      </c>
      <c r="B6369" t="s">
        <v>201</v>
      </c>
      <c r="C6369" t="s">
        <v>123</v>
      </c>
      <c r="D6369" t="s">
        <v>209</v>
      </c>
      <c r="E6369" t="s">
        <v>112</v>
      </c>
      <c r="F6369" t="s">
        <v>114</v>
      </c>
      <c r="G6369" t="s">
        <v>1431</v>
      </c>
      <c r="H6369" t="s">
        <v>1449</v>
      </c>
      <c r="I6369">
        <v>1</v>
      </c>
      <c r="J6369">
        <v>21650.5</v>
      </c>
      <c r="K6369">
        <v>21501.75</v>
      </c>
      <c r="L6369">
        <v>-43301</v>
      </c>
      <c r="M6369">
        <v>-3</v>
      </c>
      <c r="N6369">
        <v>43442</v>
      </c>
      <c r="O6369">
        <v>138</v>
      </c>
      <c r="P6369">
        <v>-297.5</v>
      </c>
      <c r="Q6369" t="s">
        <v>3</v>
      </c>
    </row>
    <row r="6370" spans="1:17" customFormat="1" x14ac:dyDescent="0.3">
      <c r="A6370" s="12" t="s">
        <v>1243</v>
      </c>
      <c r="B6370" t="s">
        <v>201</v>
      </c>
      <c r="C6370" t="s">
        <v>123</v>
      </c>
      <c r="D6370" t="s">
        <v>209</v>
      </c>
      <c r="E6370" t="s">
        <v>112</v>
      </c>
      <c r="F6370" t="s">
        <v>114</v>
      </c>
      <c r="G6370" t="s">
        <v>1431</v>
      </c>
      <c r="H6370" t="s">
        <v>1450</v>
      </c>
      <c r="I6370">
        <v>1</v>
      </c>
      <c r="J6370">
        <v>21570.75</v>
      </c>
      <c r="K6370">
        <v>21566.5</v>
      </c>
      <c r="L6370">
        <v>-43141.5</v>
      </c>
      <c r="M6370">
        <v>-3</v>
      </c>
      <c r="N6370">
        <v>44446</v>
      </c>
      <c r="O6370">
        <v>1301.5</v>
      </c>
      <c r="P6370">
        <v>-8.5</v>
      </c>
      <c r="Q6370" t="s">
        <v>3</v>
      </c>
    </row>
    <row r="6371" spans="1:17" customFormat="1" x14ac:dyDescent="0.3">
      <c r="A6371" s="12" t="s">
        <v>1243</v>
      </c>
      <c r="B6371" t="s">
        <v>201</v>
      </c>
      <c r="C6371" t="s">
        <v>123</v>
      </c>
      <c r="D6371" t="s">
        <v>209</v>
      </c>
      <c r="E6371" t="s">
        <v>112</v>
      </c>
      <c r="F6371" t="s">
        <v>114</v>
      </c>
      <c r="G6371" t="s">
        <v>1431</v>
      </c>
      <c r="H6371" t="s">
        <v>1451</v>
      </c>
      <c r="I6371">
        <v>-1</v>
      </c>
      <c r="J6371">
        <v>22010</v>
      </c>
      <c r="K6371">
        <v>22008</v>
      </c>
      <c r="L6371">
        <v>44020</v>
      </c>
      <c r="M6371">
        <v>-3</v>
      </c>
      <c r="N6371">
        <v>-44017</v>
      </c>
      <c r="O6371">
        <v>0</v>
      </c>
      <c r="P6371">
        <v>4</v>
      </c>
      <c r="Q6371" t="s">
        <v>215</v>
      </c>
    </row>
    <row r="6372" spans="1:17" customFormat="1" x14ac:dyDescent="0.3">
      <c r="A6372" s="12" t="s">
        <v>1243</v>
      </c>
      <c r="B6372" t="s">
        <v>201</v>
      </c>
      <c r="C6372" t="s">
        <v>123</v>
      </c>
      <c r="D6372" t="s">
        <v>209</v>
      </c>
      <c r="E6372" t="s">
        <v>112</v>
      </c>
      <c r="F6372" t="s">
        <v>114</v>
      </c>
      <c r="G6372" t="s">
        <v>1431</v>
      </c>
      <c r="H6372" t="s">
        <v>1452</v>
      </c>
      <c r="I6372">
        <v>1</v>
      </c>
      <c r="J6372">
        <v>21495.5</v>
      </c>
      <c r="K6372">
        <v>21226.5</v>
      </c>
      <c r="L6372">
        <v>-42991</v>
      </c>
      <c r="M6372">
        <v>-3</v>
      </c>
      <c r="N6372">
        <v>44446</v>
      </c>
      <c r="O6372">
        <v>1452</v>
      </c>
      <c r="P6372">
        <v>-538</v>
      </c>
      <c r="Q6372" t="s">
        <v>3</v>
      </c>
    </row>
    <row r="6373" spans="1:17" customFormat="1" x14ac:dyDescent="0.3">
      <c r="A6373" s="12" t="s">
        <v>1243</v>
      </c>
      <c r="B6373" t="s">
        <v>201</v>
      </c>
      <c r="C6373" t="s">
        <v>213</v>
      </c>
      <c r="E6373" t="s">
        <v>112</v>
      </c>
      <c r="F6373" t="s">
        <v>114</v>
      </c>
      <c r="G6373" t="s">
        <v>1431</v>
      </c>
      <c r="I6373">
        <v>-1</v>
      </c>
      <c r="L6373">
        <v>46929.5</v>
      </c>
      <c r="M6373">
        <v>-21</v>
      </c>
      <c r="N6373">
        <v>-44017</v>
      </c>
      <c r="O6373">
        <v>2891.5</v>
      </c>
      <c r="P6373">
        <v>2156</v>
      </c>
    </row>
    <row r="6374" spans="1:17" customFormat="1" x14ac:dyDescent="0.3">
      <c r="A6374" s="12" t="s">
        <v>1243</v>
      </c>
      <c r="B6374" t="s">
        <v>201</v>
      </c>
      <c r="C6374" t="s">
        <v>123</v>
      </c>
      <c r="D6374" t="s">
        <v>209</v>
      </c>
      <c r="E6374" t="s">
        <v>112</v>
      </c>
      <c r="F6374" t="s">
        <v>114</v>
      </c>
      <c r="G6374" t="s">
        <v>1158</v>
      </c>
      <c r="H6374" t="s">
        <v>1453</v>
      </c>
      <c r="I6374">
        <v>-1</v>
      </c>
      <c r="J6374">
        <v>21517.5</v>
      </c>
      <c r="K6374">
        <v>21473.25</v>
      </c>
      <c r="L6374">
        <v>43035</v>
      </c>
      <c r="M6374">
        <v>-3</v>
      </c>
      <c r="N6374">
        <v>-43032</v>
      </c>
      <c r="O6374">
        <v>0</v>
      </c>
      <c r="P6374">
        <v>88.5</v>
      </c>
      <c r="Q6374" t="s">
        <v>215</v>
      </c>
    </row>
    <row r="6375" spans="1:17" customFormat="1" x14ac:dyDescent="0.3">
      <c r="A6375" s="12" t="s">
        <v>1243</v>
      </c>
      <c r="B6375" t="s">
        <v>201</v>
      </c>
      <c r="C6375" t="s">
        <v>123</v>
      </c>
      <c r="D6375" t="s">
        <v>209</v>
      </c>
      <c r="E6375" t="s">
        <v>112</v>
      </c>
      <c r="F6375" t="s">
        <v>114</v>
      </c>
      <c r="G6375" t="s">
        <v>1158</v>
      </c>
      <c r="H6375" t="s">
        <v>1454</v>
      </c>
      <c r="I6375">
        <v>1</v>
      </c>
      <c r="J6375">
        <v>21736.5</v>
      </c>
      <c r="K6375">
        <v>21795.75</v>
      </c>
      <c r="L6375">
        <v>-43473</v>
      </c>
      <c r="M6375">
        <v>-3</v>
      </c>
      <c r="N6375">
        <v>40805.5</v>
      </c>
      <c r="O6375">
        <v>-2670.5</v>
      </c>
      <c r="P6375">
        <v>118.5</v>
      </c>
      <c r="Q6375" t="s">
        <v>3</v>
      </c>
    </row>
    <row r="6376" spans="1:17" customFormat="1" x14ac:dyDescent="0.3">
      <c r="A6376" s="12" t="s">
        <v>1243</v>
      </c>
      <c r="B6376" t="s">
        <v>201</v>
      </c>
      <c r="C6376" t="s">
        <v>123</v>
      </c>
      <c r="D6376" t="s">
        <v>209</v>
      </c>
      <c r="E6376" t="s">
        <v>112</v>
      </c>
      <c r="F6376" t="s">
        <v>114</v>
      </c>
      <c r="G6376" t="s">
        <v>1158</v>
      </c>
      <c r="H6376" t="s">
        <v>1455</v>
      </c>
      <c r="I6376">
        <v>3</v>
      </c>
      <c r="J6376">
        <v>22042.25</v>
      </c>
      <c r="K6376">
        <v>21218.75</v>
      </c>
      <c r="L6376">
        <v>-132253.5</v>
      </c>
      <c r="M6376">
        <v>-9</v>
      </c>
      <c r="N6376">
        <v>125328</v>
      </c>
      <c r="O6376">
        <v>-6934.5</v>
      </c>
      <c r="P6376">
        <v>-4941</v>
      </c>
      <c r="Q6376" t="s">
        <v>3</v>
      </c>
    </row>
    <row r="6377" spans="1:17" customFormat="1" x14ac:dyDescent="0.3">
      <c r="A6377" s="12" t="s">
        <v>1243</v>
      </c>
      <c r="B6377" t="s">
        <v>201</v>
      </c>
      <c r="C6377" t="s">
        <v>213</v>
      </c>
      <c r="E6377" t="s">
        <v>112</v>
      </c>
      <c r="F6377" t="s">
        <v>114</v>
      </c>
      <c r="G6377" t="s">
        <v>1158</v>
      </c>
      <c r="I6377">
        <v>3</v>
      </c>
      <c r="L6377">
        <v>-132691.5</v>
      </c>
      <c r="M6377">
        <v>-15</v>
      </c>
      <c r="N6377">
        <v>123101.5</v>
      </c>
      <c r="O6377">
        <v>-9605</v>
      </c>
      <c r="P6377">
        <v>-4734</v>
      </c>
    </row>
    <row r="6378" spans="1:17" customFormat="1" x14ac:dyDescent="0.3">
      <c r="A6378" s="12" t="s">
        <v>1243</v>
      </c>
      <c r="B6378" t="s">
        <v>201</v>
      </c>
      <c r="C6378" t="s">
        <v>97</v>
      </c>
      <c r="E6378" t="s">
        <v>112</v>
      </c>
      <c r="F6378" t="s">
        <v>114</v>
      </c>
      <c r="L6378">
        <v>-24842</v>
      </c>
      <c r="M6378">
        <v>-42</v>
      </c>
      <c r="N6378">
        <v>18170.5</v>
      </c>
      <c r="O6378">
        <v>-6713.5</v>
      </c>
      <c r="P6378">
        <v>-1060.5</v>
      </c>
      <c r="Q6378" t="s">
        <v>257</v>
      </c>
    </row>
    <row r="6379" spans="1:17" customFormat="1" x14ac:dyDescent="0.3">
      <c r="A6379" s="12" t="s">
        <v>1243</v>
      </c>
      <c r="B6379" t="s">
        <v>746</v>
      </c>
      <c r="C6379" t="s">
        <v>120</v>
      </c>
      <c r="D6379" t="s">
        <v>100</v>
      </c>
      <c r="E6379" t="s">
        <v>181</v>
      </c>
      <c r="F6379" t="s">
        <v>747</v>
      </c>
      <c r="G6379" t="s">
        <v>202</v>
      </c>
      <c r="H6379" t="s">
        <v>269</v>
      </c>
      <c r="I6379" t="s">
        <v>193</v>
      </c>
      <c r="J6379" t="s">
        <v>205</v>
      </c>
      <c r="K6379" t="s">
        <v>198</v>
      </c>
      <c r="L6379" t="s">
        <v>207</v>
      </c>
      <c r="M6379" t="s">
        <v>165</v>
      </c>
    </row>
    <row r="6380" spans="1:17" customFormat="1" x14ac:dyDescent="0.3">
      <c r="A6380" s="12" t="s">
        <v>1243</v>
      </c>
      <c r="B6380" t="s">
        <v>746</v>
      </c>
      <c r="C6380" t="s">
        <v>123</v>
      </c>
      <c r="D6380" t="s">
        <v>110</v>
      </c>
      <c r="E6380" t="s">
        <v>114</v>
      </c>
      <c r="F6380" s="1">
        <v>45642</v>
      </c>
      <c r="G6380" t="s">
        <v>1456</v>
      </c>
      <c r="H6380" t="s">
        <v>1457</v>
      </c>
      <c r="I6380">
        <v>9</v>
      </c>
      <c r="J6380">
        <v>0</v>
      </c>
      <c r="K6380">
        <v>0</v>
      </c>
      <c r="L6380">
        <v>0</v>
      </c>
    </row>
    <row r="6381" spans="1:17" customFormat="1" x14ac:dyDescent="0.3">
      <c r="A6381" s="12" t="s">
        <v>1243</v>
      </c>
      <c r="B6381" t="s">
        <v>746</v>
      </c>
      <c r="C6381" t="s">
        <v>123</v>
      </c>
      <c r="D6381" t="s">
        <v>97</v>
      </c>
      <c r="J6381">
        <v>0</v>
      </c>
      <c r="K6381">
        <v>0</v>
      </c>
      <c r="L6381">
        <v>0</v>
      </c>
    </row>
    <row r="6382" spans="1:17" customFormat="1" x14ac:dyDescent="0.3">
      <c r="A6382" s="12" t="s">
        <v>1243</v>
      </c>
      <c r="B6382" t="s">
        <v>157</v>
      </c>
      <c r="C6382" t="s">
        <v>120</v>
      </c>
      <c r="D6382" t="s">
        <v>181</v>
      </c>
      <c r="E6382" t="s">
        <v>268</v>
      </c>
      <c r="F6382" t="s">
        <v>269</v>
      </c>
      <c r="G6382" t="s">
        <v>270</v>
      </c>
    </row>
    <row r="6383" spans="1:17" customFormat="1" x14ac:dyDescent="0.3">
      <c r="A6383" s="12" t="s">
        <v>1243</v>
      </c>
      <c r="B6383" t="s">
        <v>157</v>
      </c>
      <c r="C6383" t="s">
        <v>123</v>
      </c>
      <c r="D6383" t="s">
        <v>114</v>
      </c>
      <c r="E6383" s="1">
        <v>45636</v>
      </c>
      <c r="F6383" t="s">
        <v>915</v>
      </c>
      <c r="G6383">
        <v>6.5</v>
      </c>
    </row>
    <row r="6384" spans="1:17" customFormat="1" x14ac:dyDescent="0.3">
      <c r="A6384" s="12" t="s">
        <v>1243</v>
      </c>
      <c r="B6384" t="s">
        <v>157</v>
      </c>
      <c r="C6384" t="s">
        <v>123</v>
      </c>
      <c r="D6384" t="s">
        <v>114</v>
      </c>
      <c r="E6384" s="1">
        <v>45638</v>
      </c>
      <c r="F6384" t="s">
        <v>1458</v>
      </c>
      <c r="G6384">
        <v>46.48</v>
      </c>
    </row>
    <row r="6385" spans="1:7" customFormat="1" x14ac:dyDescent="0.3">
      <c r="A6385" s="12" t="s">
        <v>1243</v>
      </c>
      <c r="B6385" t="s">
        <v>157</v>
      </c>
      <c r="C6385" t="s">
        <v>123</v>
      </c>
      <c r="D6385" t="s">
        <v>114</v>
      </c>
      <c r="E6385" s="1">
        <v>45642</v>
      </c>
      <c r="F6385" t="s">
        <v>916</v>
      </c>
      <c r="G6385">
        <v>6</v>
      </c>
    </row>
    <row r="6386" spans="1:7" customFormat="1" x14ac:dyDescent="0.3">
      <c r="A6386" s="12" t="s">
        <v>1243</v>
      </c>
      <c r="B6386" t="s">
        <v>157</v>
      </c>
      <c r="C6386" t="s">
        <v>123</v>
      </c>
      <c r="D6386" t="s">
        <v>114</v>
      </c>
      <c r="E6386" s="1">
        <v>45643</v>
      </c>
      <c r="F6386" t="s">
        <v>1459</v>
      </c>
      <c r="G6386">
        <v>4</v>
      </c>
    </row>
    <row r="6387" spans="1:7" customFormat="1" x14ac:dyDescent="0.3">
      <c r="A6387" s="12" t="s">
        <v>1243</v>
      </c>
      <c r="B6387" t="s">
        <v>157</v>
      </c>
      <c r="C6387" t="s">
        <v>123</v>
      </c>
      <c r="D6387" t="s">
        <v>114</v>
      </c>
      <c r="E6387" s="1">
        <v>45646</v>
      </c>
      <c r="F6387" t="s">
        <v>1460</v>
      </c>
      <c r="G6387">
        <v>13.11</v>
      </c>
    </row>
    <row r="6388" spans="1:7" customFormat="1" x14ac:dyDescent="0.3">
      <c r="A6388" s="12" t="s">
        <v>1243</v>
      </c>
      <c r="B6388" t="s">
        <v>157</v>
      </c>
      <c r="C6388" t="s">
        <v>123</v>
      </c>
      <c r="D6388" t="s">
        <v>114</v>
      </c>
      <c r="E6388" s="1">
        <v>45646</v>
      </c>
      <c r="F6388" t="s">
        <v>1461</v>
      </c>
      <c r="G6388">
        <v>34.700000000000003</v>
      </c>
    </row>
    <row r="6389" spans="1:7" customFormat="1" x14ac:dyDescent="0.3">
      <c r="A6389" s="12" t="s">
        <v>1243</v>
      </c>
      <c r="B6389" t="s">
        <v>157</v>
      </c>
      <c r="C6389" t="s">
        <v>123</v>
      </c>
      <c r="D6389" t="s">
        <v>114</v>
      </c>
      <c r="E6389" s="1">
        <v>45652</v>
      </c>
      <c r="F6389" t="s">
        <v>1462</v>
      </c>
      <c r="G6389">
        <v>85.55</v>
      </c>
    </row>
    <row r="6390" spans="1:7" customFormat="1" x14ac:dyDescent="0.3">
      <c r="A6390" s="12" t="s">
        <v>1243</v>
      </c>
      <c r="B6390" t="s">
        <v>157</v>
      </c>
      <c r="C6390" t="s">
        <v>123</v>
      </c>
      <c r="D6390" t="s">
        <v>114</v>
      </c>
      <c r="E6390" s="1">
        <v>45652</v>
      </c>
      <c r="F6390" t="s">
        <v>1463</v>
      </c>
      <c r="G6390">
        <v>104.31</v>
      </c>
    </row>
    <row r="6391" spans="1:7" customFormat="1" x14ac:dyDescent="0.3">
      <c r="A6391" s="12" t="s">
        <v>1243</v>
      </c>
      <c r="B6391" t="s">
        <v>157</v>
      </c>
      <c r="C6391" t="s">
        <v>123</v>
      </c>
      <c r="D6391" t="s">
        <v>114</v>
      </c>
      <c r="E6391" s="1">
        <v>45652</v>
      </c>
      <c r="F6391" t="s">
        <v>1464</v>
      </c>
      <c r="G6391">
        <v>31.1</v>
      </c>
    </row>
    <row r="6392" spans="1:7" customFormat="1" x14ac:dyDescent="0.3">
      <c r="A6392" s="12" t="s">
        <v>1243</v>
      </c>
      <c r="B6392" t="s">
        <v>157</v>
      </c>
      <c r="C6392" t="s">
        <v>123</v>
      </c>
      <c r="D6392" t="s">
        <v>114</v>
      </c>
      <c r="E6392" s="1">
        <v>45652</v>
      </c>
      <c r="F6392" t="s">
        <v>1465</v>
      </c>
      <c r="G6392">
        <v>41.25</v>
      </c>
    </row>
    <row r="6393" spans="1:7" customFormat="1" x14ac:dyDescent="0.3">
      <c r="A6393" s="12" t="s">
        <v>1243</v>
      </c>
      <c r="B6393" t="s">
        <v>157</v>
      </c>
      <c r="C6393" t="s">
        <v>123</v>
      </c>
      <c r="D6393" t="s">
        <v>114</v>
      </c>
      <c r="E6393" s="1">
        <v>45652</v>
      </c>
      <c r="F6393" t="s">
        <v>1466</v>
      </c>
      <c r="G6393">
        <v>53.61</v>
      </c>
    </row>
    <row r="6394" spans="1:7" customFormat="1" x14ac:dyDescent="0.3">
      <c r="A6394" s="12" t="s">
        <v>1243</v>
      </c>
      <c r="B6394" t="s">
        <v>157</v>
      </c>
      <c r="C6394" t="s">
        <v>123</v>
      </c>
      <c r="D6394" t="s">
        <v>114</v>
      </c>
      <c r="E6394" s="1">
        <v>45652</v>
      </c>
      <c r="F6394" t="s">
        <v>1467</v>
      </c>
      <c r="G6394">
        <v>77.19</v>
      </c>
    </row>
    <row r="6395" spans="1:7" customFormat="1" x14ac:dyDescent="0.3">
      <c r="A6395" s="12" t="s">
        <v>1243</v>
      </c>
      <c r="B6395" t="s">
        <v>157</v>
      </c>
      <c r="C6395" t="s">
        <v>123</v>
      </c>
      <c r="D6395" t="s">
        <v>114</v>
      </c>
      <c r="E6395" s="1">
        <v>45652</v>
      </c>
      <c r="F6395" t="s">
        <v>1468</v>
      </c>
      <c r="G6395">
        <v>207.24</v>
      </c>
    </row>
    <row r="6396" spans="1:7" customFormat="1" x14ac:dyDescent="0.3">
      <c r="A6396" s="12" t="s">
        <v>1243</v>
      </c>
      <c r="B6396" t="s">
        <v>157</v>
      </c>
      <c r="C6396" t="s">
        <v>123</v>
      </c>
      <c r="D6396" t="s">
        <v>114</v>
      </c>
      <c r="E6396" s="1">
        <v>45652</v>
      </c>
      <c r="F6396" t="s">
        <v>1469</v>
      </c>
      <c r="G6396">
        <v>37.299999999999997</v>
      </c>
    </row>
    <row r="6397" spans="1:7" customFormat="1" x14ac:dyDescent="0.3">
      <c r="A6397" s="12" t="s">
        <v>1243</v>
      </c>
      <c r="B6397" t="s">
        <v>157</v>
      </c>
      <c r="C6397" t="s">
        <v>123</v>
      </c>
      <c r="D6397" t="s">
        <v>114</v>
      </c>
      <c r="E6397" s="1">
        <v>45652</v>
      </c>
      <c r="F6397" t="s">
        <v>1470</v>
      </c>
      <c r="G6397">
        <v>21.66</v>
      </c>
    </row>
    <row r="6398" spans="1:7" customFormat="1" x14ac:dyDescent="0.3">
      <c r="A6398" s="12" t="s">
        <v>1243</v>
      </c>
      <c r="B6398" t="s">
        <v>157</v>
      </c>
      <c r="C6398" t="s">
        <v>123</v>
      </c>
      <c r="D6398" t="s">
        <v>114</v>
      </c>
      <c r="E6398" s="1">
        <v>45653</v>
      </c>
      <c r="F6398" t="s">
        <v>1471</v>
      </c>
      <c r="G6398">
        <v>0.4</v>
      </c>
    </row>
    <row r="6399" spans="1:7" customFormat="1" x14ac:dyDescent="0.3">
      <c r="A6399" s="12" t="s">
        <v>1243</v>
      </c>
      <c r="B6399" t="s">
        <v>157</v>
      </c>
      <c r="C6399" t="s">
        <v>123</v>
      </c>
      <c r="D6399" t="s">
        <v>114</v>
      </c>
      <c r="E6399" s="1">
        <v>45653</v>
      </c>
      <c r="F6399" t="s">
        <v>1472</v>
      </c>
      <c r="G6399">
        <v>340.81</v>
      </c>
    </row>
    <row r="6400" spans="1:7" customFormat="1" x14ac:dyDescent="0.3">
      <c r="A6400" s="12" t="s">
        <v>1243</v>
      </c>
      <c r="B6400" t="s">
        <v>157</v>
      </c>
      <c r="C6400" t="s">
        <v>123</v>
      </c>
      <c r="D6400" t="s">
        <v>114</v>
      </c>
      <c r="E6400" s="1">
        <v>45653</v>
      </c>
      <c r="F6400" t="s">
        <v>1473</v>
      </c>
      <c r="G6400">
        <v>34.29</v>
      </c>
    </row>
    <row r="6401" spans="1:8" customFormat="1" x14ac:dyDescent="0.3">
      <c r="A6401" s="12" t="s">
        <v>1243</v>
      </c>
      <c r="B6401" t="s">
        <v>157</v>
      </c>
      <c r="C6401" t="s">
        <v>123</v>
      </c>
      <c r="D6401" t="s">
        <v>114</v>
      </c>
      <c r="E6401" s="1">
        <v>45653</v>
      </c>
      <c r="F6401" t="s">
        <v>1212</v>
      </c>
      <c r="G6401">
        <v>41.92</v>
      </c>
    </row>
    <row r="6402" spans="1:8" customFormat="1" x14ac:dyDescent="0.3">
      <c r="A6402" s="12" t="s">
        <v>1243</v>
      </c>
      <c r="B6402" t="s">
        <v>157</v>
      </c>
      <c r="C6402" t="s">
        <v>123</v>
      </c>
      <c r="D6402" t="s">
        <v>114</v>
      </c>
      <c r="E6402" s="1">
        <v>45657</v>
      </c>
      <c r="F6402" t="s">
        <v>1474</v>
      </c>
      <c r="G6402">
        <v>125.2</v>
      </c>
    </row>
    <row r="6403" spans="1:8" customFormat="1" x14ac:dyDescent="0.3">
      <c r="A6403" s="12" t="s">
        <v>1243</v>
      </c>
      <c r="B6403" t="s">
        <v>157</v>
      </c>
      <c r="C6403" t="s">
        <v>123</v>
      </c>
      <c r="D6403" t="s">
        <v>97</v>
      </c>
      <c r="G6403">
        <v>1312.62</v>
      </c>
    </row>
    <row r="6404" spans="1:8" customFormat="1" x14ac:dyDescent="0.3">
      <c r="A6404" s="12" t="s">
        <v>1243</v>
      </c>
      <c r="B6404" t="s">
        <v>158</v>
      </c>
      <c r="C6404" t="s">
        <v>120</v>
      </c>
      <c r="D6404" t="s">
        <v>181</v>
      </c>
      <c r="E6404" t="s">
        <v>268</v>
      </c>
      <c r="F6404" t="s">
        <v>269</v>
      </c>
      <c r="G6404" t="s">
        <v>270</v>
      </c>
      <c r="H6404" t="s">
        <v>165</v>
      </c>
    </row>
    <row r="6405" spans="1:8" customFormat="1" x14ac:dyDescent="0.3">
      <c r="A6405" s="12" t="s">
        <v>1243</v>
      </c>
      <c r="B6405" t="s">
        <v>158</v>
      </c>
      <c r="C6405" t="s">
        <v>123</v>
      </c>
      <c r="D6405" t="s">
        <v>114</v>
      </c>
      <c r="E6405" s="1">
        <v>45636</v>
      </c>
      <c r="F6405" t="s">
        <v>927</v>
      </c>
      <c r="G6405">
        <v>-1.63</v>
      </c>
    </row>
    <row r="6406" spans="1:8" customFormat="1" x14ac:dyDescent="0.3">
      <c r="A6406" s="12" t="s">
        <v>1243</v>
      </c>
      <c r="B6406" t="s">
        <v>158</v>
      </c>
      <c r="C6406" t="s">
        <v>123</v>
      </c>
      <c r="D6406" t="s">
        <v>114</v>
      </c>
      <c r="E6406" s="1">
        <v>45638</v>
      </c>
      <c r="F6406" t="s">
        <v>1475</v>
      </c>
      <c r="G6406">
        <v>-11.62</v>
      </c>
    </row>
    <row r="6407" spans="1:8" customFormat="1" x14ac:dyDescent="0.3">
      <c r="A6407" s="12" t="s">
        <v>1243</v>
      </c>
      <c r="B6407" t="s">
        <v>158</v>
      </c>
      <c r="C6407" t="s">
        <v>123</v>
      </c>
      <c r="D6407" t="s">
        <v>114</v>
      </c>
      <c r="E6407" s="1">
        <v>45642</v>
      </c>
      <c r="F6407" t="s">
        <v>928</v>
      </c>
      <c r="G6407">
        <v>-1.5</v>
      </c>
    </row>
    <row r="6408" spans="1:8" customFormat="1" x14ac:dyDescent="0.3">
      <c r="A6408" s="12" t="s">
        <v>1243</v>
      </c>
      <c r="B6408" t="s">
        <v>158</v>
      </c>
      <c r="C6408" t="s">
        <v>123</v>
      </c>
      <c r="D6408" t="s">
        <v>114</v>
      </c>
      <c r="E6408" s="1">
        <v>45643</v>
      </c>
      <c r="F6408" t="s">
        <v>1476</v>
      </c>
      <c r="G6408">
        <v>-1</v>
      </c>
    </row>
    <row r="6409" spans="1:8" customFormat="1" x14ac:dyDescent="0.3">
      <c r="A6409" s="12" t="s">
        <v>1243</v>
      </c>
      <c r="B6409" t="s">
        <v>158</v>
      </c>
      <c r="C6409" t="s">
        <v>123</v>
      </c>
      <c r="D6409" t="s">
        <v>114</v>
      </c>
      <c r="E6409" s="1">
        <v>45646</v>
      </c>
      <c r="F6409" t="s">
        <v>1477</v>
      </c>
      <c r="G6409">
        <v>-3.28</v>
      </c>
    </row>
    <row r="6410" spans="1:8" customFormat="1" x14ac:dyDescent="0.3">
      <c r="A6410" s="12" t="s">
        <v>1243</v>
      </c>
      <c r="B6410" t="s">
        <v>158</v>
      </c>
      <c r="C6410" t="s">
        <v>123</v>
      </c>
      <c r="D6410" t="s">
        <v>114</v>
      </c>
      <c r="E6410" s="1">
        <v>45646</v>
      </c>
      <c r="F6410" t="s">
        <v>1478</v>
      </c>
      <c r="G6410">
        <v>-8.68</v>
      </c>
    </row>
    <row r="6411" spans="1:8" customFormat="1" x14ac:dyDescent="0.3">
      <c r="A6411" s="12" t="s">
        <v>1243</v>
      </c>
      <c r="B6411" t="s">
        <v>158</v>
      </c>
      <c r="C6411" t="s">
        <v>123</v>
      </c>
      <c r="D6411" t="s">
        <v>114</v>
      </c>
      <c r="E6411" s="1">
        <v>45652</v>
      </c>
      <c r="F6411" t="s">
        <v>1479</v>
      </c>
      <c r="G6411">
        <v>-21.39</v>
      </c>
    </row>
    <row r="6412" spans="1:8" customFormat="1" x14ac:dyDescent="0.3">
      <c r="A6412" s="12" t="s">
        <v>1243</v>
      </c>
      <c r="B6412" t="s">
        <v>158</v>
      </c>
      <c r="C6412" t="s">
        <v>123</v>
      </c>
      <c r="D6412" t="s">
        <v>114</v>
      </c>
      <c r="E6412" s="1">
        <v>45652</v>
      </c>
      <c r="F6412" t="s">
        <v>1480</v>
      </c>
      <c r="G6412">
        <v>-26.08</v>
      </c>
    </row>
    <row r="6413" spans="1:8" customFormat="1" x14ac:dyDescent="0.3">
      <c r="A6413" s="12" t="s">
        <v>1243</v>
      </c>
      <c r="B6413" t="s">
        <v>158</v>
      </c>
      <c r="C6413" t="s">
        <v>123</v>
      </c>
      <c r="D6413" t="s">
        <v>114</v>
      </c>
      <c r="E6413" s="1">
        <v>45652</v>
      </c>
      <c r="F6413" t="s">
        <v>1481</v>
      </c>
      <c r="G6413">
        <v>-7.78</v>
      </c>
    </row>
    <row r="6414" spans="1:8" customFormat="1" x14ac:dyDescent="0.3">
      <c r="A6414" s="12" t="s">
        <v>1243</v>
      </c>
      <c r="B6414" t="s">
        <v>158</v>
      </c>
      <c r="C6414" t="s">
        <v>123</v>
      </c>
      <c r="D6414" t="s">
        <v>114</v>
      </c>
      <c r="E6414" s="1">
        <v>45652</v>
      </c>
      <c r="F6414" t="s">
        <v>1482</v>
      </c>
      <c r="G6414">
        <v>-10.31</v>
      </c>
    </row>
    <row r="6415" spans="1:8" customFormat="1" x14ac:dyDescent="0.3">
      <c r="A6415" s="12" t="s">
        <v>1243</v>
      </c>
      <c r="B6415" t="s">
        <v>158</v>
      </c>
      <c r="C6415" t="s">
        <v>123</v>
      </c>
      <c r="D6415" t="s">
        <v>114</v>
      </c>
      <c r="E6415" s="1">
        <v>45652</v>
      </c>
      <c r="F6415" t="s">
        <v>1483</v>
      </c>
      <c r="G6415">
        <v>-13.4</v>
      </c>
    </row>
    <row r="6416" spans="1:8" customFormat="1" x14ac:dyDescent="0.3">
      <c r="A6416" s="12" t="s">
        <v>1243</v>
      </c>
      <c r="B6416" t="s">
        <v>158</v>
      </c>
      <c r="C6416" t="s">
        <v>123</v>
      </c>
      <c r="D6416" t="s">
        <v>114</v>
      </c>
      <c r="E6416" s="1">
        <v>45652</v>
      </c>
      <c r="F6416" t="s">
        <v>1484</v>
      </c>
      <c r="G6416">
        <v>-19.3</v>
      </c>
    </row>
    <row r="6417" spans="1:7" customFormat="1" x14ac:dyDescent="0.3">
      <c r="A6417" s="12" t="s">
        <v>1243</v>
      </c>
      <c r="B6417" t="s">
        <v>158</v>
      </c>
      <c r="C6417" t="s">
        <v>123</v>
      </c>
      <c r="D6417" t="s">
        <v>114</v>
      </c>
      <c r="E6417" s="1">
        <v>45652</v>
      </c>
      <c r="F6417" t="s">
        <v>1485</v>
      </c>
      <c r="G6417">
        <v>-51.81</v>
      </c>
    </row>
    <row r="6418" spans="1:7" customFormat="1" x14ac:dyDescent="0.3">
      <c r="A6418" s="12" t="s">
        <v>1243</v>
      </c>
      <c r="B6418" t="s">
        <v>158</v>
      </c>
      <c r="C6418" t="s">
        <v>123</v>
      </c>
      <c r="D6418" t="s">
        <v>114</v>
      </c>
      <c r="E6418" s="1">
        <v>45652</v>
      </c>
      <c r="F6418" t="s">
        <v>1486</v>
      </c>
      <c r="G6418">
        <v>-9.33</v>
      </c>
    </row>
    <row r="6419" spans="1:7" customFormat="1" x14ac:dyDescent="0.3">
      <c r="A6419" s="12" t="s">
        <v>1243</v>
      </c>
      <c r="B6419" t="s">
        <v>158</v>
      </c>
      <c r="C6419" t="s">
        <v>123</v>
      </c>
      <c r="D6419" t="s">
        <v>114</v>
      </c>
      <c r="E6419" s="1">
        <v>45652</v>
      </c>
      <c r="F6419" t="s">
        <v>1487</v>
      </c>
      <c r="G6419">
        <v>-5.42</v>
      </c>
    </row>
    <row r="6420" spans="1:7" customFormat="1" x14ac:dyDescent="0.3">
      <c r="A6420" s="12" t="s">
        <v>1243</v>
      </c>
      <c r="B6420" t="s">
        <v>158</v>
      </c>
      <c r="C6420" t="s">
        <v>123</v>
      </c>
      <c r="D6420" t="s">
        <v>114</v>
      </c>
      <c r="E6420" s="1">
        <v>45653</v>
      </c>
      <c r="F6420" t="s">
        <v>1488</v>
      </c>
      <c r="G6420">
        <v>-0.1</v>
      </c>
    </row>
    <row r="6421" spans="1:7" customFormat="1" x14ac:dyDescent="0.3">
      <c r="A6421" s="12" t="s">
        <v>1243</v>
      </c>
      <c r="B6421" t="s">
        <v>158</v>
      </c>
      <c r="C6421" t="s">
        <v>123</v>
      </c>
      <c r="D6421" t="s">
        <v>114</v>
      </c>
      <c r="E6421" s="1">
        <v>45653</v>
      </c>
      <c r="F6421" t="s">
        <v>1489</v>
      </c>
      <c r="G6421">
        <v>-85.2</v>
      </c>
    </row>
    <row r="6422" spans="1:7" customFormat="1" x14ac:dyDescent="0.3">
      <c r="A6422" s="12" t="s">
        <v>1243</v>
      </c>
      <c r="B6422" t="s">
        <v>158</v>
      </c>
      <c r="C6422" t="s">
        <v>123</v>
      </c>
      <c r="D6422" t="s">
        <v>114</v>
      </c>
      <c r="E6422" s="1">
        <v>45653</v>
      </c>
      <c r="F6422" t="s">
        <v>1490</v>
      </c>
      <c r="G6422">
        <v>-8.57</v>
      </c>
    </row>
    <row r="6423" spans="1:7" customFormat="1" x14ac:dyDescent="0.3">
      <c r="A6423" s="12" t="s">
        <v>1243</v>
      </c>
      <c r="B6423" t="s">
        <v>158</v>
      </c>
      <c r="C6423" t="s">
        <v>123</v>
      </c>
      <c r="D6423" t="s">
        <v>114</v>
      </c>
      <c r="E6423" s="1">
        <v>45653</v>
      </c>
      <c r="F6423" t="s">
        <v>1227</v>
      </c>
      <c r="G6423">
        <v>-10.48</v>
      </c>
    </row>
    <row r="6424" spans="1:7" customFormat="1" x14ac:dyDescent="0.3">
      <c r="A6424" s="12" t="s">
        <v>1243</v>
      </c>
      <c r="B6424" t="s">
        <v>158</v>
      </c>
      <c r="C6424" t="s">
        <v>123</v>
      </c>
      <c r="D6424" t="s">
        <v>114</v>
      </c>
      <c r="E6424" s="1">
        <v>45657</v>
      </c>
      <c r="F6424" t="s">
        <v>1491</v>
      </c>
      <c r="G6424">
        <v>-31.3</v>
      </c>
    </row>
    <row r="6425" spans="1:7" customFormat="1" x14ac:dyDescent="0.3">
      <c r="A6425" s="12" t="s">
        <v>1243</v>
      </c>
      <c r="B6425" t="s">
        <v>158</v>
      </c>
      <c r="C6425" t="s">
        <v>123</v>
      </c>
      <c r="D6425" t="s">
        <v>97</v>
      </c>
      <c r="G6425">
        <v>-328.18</v>
      </c>
    </row>
    <row r="6426" spans="1:7" customFormat="1" x14ac:dyDescent="0.3">
      <c r="A6426" s="12" t="s">
        <v>1243</v>
      </c>
      <c r="B6426" t="s">
        <v>160</v>
      </c>
      <c r="C6426" t="s">
        <v>120</v>
      </c>
      <c r="D6426" t="s">
        <v>181</v>
      </c>
      <c r="E6426" t="s">
        <v>268</v>
      </c>
      <c r="F6426" t="s">
        <v>269</v>
      </c>
      <c r="G6426" t="s">
        <v>270</v>
      </c>
    </row>
    <row r="6427" spans="1:7" customFormat="1" x14ac:dyDescent="0.3">
      <c r="A6427" s="12" t="s">
        <v>1243</v>
      </c>
      <c r="B6427" t="s">
        <v>160</v>
      </c>
      <c r="C6427" t="s">
        <v>123</v>
      </c>
      <c r="D6427" t="s">
        <v>114</v>
      </c>
      <c r="E6427" s="1">
        <v>45630</v>
      </c>
      <c r="F6427" t="s">
        <v>1492</v>
      </c>
      <c r="G6427">
        <v>50.46</v>
      </c>
    </row>
    <row r="6428" spans="1:7" customFormat="1" x14ac:dyDescent="0.3">
      <c r="A6428" s="12" t="s">
        <v>1243</v>
      </c>
      <c r="B6428" t="s">
        <v>160</v>
      </c>
      <c r="C6428" t="s">
        <v>123</v>
      </c>
      <c r="D6428" t="s">
        <v>97</v>
      </c>
      <c r="G6428">
        <v>50.46</v>
      </c>
    </row>
    <row r="6429" spans="1:7" customFormat="1" x14ac:dyDescent="0.3">
      <c r="A6429" s="12" t="s">
        <v>1243</v>
      </c>
      <c r="B6429" t="s">
        <v>151</v>
      </c>
      <c r="C6429" t="s">
        <v>120</v>
      </c>
      <c r="D6429" t="s">
        <v>181</v>
      </c>
      <c r="E6429" t="s">
        <v>121</v>
      </c>
      <c r="F6429" t="s">
        <v>122</v>
      </c>
    </row>
    <row r="6430" spans="1:7" customFormat="1" x14ac:dyDescent="0.3">
      <c r="A6430" s="12" t="s">
        <v>1243</v>
      </c>
      <c r="B6430" t="s">
        <v>151</v>
      </c>
      <c r="C6430" t="s">
        <v>123</v>
      </c>
      <c r="D6430" t="s">
        <v>184</v>
      </c>
      <c r="E6430" t="s">
        <v>278</v>
      </c>
      <c r="F6430">
        <v>50.18</v>
      </c>
    </row>
    <row r="6431" spans="1:7" customFormat="1" x14ac:dyDescent="0.3">
      <c r="A6431" s="12" t="s">
        <v>1243</v>
      </c>
      <c r="B6431" t="s">
        <v>151</v>
      </c>
      <c r="C6431" t="s">
        <v>123</v>
      </c>
      <c r="D6431" t="s">
        <v>184</v>
      </c>
      <c r="E6431" t="s">
        <v>279</v>
      </c>
      <c r="F6431">
        <v>-7.07</v>
      </c>
    </row>
    <row r="6432" spans="1:7" customFormat="1" x14ac:dyDescent="0.3">
      <c r="A6432" s="12" t="s">
        <v>1243</v>
      </c>
      <c r="B6432" t="s">
        <v>151</v>
      </c>
      <c r="C6432" t="s">
        <v>123</v>
      </c>
      <c r="D6432" t="s">
        <v>184</v>
      </c>
      <c r="E6432" t="s">
        <v>280</v>
      </c>
      <c r="F6432">
        <v>-50.46</v>
      </c>
    </row>
    <row r="6433" spans="1:16" customFormat="1" x14ac:dyDescent="0.3">
      <c r="A6433" s="12" t="s">
        <v>1243</v>
      </c>
      <c r="B6433" t="s">
        <v>151</v>
      </c>
      <c r="C6433" t="s">
        <v>123</v>
      </c>
      <c r="D6433" t="s">
        <v>184</v>
      </c>
      <c r="E6433" t="s">
        <v>282</v>
      </c>
      <c r="F6433">
        <v>-7.35</v>
      </c>
    </row>
    <row r="6434" spans="1:16" customFormat="1" x14ac:dyDescent="0.3">
      <c r="A6434" s="12" t="s">
        <v>1243</v>
      </c>
      <c r="B6434" t="s">
        <v>159</v>
      </c>
      <c r="C6434" t="s">
        <v>120</v>
      </c>
      <c r="D6434" t="s">
        <v>100</v>
      </c>
      <c r="E6434" t="s">
        <v>181</v>
      </c>
      <c r="F6434" t="s">
        <v>0</v>
      </c>
      <c r="G6434" t="s">
        <v>268</v>
      </c>
      <c r="H6434" t="s">
        <v>283</v>
      </c>
      <c r="I6434" t="s">
        <v>284</v>
      </c>
      <c r="J6434" t="s">
        <v>193</v>
      </c>
      <c r="K6434" t="s">
        <v>285</v>
      </c>
      <c r="L6434" t="s">
        <v>286</v>
      </c>
      <c r="M6434" t="s">
        <v>287</v>
      </c>
      <c r="N6434" t="s">
        <v>288</v>
      </c>
      <c r="O6434" t="s">
        <v>289</v>
      </c>
      <c r="P6434" t="s">
        <v>165</v>
      </c>
    </row>
    <row r="6435" spans="1:16" customFormat="1" x14ac:dyDescent="0.3">
      <c r="A6435" s="12" t="s">
        <v>1243</v>
      </c>
      <c r="B6435" t="s">
        <v>159</v>
      </c>
      <c r="C6435" t="s">
        <v>123</v>
      </c>
      <c r="D6435" t="s">
        <v>290</v>
      </c>
      <c r="O6435">
        <v>39.729999999999997</v>
      </c>
    </row>
    <row r="6436" spans="1:16" customFormat="1" x14ac:dyDescent="0.3">
      <c r="A6436" s="12" t="s">
        <v>1243</v>
      </c>
      <c r="B6436" t="s">
        <v>159</v>
      </c>
      <c r="C6436" t="s">
        <v>123</v>
      </c>
      <c r="D6436" t="s">
        <v>110</v>
      </c>
      <c r="E6436" t="s">
        <v>114</v>
      </c>
      <c r="F6436" t="s">
        <v>48</v>
      </c>
      <c r="G6436" s="1">
        <v>45652</v>
      </c>
      <c r="H6436" s="1">
        <v>45653</v>
      </c>
      <c r="I6436" s="1">
        <v>45684</v>
      </c>
      <c r="J6436">
        <v>35</v>
      </c>
      <c r="K6436">
        <v>2.4500000000000002</v>
      </c>
      <c r="L6436">
        <v>0</v>
      </c>
      <c r="M6436">
        <v>0.28000000000000003</v>
      </c>
      <c r="N6436">
        <v>9.8000000000000007</v>
      </c>
      <c r="O6436">
        <v>7.35</v>
      </c>
      <c r="P6436" t="s">
        <v>291</v>
      </c>
    </row>
    <row r="6437" spans="1:16" customFormat="1" x14ac:dyDescent="0.3">
      <c r="A6437" s="12" t="s">
        <v>1243</v>
      </c>
      <c r="B6437" t="s">
        <v>159</v>
      </c>
      <c r="C6437" t="s">
        <v>123</v>
      </c>
      <c r="D6437" t="s">
        <v>110</v>
      </c>
      <c r="E6437" t="s">
        <v>114</v>
      </c>
      <c r="F6437" t="s">
        <v>54</v>
      </c>
      <c r="G6437" s="1">
        <v>45645</v>
      </c>
      <c r="H6437" s="1">
        <v>45646</v>
      </c>
      <c r="I6437" s="1">
        <v>45685</v>
      </c>
      <c r="J6437">
        <v>5</v>
      </c>
      <c r="K6437">
        <v>0.31</v>
      </c>
      <c r="L6437">
        <v>0</v>
      </c>
      <c r="M6437">
        <v>0.25</v>
      </c>
      <c r="N6437">
        <v>1.25</v>
      </c>
      <c r="O6437">
        <v>0.94</v>
      </c>
      <c r="P6437" t="s">
        <v>291</v>
      </c>
    </row>
    <row r="6438" spans="1:16" customFormat="1" x14ac:dyDescent="0.3">
      <c r="A6438" s="12" t="s">
        <v>1243</v>
      </c>
      <c r="B6438" t="s">
        <v>159</v>
      </c>
      <c r="C6438" t="s">
        <v>123</v>
      </c>
      <c r="D6438" t="s">
        <v>110</v>
      </c>
      <c r="E6438" t="s">
        <v>114</v>
      </c>
      <c r="F6438" t="s">
        <v>19</v>
      </c>
      <c r="G6438" s="1">
        <v>45632</v>
      </c>
      <c r="H6438" s="1">
        <v>45635</v>
      </c>
      <c r="I6438" s="1">
        <v>45642</v>
      </c>
      <c r="J6438">
        <v>30</v>
      </c>
      <c r="K6438">
        <v>1.5</v>
      </c>
      <c r="L6438">
        <v>0</v>
      </c>
      <c r="M6438">
        <v>0.2</v>
      </c>
      <c r="N6438">
        <v>6</v>
      </c>
      <c r="O6438">
        <v>4.5</v>
      </c>
      <c r="P6438" t="s">
        <v>291</v>
      </c>
    </row>
    <row r="6439" spans="1:16" customFormat="1" x14ac:dyDescent="0.3">
      <c r="A6439" s="12" t="s">
        <v>1243</v>
      </c>
      <c r="B6439" t="s">
        <v>159</v>
      </c>
      <c r="C6439" t="s">
        <v>123</v>
      </c>
      <c r="D6439" t="s">
        <v>110</v>
      </c>
      <c r="E6439" t="s">
        <v>114</v>
      </c>
      <c r="F6439" t="s">
        <v>19</v>
      </c>
      <c r="G6439" s="1">
        <v>45642</v>
      </c>
      <c r="H6439" s="1">
        <v>45635</v>
      </c>
      <c r="I6439" s="1">
        <v>45642</v>
      </c>
      <c r="J6439">
        <v>30</v>
      </c>
      <c r="K6439">
        <v>-1.5</v>
      </c>
      <c r="L6439">
        <v>0</v>
      </c>
      <c r="M6439">
        <v>0.2</v>
      </c>
      <c r="N6439">
        <v>-6</v>
      </c>
      <c r="O6439">
        <v>-4.5</v>
      </c>
      <c r="P6439" t="s">
        <v>292</v>
      </c>
    </row>
    <row r="6440" spans="1:16" customFormat="1" x14ac:dyDescent="0.3">
      <c r="A6440" s="12" t="s">
        <v>1243</v>
      </c>
      <c r="B6440" t="s">
        <v>159</v>
      </c>
      <c r="C6440" t="s">
        <v>123</v>
      </c>
      <c r="D6440" t="s">
        <v>110</v>
      </c>
      <c r="E6440" t="s">
        <v>114</v>
      </c>
      <c r="F6440" t="s">
        <v>1428</v>
      </c>
      <c r="G6440" s="1">
        <v>45645</v>
      </c>
      <c r="H6440" s="1">
        <v>45646</v>
      </c>
      <c r="I6440" s="1">
        <v>45673</v>
      </c>
      <c r="J6440">
        <v>250</v>
      </c>
      <c r="K6440">
        <v>8.1300000000000008</v>
      </c>
      <c r="L6440">
        <v>0</v>
      </c>
      <c r="M6440">
        <v>0.13</v>
      </c>
      <c r="N6440">
        <v>32.5</v>
      </c>
      <c r="O6440">
        <v>24.37</v>
      </c>
      <c r="P6440" t="s">
        <v>291</v>
      </c>
    </row>
    <row r="6441" spans="1:16" customFormat="1" x14ac:dyDescent="0.3">
      <c r="A6441" s="12" t="s">
        <v>1243</v>
      </c>
      <c r="B6441" t="s">
        <v>159</v>
      </c>
      <c r="C6441" t="s">
        <v>123</v>
      </c>
      <c r="D6441" t="s">
        <v>110</v>
      </c>
      <c r="E6441" t="s">
        <v>114</v>
      </c>
      <c r="F6441" t="s">
        <v>1374</v>
      </c>
      <c r="G6441" s="1">
        <v>45639</v>
      </c>
      <c r="H6441" s="1">
        <v>45642</v>
      </c>
      <c r="I6441" s="1">
        <v>45664</v>
      </c>
      <c r="J6441">
        <v>60</v>
      </c>
      <c r="K6441">
        <v>10.73</v>
      </c>
      <c r="L6441">
        <v>0</v>
      </c>
      <c r="M6441">
        <v>0.71499999999999997</v>
      </c>
      <c r="N6441">
        <v>42.9</v>
      </c>
      <c r="O6441">
        <v>32.17</v>
      </c>
      <c r="P6441" t="s">
        <v>291</v>
      </c>
    </row>
    <row r="6442" spans="1:16" customFormat="1" x14ac:dyDescent="0.3">
      <c r="A6442" s="12" t="s">
        <v>1243</v>
      </c>
      <c r="B6442" t="s">
        <v>159</v>
      </c>
      <c r="C6442" t="s">
        <v>123</v>
      </c>
      <c r="D6442" t="s">
        <v>110</v>
      </c>
      <c r="E6442" t="s">
        <v>114</v>
      </c>
      <c r="F6442" t="s">
        <v>1253</v>
      </c>
      <c r="G6442" s="1">
        <v>45642</v>
      </c>
      <c r="H6442" s="1">
        <v>45643</v>
      </c>
      <c r="I6442" s="1">
        <v>45646</v>
      </c>
      <c r="J6442">
        <v>30</v>
      </c>
      <c r="K6442">
        <v>3.28</v>
      </c>
      <c r="L6442">
        <v>0</v>
      </c>
      <c r="M6442">
        <v>0.43683499999999997</v>
      </c>
      <c r="N6442">
        <v>13.11</v>
      </c>
      <c r="O6442">
        <v>9.83</v>
      </c>
      <c r="P6442" t="s">
        <v>291</v>
      </c>
    </row>
    <row r="6443" spans="1:16" customFormat="1" x14ac:dyDescent="0.3">
      <c r="A6443" s="12" t="s">
        <v>1243</v>
      </c>
      <c r="B6443" t="s">
        <v>159</v>
      </c>
      <c r="C6443" t="s">
        <v>123</v>
      </c>
      <c r="D6443" t="s">
        <v>110</v>
      </c>
      <c r="E6443" t="s">
        <v>114</v>
      </c>
      <c r="F6443" t="s">
        <v>1253</v>
      </c>
      <c r="G6443" s="1">
        <v>45646</v>
      </c>
      <c r="H6443" s="1">
        <v>45643</v>
      </c>
      <c r="I6443" s="1">
        <v>45646</v>
      </c>
      <c r="J6443">
        <v>30</v>
      </c>
      <c r="K6443">
        <v>-3.28</v>
      </c>
      <c r="L6443">
        <v>0</v>
      </c>
      <c r="M6443">
        <v>0.43683499999999997</v>
      </c>
      <c r="N6443">
        <v>-13.11</v>
      </c>
      <c r="O6443">
        <v>-9.83</v>
      </c>
      <c r="P6443" t="s">
        <v>292</v>
      </c>
    </row>
    <row r="6444" spans="1:16" customFormat="1" x14ac:dyDescent="0.3">
      <c r="A6444" s="12" t="s">
        <v>1243</v>
      </c>
      <c r="B6444" t="s">
        <v>159</v>
      </c>
      <c r="C6444" t="s">
        <v>123</v>
      </c>
      <c r="D6444" t="s">
        <v>110</v>
      </c>
      <c r="E6444" t="s">
        <v>114</v>
      </c>
      <c r="F6444" t="s">
        <v>1254</v>
      </c>
      <c r="G6444" s="1">
        <v>45642</v>
      </c>
      <c r="H6444" s="1">
        <v>45643</v>
      </c>
      <c r="I6444" s="1">
        <v>45646</v>
      </c>
      <c r="J6444">
        <v>50</v>
      </c>
      <c r="K6444">
        <v>8.68</v>
      </c>
      <c r="L6444">
        <v>0</v>
      </c>
      <c r="M6444">
        <v>0.69400399999999995</v>
      </c>
      <c r="N6444">
        <v>34.700000000000003</v>
      </c>
      <c r="O6444">
        <v>26.02</v>
      </c>
      <c r="P6444" t="s">
        <v>291</v>
      </c>
    </row>
    <row r="6445" spans="1:16" customFormat="1" x14ac:dyDescent="0.3">
      <c r="A6445" s="12" t="s">
        <v>1243</v>
      </c>
      <c r="B6445" t="s">
        <v>159</v>
      </c>
      <c r="C6445" t="s">
        <v>123</v>
      </c>
      <c r="D6445" t="s">
        <v>110</v>
      </c>
      <c r="E6445" t="s">
        <v>114</v>
      </c>
      <c r="F6445" t="s">
        <v>1254</v>
      </c>
      <c r="G6445" s="1">
        <v>45646</v>
      </c>
      <c r="H6445" s="1">
        <v>45643</v>
      </c>
      <c r="I6445" s="1">
        <v>45646</v>
      </c>
      <c r="J6445">
        <v>50</v>
      </c>
      <c r="K6445">
        <v>-8.68</v>
      </c>
      <c r="L6445">
        <v>0</v>
      </c>
      <c r="M6445">
        <v>0.69400399999999995</v>
      </c>
      <c r="N6445">
        <v>-34.700000000000003</v>
      </c>
      <c r="O6445">
        <v>-26.02</v>
      </c>
      <c r="P6445" t="s">
        <v>292</v>
      </c>
    </row>
    <row r="6446" spans="1:16" customFormat="1" x14ac:dyDescent="0.3">
      <c r="A6446" s="12" t="s">
        <v>1243</v>
      </c>
      <c r="B6446" t="s">
        <v>159</v>
      </c>
      <c r="C6446" t="s">
        <v>123</v>
      </c>
      <c r="D6446" t="s">
        <v>110</v>
      </c>
      <c r="E6446" t="s">
        <v>114</v>
      </c>
      <c r="F6446" t="s">
        <v>49</v>
      </c>
      <c r="G6446" s="1">
        <v>45636</v>
      </c>
      <c r="H6446" s="1">
        <v>45611</v>
      </c>
      <c r="I6446" s="1">
        <v>45636</v>
      </c>
      <c r="J6446">
        <v>5</v>
      </c>
      <c r="K6446">
        <v>-1.63</v>
      </c>
      <c r="L6446">
        <v>0</v>
      </c>
      <c r="M6446">
        <v>1.3</v>
      </c>
      <c r="N6446">
        <v>-6.5</v>
      </c>
      <c r="O6446">
        <v>-4.87</v>
      </c>
      <c r="P6446" t="s">
        <v>292</v>
      </c>
    </row>
    <row r="6447" spans="1:16" customFormat="1" x14ac:dyDescent="0.3">
      <c r="A6447" s="12" t="s">
        <v>1243</v>
      </c>
      <c r="B6447" t="s">
        <v>159</v>
      </c>
      <c r="C6447" t="s">
        <v>123</v>
      </c>
      <c r="D6447" t="s">
        <v>110</v>
      </c>
      <c r="E6447" t="s">
        <v>114</v>
      </c>
      <c r="F6447" t="s">
        <v>28</v>
      </c>
      <c r="G6447" s="1">
        <v>45616</v>
      </c>
      <c r="H6447" s="1">
        <v>45617</v>
      </c>
      <c r="I6447" s="1">
        <v>45638</v>
      </c>
      <c r="J6447">
        <v>56</v>
      </c>
      <c r="K6447">
        <v>0</v>
      </c>
      <c r="L6447">
        <v>0</v>
      </c>
      <c r="M6447">
        <v>0.83</v>
      </c>
      <c r="N6447">
        <v>46.48</v>
      </c>
      <c r="O6447">
        <v>46.48</v>
      </c>
      <c r="P6447" t="s">
        <v>291</v>
      </c>
    </row>
    <row r="6448" spans="1:16" customFormat="1" x14ac:dyDescent="0.3">
      <c r="A6448" s="12" t="s">
        <v>1243</v>
      </c>
      <c r="B6448" t="s">
        <v>159</v>
      </c>
      <c r="C6448" t="s">
        <v>123</v>
      </c>
      <c r="D6448" t="s">
        <v>110</v>
      </c>
      <c r="E6448" t="s">
        <v>114</v>
      </c>
      <c r="F6448" t="s">
        <v>28</v>
      </c>
      <c r="G6448" s="1">
        <v>45616</v>
      </c>
      <c r="H6448" s="1">
        <v>45617</v>
      </c>
      <c r="I6448" s="1">
        <v>45638</v>
      </c>
      <c r="J6448">
        <v>56</v>
      </c>
      <c r="K6448">
        <v>11.62</v>
      </c>
      <c r="L6448">
        <v>0</v>
      </c>
      <c r="M6448">
        <v>0.83</v>
      </c>
      <c r="N6448">
        <v>46.48</v>
      </c>
      <c r="O6448">
        <v>34.86</v>
      </c>
      <c r="P6448" t="s">
        <v>291</v>
      </c>
    </row>
    <row r="6449" spans="1:16" customFormat="1" x14ac:dyDescent="0.3">
      <c r="A6449" s="12" t="s">
        <v>1243</v>
      </c>
      <c r="B6449" t="s">
        <v>159</v>
      </c>
      <c r="C6449" t="s">
        <v>123</v>
      </c>
      <c r="D6449" t="s">
        <v>110</v>
      </c>
      <c r="E6449" t="s">
        <v>114</v>
      </c>
      <c r="F6449" t="s">
        <v>28</v>
      </c>
      <c r="G6449" s="1">
        <v>45616</v>
      </c>
      <c r="H6449" s="1">
        <v>45617</v>
      </c>
      <c r="I6449" s="1">
        <v>45638</v>
      </c>
      <c r="J6449">
        <v>56</v>
      </c>
      <c r="K6449">
        <v>-11.62</v>
      </c>
      <c r="L6449">
        <v>0</v>
      </c>
      <c r="M6449">
        <v>0.83</v>
      </c>
      <c r="N6449">
        <v>-46.48</v>
      </c>
      <c r="O6449">
        <v>-34.86</v>
      </c>
      <c r="P6449" t="s">
        <v>292</v>
      </c>
    </row>
    <row r="6450" spans="1:16" customFormat="1" x14ac:dyDescent="0.3">
      <c r="A6450" s="12" t="s">
        <v>1243</v>
      </c>
      <c r="B6450" t="s">
        <v>159</v>
      </c>
      <c r="C6450" t="s">
        <v>123</v>
      </c>
      <c r="D6450" t="s">
        <v>110</v>
      </c>
      <c r="E6450" t="s">
        <v>114</v>
      </c>
      <c r="F6450" t="s">
        <v>28</v>
      </c>
      <c r="G6450" s="1">
        <v>45616</v>
      </c>
      <c r="H6450" s="1">
        <v>45617</v>
      </c>
      <c r="I6450" s="1">
        <v>45638</v>
      </c>
      <c r="J6450">
        <v>56</v>
      </c>
      <c r="K6450">
        <v>0</v>
      </c>
      <c r="L6450">
        <v>0</v>
      </c>
      <c r="M6450">
        <v>0.83</v>
      </c>
      <c r="N6450">
        <v>-46.48</v>
      </c>
      <c r="O6450">
        <v>-46.48</v>
      </c>
      <c r="P6450" t="s">
        <v>292</v>
      </c>
    </row>
    <row r="6451" spans="1:16" customFormat="1" x14ac:dyDescent="0.3">
      <c r="A6451" s="12" t="s">
        <v>1243</v>
      </c>
      <c r="B6451" t="s">
        <v>159</v>
      </c>
      <c r="C6451" t="s">
        <v>123</v>
      </c>
      <c r="D6451" t="s">
        <v>110</v>
      </c>
      <c r="E6451" t="s">
        <v>114</v>
      </c>
      <c r="F6451" t="s">
        <v>28</v>
      </c>
      <c r="G6451" s="1">
        <v>45638</v>
      </c>
      <c r="H6451" s="1">
        <v>45617</v>
      </c>
      <c r="I6451" s="1">
        <v>45638</v>
      </c>
      <c r="J6451">
        <v>56</v>
      </c>
      <c r="K6451">
        <v>-11.62</v>
      </c>
      <c r="L6451">
        <v>0</v>
      </c>
      <c r="M6451">
        <v>0.83</v>
      </c>
      <c r="N6451">
        <v>-46.48</v>
      </c>
      <c r="O6451">
        <v>-34.86</v>
      </c>
      <c r="P6451" t="s">
        <v>292</v>
      </c>
    </row>
    <row r="6452" spans="1:16" customFormat="1" x14ac:dyDescent="0.3">
      <c r="A6452" s="12" t="s">
        <v>1243</v>
      </c>
      <c r="B6452" t="s">
        <v>159</v>
      </c>
      <c r="C6452" t="s">
        <v>123</v>
      </c>
      <c r="D6452" t="s">
        <v>110</v>
      </c>
      <c r="E6452" t="s">
        <v>114</v>
      </c>
      <c r="F6452" t="s">
        <v>71</v>
      </c>
      <c r="G6452" s="1">
        <v>45630</v>
      </c>
      <c r="H6452" s="1">
        <v>45631</v>
      </c>
      <c r="I6452" s="1">
        <v>45653</v>
      </c>
      <c r="J6452">
        <v>40</v>
      </c>
      <c r="K6452">
        <v>0.1</v>
      </c>
      <c r="L6452">
        <v>0</v>
      </c>
      <c r="M6452">
        <v>0.01</v>
      </c>
      <c r="N6452">
        <v>0.4</v>
      </c>
      <c r="O6452">
        <v>0.3</v>
      </c>
      <c r="P6452" t="s">
        <v>291</v>
      </c>
    </row>
    <row r="6453" spans="1:16" customFormat="1" x14ac:dyDescent="0.3">
      <c r="A6453" s="12" t="s">
        <v>1243</v>
      </c>
      <c r="B6453" t="s">
        <v>159</v>
      </c>
      <c r="C6453" t="s">
        <v>123</v>
      </c>
      <c r="D6453" t="s">
        <v>110</v>
      </c>
      <c r="E6453" t="s">
        <v>114</v>
      </c>
      <c r="F6453" t="s">
        <v>71</v>
      </c>
      <c r="G6453" s="1">
        <v>45653</v>
      </c>
      <c r="H6453" s="1">
        <v>45631</v>
      </c>
      <c r="I6453" s="1">
        <v>45653</v>
      </c>
      <c r="J6453">
        <v>40</v>
      </c>
      <c r="K6453">
        <v>-0.1</v>
      </c>
      <c r="L6453">
        <v>0</v>
      </c>
      <c r="M6453">
        <v>0.01</v>
      </c>
      <c r="N6453">
        <v>-0.4</v>
      </c>
      <c r="O6453">
        <v>-0.3</v>
      </c>
      <c r="P6453" t="s">
        <v>292</v>
      </c>
    </row>
    <row r="6454" spans="1:16" customFormat="1" x14ac:dyDescent="0.3">
      <c r="A6454" s="12" t="s">
        <v>1243</v>
      </c>
      <c r="B6454" t="s">
        <v>159</v>
      </c>
      <c r="C6454" t="s">
        <v>123</v>
      </c>
      <c r="D6454" t="s">
        <v>110</v>
      </c>
      <c r="E6454" t="s">
        <v>114</v>
      </c>
      <c r="F6454" t="s">
        <v>82</v>
      </c>
      <c r="G6454" s="1">
        <v>45646</v>
      </c>
      <c r="H6454" s="1">
        <v>45649</v>
      </c>
      <c r="I6454" s="1">
        <v>45657</v>
      </c>
      <c r="J6454">
        <v>150</v>
      </c>
      <c r="K6454">
        <v>31.3</v>
      </c>
      <c r="L6454">
        <v>0</v>
      </c>
      <c r="M6454">
        <v>0.83465999999999996</v>
      </c>
      <c r="N6454">
        <v>125.2</v>
      </c>
      <c r="O6454">
        <v>93.9</v>
      </c>
      <c r="P6454" t="s">
        <v>291</v>
      </c>
    </row>
    <row r="6455" spans="1:16" customFormat="1" x14ac:dyDescent="0.3">
      <c r="A6455" s="12" t="s">
        <v>1243</v>
      </c>
      <c r="B6455" t="s">
        <v>159</v>
      </c>
      <c r="C6455" t="s">
        <v>123</v>
      </c>
      <c r="D6455" t="s">
        <v>110</v>
      </c>
      <c r="E6455" t="s">
        <v>114</v>
      </c>
      <c r="F6455" t="s">
        <v>82</v>
      </c>
      <c r="G6455" s="1">
        <v>45657</v>
      </c>
      <c r="H6455" s="1">
        <v>45649</v>
      </c>
      <c r="I6455" s="1">
        <v>45657</v>
      </c>
      <c r="J6455">
        <v>150</v>
      </c>
      <c r="K6455">
        <v>-31.3</v>
      </c>
      <c r="L6455">
        <v>0</v>
      </c>
      <c r="M6455">
        <v>0.83465999999999996</v>
      </c>
      <c r="N6455">
        <v>-125.2</v>
      </c>
      <c r="O6455">
        <v>-93.9</v>
      </c>
      <c r="P6455" t="s">
        <v>292</v>
      </c>
    </row>
    <row r="6456" spans="1:16" customFormat="1" x14ac:dyDescent="0.3">
      <c r="A6456" s="12" t="s">
        <v>1243</v>
      </c>
      <c r="B6456" t="s">
        <v>159</v>
      </c>
      <c r="C6456" t="s">
        <v>123</v>
      </c>
      <c r="D6456" t="s">
        <v>110</v>
      </c>
      <c r="E6456" t="s">
        <v>114</v>
      </c>
      <c r="F6456" t="s">
        <v>1255</v>
      </c>
      <c r="G6456" s="1">
        <v>45646</v>
      </c>
      <c r="H6456" s="1">
        <v>45649</v>
      </c>
      <c r="I6456" s="1">
        <v>45653</v>
      </c>
      <c r="J6456">
        <v>550</v>
      </c>
      <c r="K6456">
        <v>85.2</v>
      </c>
      <c r="L6456">
        <v>0</v>
      </c>
      <c r="M6456">
        <v>0.61965000000000003</v>
      </c>
      <c r="N6456">
        <v>340.81</v>
      </c>
      <c r="O6456">
        <v>255.61</v>
      </c>
      <c r="P6456" t="s">
        <v>291</v>
      </c>
    </row>
    <row r="6457" spans="1:16" customFormat="1" x14ac:dyDescent="0.3">
      <c r="A6457" s="12" t="s">
        <v>1243</v>
      </c>
      <c r="B6457" t="s">
        <v>159</v>
      </c>
      <c r="C6457" t="s">
        <v>123</v>
      </c>
      <c r="D6457" t="s">
        <v>110</v>
      </c>
      <c r="E6457" t="s">
        <v>114</v>
      </c>
      <c r="F6457" t="s">
        <v>1255</v>
      </c>
      <c r="G6457" s="1">
        <v>45653</v>
      </c>
      <c r="H6457" s="1">
        <v>45649</v>
      </c>
      <c r="I6457" s="1">
        <v>45653</v>
      </c>
      <c r="J6457">
        <v>550</v>
      </c>
      <c r="K6457">
        <v>-85.2</v>
      </c>
      <c r="L6457">
        <v>0</v>
      </c>
      <c r="M6457">
        <v>0.61965000000000003</v>
      </c>
      <c r="N6457">
        <v>-340.81</v>
      </c>
      <c r="O6457">
        <v>-255.61</v>
      </c>
      <c r="P6457" t="s">
        <v>292</v>
      </c>
    </row>
    <row r="6458" spans="1:16" customFormat="1" x14ac:dyDescent="0.3">
      <c r="A6458" s="12" t="s">
        <v>1243</v>
      </c>
      <c r="B6458" t="s">
        <v>159</v>
      </c>
      <c r="C6458" t="s">
        <v>123</v>
      </c>
      <c r="D6458" t="s">
        <v>110</v>
      </c>
      <c r="E6458" t="s">
        <v>114</v>
      </c>
      <c r="F6458" t="s">
        <v>86</v>
      </c>
      <c r="G6458" s="1">
        <v>45645</v>
      </c>
      <c r="H6458" s="1">
        <v>45646</v>
      </c>
      <c r="I6458" s="1">
        <v>45688</v>
      </c>
      <c r="J6458">
        <v>40</v>
      </c>
      <c r="K6458">
        <v>19.66</v>
      </c>
      <c r="L6458">
        <v>0</v>
      </c>
      <c r="M6458">
        <v>1.9655480000000001</v>
      </c>
      <c r="N6458">
        <v>78.62</v>
      </c>
      <c r="O6458">
        <v>58.96</v>
      </c>
      <c r="P6458" t="s">
        <v>291</v>
      </c>
    </row>
    <row r="6459" spans="1:16" customFormat="1" x14ac:dyDescent="0.3">
      <c r="A6459" s="12" t="s">
        <v>1243</v>
      </c>
      <c r="B6459" t="s">
        <v>159</v>
      </c>
      <c r="C6459" t="s">
        <v>123</v>
      </c>
      <c r="D6459" t="s">
        <v>110</v>
      </c>
      <c r="E6459" t="s">
        <v>114</v>
      </c>
      <c r="F6459" t="s">
        <v>1256</v>
      </c>
      <c r="G6459" s="1">
        <v>45628</v>
      </c>
      <c r="H6459" s="1">
        <v>45629</v>
      </c>
      <c r="I6459" s="1">
        <v>45643</v>
      </c>
      <c r="J6459">
        <v>20</v>
      </c>
      <c r="K6459">
        <v>1</v>
      </c>
      <c r="L6459">
        <v>0</v>
      </c>
      <c r="M6459">
        <v>0.2</v>
      </c>
      <c r="N6459">
        <v>4</v>
      </c>
      <c r="O6459">
        <v>3</v>
      </c>
      <c r="P6459" t="s">
        <v>291</v>
      </c>
    </row>
    <row r="6460" spans="1:16" customFormat="1" x14ac:dyDescent="0.3">
      <c r="A6460" s="12" t="s">
        <v>1243</v>
      </c>
      <c r="B6460" t="s">
        <v>159</v>
      </c>
      <c r="C6460" t="s">
        <v>123</v>
      </c>
      <c r="D6460" t="s">
        <v>110</v>
      </c>
      <c r="E6460" t="s">
        <v>114</v>
      </c>
      <c r="F6460" t="s">
        <v>1256</v>
      </c>
      <c r="G6460" s="1">
        <v>45643</v>
      </c>
      <c r="H6460" s="1">
        <v>45629</v>
      </c>
      <c r="I6460" s="1">
        <v>45643</v>
      </c>
      <c r="J6460">
        <v>20</v>
      </c>
      <c r="K6460">
        <v>-1</v>
      </c>
      <c r="L6460">
        <v>0</v>
      </c>
      <c r="M6460">
        <v>0.2</v>
      </c>
      <c r="N6460">
        <v>-4</v>
      </c>
      <c r="O6460">
        <v>-3</v>
      </c>
      <c r="P6460" t="s">
        <v>292</v>
      </c>
    </row>
    <row r="6461" spans="1:16" customFormat="1" x14ac:dyDescent="0.3">
      <c r="A6461" s="12" t="s">
        <v>1243</v>
      </c>
      <c r="B6461" t="s">
        <v>159</v>
      </c>
      <c r="C6461" t="s">
        <v>123</v>
      </c>
      <c r="D6461" t="s">
        <v>110</v>
      </c>
      <c r="E6461" t="s">
        <v>114</v>
      </c>
      <c r="F6461" t="s">
        <v>1257</v>
      </c>
      <c r="G6461" s="1">
        <v>45646</v>
      </c>
      <c r="H6461" s="1">
        <v>45649</v>
      </c>
      <c r="I6461" s="1">
        <v>45652</v>
      </c>
      <c r="J6461">
        <v>100</v>
      </c>
      <c r="K6461">
        <v>21.39</v>
      </c>
      <c r="L6461">
        <v>0</v>
      </c>
      <c r="M6461">
        <v>0.85550000000000004</v>
      </c>
      <c r="N6461">
        <v>85.55</v>
      </c>
      <c r="O6461">
        <v>64.16</v>
      </c>
      <c r="P6461" t="s">
        <v>291</v>
      </c>
    </row>
    <row r="6462" spans="1:16" customFormat="1" x14ac:dyDescent="0.3">
      <c r="A6462" s="12" t="s">
        <v>1243</v>
      </c>
      <c r="B6462" t="s">
        <v>159</v>
      </c>
      <c r="C6462" t="s">
        <v>123</v>
      </c>
      <c r="D6462" t="s">
        <v>110</v>
      </c>
      <c r="E6462" t="s">
        <v>114</v>
      </c>
      <c r="F6462" t="s">
        <v>1257</v>
      </c>
      <c r="G6462" s="1">
        <v>45652</v>
      </c>
      <c r="H6462" s="1">
        <v>45649</v>
      </c>
      <c r="I6462" s="1">
        <v>45652</v>
      </c>
      <c r="J6462">
        <v>100</v>
      </c>
      <c r="K6462">
        <v>-21.39</v>
      </c>
      <c r="L6462">
        <v>0</v>
      </c>
      <c r="M6462">
        <v>0.85550000000000004</v>
      </c>
      <c r="N6462">
        <v>-85.55</v>
      </c>
      <c r="O6462">
        <v>-64.16</v>
      </c>
      <c r="P6462" t="s">
        <v>292</v>
      </c>
    </row>
    <row r="6463" spans="1:16" customFormat="1" x14ac:dyDescent="0.3">
      <c r="A6463" s="12" t="s">
        <v>1243</v>
      </c>
      <c r="B6463" t="s">
        <v>159</v>
      </c>
      <c r="C6463" t="s">
        <v>123</v>
      </c>
      <c r="D6463" t="s">
        <v>110</v>
      </c>
      <c r="E6463" t="s">
        <v>114</v>
      </c>
      <c r="F6463" t="s">
        <v>1258</v>
      </c>
      <c r="G6463" s="1">
        <v>45646</v>
      </c>
      <c r="H6463" s="1">
        <v>45649</v>
      </c>
      <c r="I6463" s="1">
        <v>45652</v>
      </c>
      <c r="J6463">
        <v>60</v>
      </c>
      <c r="K6463">
        <v>26.08</v>
      </c>
      <c r="L6463">
        <v>0</v>
      </c>
      <c r="M6463">
        <v>1.7384999999999999</v>
      </c>
      <c r="N6463">
        <v>104.31</v>
      </c>
      <c r="O6463">
        <v>78.23</v>
      </c>
      <c r="P6463" t="s">
        <v>291</v>
      </c>
    </row>
    <row r="6464" spans="1:16" customFormat="1" x14ac:dyDescent="0.3">
      <c r="A6464" s="12" t="s">
        <v>1243</v>
      </c>
      <c r="B6464" t="s">
        <v>159</v>
      </c>
      <c r="C6464" t="s">
        <v>123</v>
      </c>
      <c r="D6464" t="s">
        <v>110</v>
      </c>
      <c r="E6464" t="s">
        <v>114</v>
      </c>
      <c r="F6464" t="s">
        <v>1258</v>
      </c>
      <c r="G6464" s="1">
        <v>45652</v>
      </c>
      <c r="H6464" s="1">
        <v>45649</v>
      </c>
      <c r="I6464" s="1">
        <v>45652</v>
      </c>
      <c r="J6464">
        <v>60</v>
      </c>
      <c r="K6464">
        <v>-26.08</v>
      </c>
      <c r="L6464">
        <v>0</v>
      </c>
      <c r="M6464">
        <v>1.7384999999999999</v>
      </c>
      <c r="N6464">
        <v>-104.31</v>
      </c>
      <c r="O6464">
        <v>-78.23</v>
      </c>
      <c r="P6464" t="s">
        <v>292</v>
      </c>
    </row>
    <row r="6465" spans="1:16" customFormat="1" x14ac:dyDescent="0.3">
      <c r="A6465" s="12" t="s">
        <v>1243</v>
      </c>
      <c r="B6465" t="s">
        <v>159</v>
      </c>
      <c r="C6465" t="s">
        <v>123</v>
      </c>
      <c r="D6465" t="s">
        <v>110</v>
      </c>
      <c r="E6465" t="s">
        <v>114</v>
      </c>
      <c r="F6465" t="s">
        <v>1156</v>
      </c>
      <c r="G6465" s="1">
        <v>45646</v>
      </c>
      <c r="H6465" s="1">
        <v>45649</v>
      </c>
      <c r="I6465" s="1">
        <v>45652</v>
      </c>
      <c r="J6465">
        <v>70</v>
      </c>
      <c r="K6465">
        <v>7.78</v>
      </c>
      <c r="L6465">
        <v>0</v>
      </c>
      <c r="M6465">
        <v>0.44430900000000001</v>
      </c>
      <c r="N6465">
        <v>31.1</v>
      </c>
      <c r="O6465">
        <v>23.32</v>
      </c>
      <c r="P6465" t="s">
        <v>291</v>
      </c>
    </row>
    <row r="6466" spans="1:16" customFormat="1" x14ac:dyDescent="0.3">
      <c r="A6466" s="12" t="s">
        <v>1243</v>
      </c>
      <c r="B6466" t="s">
        <v>159</v>
      </c>
      <c r="C6466" t="s">
        <v>123</v>
      </c>
      <c r="D6466" t="s">
        <v>110</v>
      </c>
      <c r="E6466" t="s">
        <v>114</v>
      </c>
      <c r="F6466" t="s">
        <v>1156</v>
      </c>
      <c r="G6466" s="1">
        <v>45652</v>
      </c>
      <c r="H6466" s="1">
        <v>45649</v>
      </c>
      <c r="I6466" s="1">
        <v>45652</v>
      </c>
      <c r="J6466">
        <v>70</v>
      </c>
      <c r="K6466">
        <v>-7.78</v>
      </c>
      <c r="L6466">
        <v>0</v>
      </c>
      <c r="M6466">
        <v>0.44430900000000001</v>
      </c>
      <c r="N6466">
        <v>-31.1</v>
      </c>
      <c r="O6466">
        <v>-23.32</v>
      </c>
      <c r="P6466" t="s">
        <v>292</v>
      </c>
    </row>
    <row r="6467" spans="1:16" customFormat="1" x14ac:dyDescent="0.3">
      <c r="A6467" s="12" t="s">
        <v>1243</v>
      </c>
      <c r="B6467" t="s">
        <v>159</v>
      </c>
      <c r="C6467" t="s">
        <v>123</v>
      </c>
      <c r="D6467" t="s">
        <v>110</v>
      </c>
      <c r="E6467" t="s">
        <v>114</v>
      </c>
      <c r="F6467" t="s">
        <v>62</v>
      </c>
      <c r="G6467" s="1">
        <v>45646</v>
      </c>
      <c r="H6467" s="1">
        <v>45649</v>
      </c>
      <c r="I6467" s="1">
        <v>45652</v>
      </c>
      <c r="J6467">
        <v>200</v>
      </c>
      <c r="K6467">
        <v>10.31</v>
      </c>
      <c r="L6467">
        <v>0</v>
      </c>
      <c r="M6467">
        <v>0.20624500000000001</v>
      </c>
      <c r="N6467">
        <v>41.25</v>
      </c>
      <c r="O6467">
        <v>30.94</v>
      </c>
      <c r="P6467" t="s">
        <v>291</v>
      </c>
    </row>
    <row r="6468" spans="1:16" customFormat="1" x14ac:dyDescent="0.3">
      <c r="A6468" s="12" t="s">
        <v>1243</v>
      </c>
      <c r="B6468" t="s">
        <v>159</v>
      </c>
      <c r="C6468" t="s">
        <v>123</v>
      </c>
      <c r="D6468" t="s">
        <v>110</v>
      </c>
      <c r="E6468" t="s">
        <v>114</v>
      </c>
      <c r="F6468" t="s">
        <v>62</v>
      </c>
      <c r="G6468" s="1">
        <v>45652</v>
      </c>
      <c r="H6468" s="1">
        <v>45649</v>
      </c>
      <c r="I6468" s="1">
        <v>45652</v>
      </c>
      <c r="J6468">
        <v>200</v>
      </c>
      <c r="K6468">
        <v>-10.31</v>
      </c>
      <c r="L6468">
        <v>0</v>
      </c>
      <c r="M6468">
        <v>0.20624500000000001</v>
      </c>
      <c r="N6468">
        <v>-41.25</v>
      </c>
      <c r="O6468">
        <v>-30.94</v>
      </c>
      <c r="P6468" t="s">
        <v>292</v>
      </c>
    </row>
    <row r="6469" spans="1:16" customFormat="1" x14ac:dyDescent="0.3">
      <c r="A6469" s="12" t="s">
        <v>1243</v>
      </c>
      <c r="B6469" t="s">
        <v>159</v>
      </c>
      <c r="C6469" t="s">
        <v>123</v>
      </c>
      <c r="D6469" t="s">
        <v>110</v>
      </c>
      <c r="E6469" t="s">
        <v>114</v>
      </c>
      <c r="F6469" t="s">
        <v>41</v>
      </c>
      <c r="G6469" s="1">
        <v>45646</v>
      </c>
      <c r="H6469" s="1">
        <v>45649</v>
      </c>
      <c r="I6469" s="1">
        <v>45653</v>
      </c>
      <c r="J6469">
        <v>849</v>
      </c>
      <c r="K6469">
        <v>19.05</v>
      </c>
      <c r="L6469">
        <v>0</v>
      </c>
      <c r="M6469">
        <v>8.9760000000000006E-2</v>
      </c>
      <c r="N6469">
        <v>76.209999999999994</v>
      </c>
      <c r="O6469">
        <v>57.16</v>
      </c>
      <c r="P6469" t="s">
        <v>291</v>
      </c>
    </row>
    <row r="6470" spans="1:16" customFormat="1" x14ac:dyDescent="0.3">
      <c r="A6470" s="12" t="s">
        <v>1243</v>
      </c>
      <c r="B6470" t="s">
        <v>159</v>
      </c>
      <c r="C6470" t="s">
        <v>123</v>
      </c>
      <c r="D6470" t="s">
        <v>110</v>
      </c>
      <c r="E6470" t="s">
        <v>114</v>
      </c>
      <c r="F6470" t="s">
        <v>41</v>
      </c>
      <c r="G6470" s="1">
        <v>45653</v>
      </c>
      <c r="H6470" s="1">
        <v>45649</v>
      </c>
      <c r="I6470" s="1">
        <v>45653</v>
      </c>
      <c r="J6470">
        <v>849</v>
      </c>
      <c r="K6470">
        <v>-19.05</v>
      </c>
      <c r="L6470">
        <v>0</v>
      </c>
      <c r="M6470">
        <v>8.9760000000000006E-2</v>
      </c>
      <c r="N6470">
        <v>-76.209999999999994</v>
      </c>
      <c r="O6470">
        <v>-57.16</v>
      </c>
      <c r="P6470" t="s">
        <v>292</v>
      </c>
    </row>
    <row r="6471" spans="1:16" customFormat="1" x14ac:dyDescent="0.3">
      <c r="A6471" s="12" t="s">
        <v>1243</v>
      </c>
      <c r="B6471" t="s">
        <v>159</v>
      </c>
      <c r="C6471" t="s">
        <v>123</v>
      </c>
      <c r="D6471" t="s">
        <v>110</v>
      </c>
      <c r="E6471" t="s">
        <v>114</v>
      </c>
      <c r="F6471" t="s">
        <v>79</v>
      </c>
      <c r="G6471" s="1">
        <v>45646</v>
      </c>
      <c r="H6471" s="1">
        <v>45649</v>
      </c>
      <c r="I6471" s="1">
        <v>45652</v>
      </c>
      <c r="J6471">
        <v>80</v>
      </c>
      <c r="K6471">
        <v>13.4</v>
      </c>
      <c r="L6471">
        <v>0</v>
      </c>
      <c r="M6471">
        <v>0.67013199999999995</v>
      </c>
      <c r="N6471">
        <v>53.61</v>
      </c>
      <c r="O6471">
        <v>40.21</v>
      </c>
      <c r="P6471" t="s">
        <v>291</v>
      </c>
    </row>
    <row r="6472" spans="1:16" customFormat="1" x14ac:dyDescent="0.3">
      <c r="A6472" s="12" t="s">
        <v>1243</v>
      </c>
      <c r="B6472" t="s">
        <v>159</v>
      </c>
      <c r="C6472" t="s">
        <v>123</v>
      </c>
      <c r="D6472" t="s">
        <v>110</v>
      </c>
      <c r="E6472" t="s">
        <v>114</v>
      </c>
      <c r="F6472" t="s">
        <v>79</v>
      </c>
      <c r="G6472" s="1">
        <v>45652</v>
      </c>
      <c r="H6472" s="1">
        <v>45649</v>
      </c>
      <c r="I6472" s="1">
        <v>45652</v>
      </c>
      <c r="J6472">
        <v>80</v>
      </c>
      <c r="K6472">
        <v>-13.4</v>
      </c>
      <c r="L6472">
        <v>0</v>
      </c>
      <c r="M6472">
        <v>0.67013199999999995</v>
      </c>
      <c r="N6472">
        <v>-53.61</v>
      </c>
      <c r="O6472">
        <v>-40.21</v>
      </c>
      <c r="P6472" t="s">
        <v>292</v>
      </c>
    </row>
    <row r="6473" spans="1:16" customFormat="1" x14ac:dyDescent="0.3">
      <c r="A6473" s="12" t="s">
        <v>1243</v>
      </c>
      <c r="B6473" t="s">
        <v>159</v>
      </c>
      <c r="C6473" t="s">
        <v>123</v>
      </c>
      <c r="D6473" t="s">
        <v>110</v>
      </c>
      <c r="E6473" t="s">
        <v>114</v>
      </c>
      <c r="F6473" t="s">
        <v>42</v>
      </c>
      <c r="G6473" s="1">
        <v>45646</v>
      </c>
      <c r="H6473" s="1">
        <v>45649</v>
      </c>
      <c r="I6473" s="1">
        <v>45652</v>
      </c>
      <c r="J6473">
        <v>200</v>
      </c>
      <c r="K6473">
        <v>19.3</v>
      </c>
      <c r="L6473">
        <v>0</v>
      </c>
      <c r="M6473">
        <v>0.38595699999999999</v>
      </c>
      <c r="N6473">
        <v>77.19</v>
      </c>
      <c r="O6473">
        <v>57.89</v>
      </c>
      <c r="P6473" t="s">
        <v>291</v>
      </c>
    </row>
    <row r="6474" spans="1:16" customFormat="1" x14ac:dyDescent="0.3">
      <c r="A6474" s="12" t="s">
        <v>1243</v>
      </c>
      <c r="B6474" t="s">
        <v>159</v>
      </c>
      <c r="C6474" t="s">
        <v>123</v>
      </c>
      <c r="D6474" t="s">
        <v>110</v>
      </c>
      <c r="E6474" t="s">
        <v>114</v>
      </c>
      <c r="F6474" t="s">
        <v>42</v>
      </c>
      <c r="G6474" s="1">
        <v>45652</v>
      </c>
      <c r="H6474" s="1">
        <v>45649</v>
      </c>
      <c r="I6474" s="1">
        <v>45652</v>
      </c>
      <c r="J6474">
        <v>200</v>
      </c>
      <c r="K6474">
        <v>-19.3</v>
      </c>
      <c r="L6474">
        <v>0</v>
      </c>
      <c r="M6474">
        <v>0.38595699999999999</v>
      </c>
      <c r="N6474">
        <v>-77.19</v>
      </c>
      <c r="O6474">
        <v>-57.89</v>
      </c>
      <c r="P6474" t="s">
        <v>292</v>
      </c>
    </row>
    <row r="6475" spans="1:16" customFormat="1" x14ac:dyDescent="0.3">
      <c r="A6475" s="12" t="s">
        <v>1243</v>
      </c>
      <c r="B6475" t="s">
        <v>159</v>
      </c>
      <c r="C6475" t="s">
        <v>123</v>
      </c>
      <c r="D6475" t="s">
        <v>110</v>
      </c>
      <c r="E6475" t="s">
        <v>114</v>
      </c>
      <c r="F6475" t="s">
        <v>43</v>
      </c>
      <c r="G6475" s="1">
        <v>45646</v>
      </c>
      <c r="H6475" s="1">
        <v>45649</v>
      </c>
      <c r="I6475" s="1">
        <v>45652</v>
      </c>
      <c r="J6475">
        <v>330</v>
      </c>
      <c r="K6475">
        <v>51.81</v>
      </c>
      <c r="L6475">
        <v>0</v>
      </c>
      <c r="M6475">
        <v>0.62798900000000002</v>
      </c>
      <c r="N6475">
        <v>207.24</v>
      </c>
      <c r="O6475">
        <v>155.43</v>
      </c>
      <c r="P6475" t="s">
        <v>291</v>
      </c>
    </row>
    <row r="6476" spans="1:16" customFormat="1" x14ac:dyDescent="0.3">
      <c r="A6476" s="12" t="s">
        <v>1243</v>
      </c>
      <c r="B6476" t="s">
        <v>159</v>
      </c>
      <c r="C6476" t="s">
        <v>123</v>
      </c>
      <c r="D6476" t="s">
        <v>110</v>
      </c>
      <c r="E6476" t="s">
        <v>114</v>
      </c>
      <c r="F6476" t="s">
        <v>43</v>
      </c>
      <c r="G6476" s="1">
        <v>45652</v>
      </c>
      <c r="H6476" s="1">
        <v>45649</v>
      </c>
      <c r="I6476" s="1">
        <v>45652</v>
      </c>
      <c r="J6476">
        <v>330</v>
      </c>
      <c r="K6476">
        <v>-51.81</v>
      </c>
      <c r="L6476">
        <v>0</v>
      </c>
      <c r="M6476">
        <v>0.62798900000000002</v>
      </c>
      <c r="N6476">
        <v>-207.24</v>
      </c>
      <c r="O6476">
        <v>-155.43</v>
      </c>
      <c r="P6476" t="s">
        <v>292</v>
      </c>
    </row>
    <row r="6477" spans="1:16" customFormat="1" x14ac:dyDescent="0.3">
      <c r="A6477" s="12" t="s">
        <v>1243</v>
      </c>
      <c r="B6477" t="s">
        <v>159</v>
      </c>
      <c r="C6477" t="s">
        <v>123</v>
      </c>
      <c r="D6477" t="s">
        <v>110</v>
      </c>
      <c r="E6477" t="s">
        <v>114</v>
      </c>
      <c r="F6477" t="s">
        <v>44</v>
      </c>
      <c r="G6477" s="1">
        <v>45646</v>
      </c>
      <c r="H6477" s="1">
        <v>45649</v>
      </c>
      <c r="I6477" s="1">
        <v>45652</v>
      </c>
      <c r="J6477">
        <v>60</v>
      </c>
      <c r="K6477">
        <v>9.33</v>
      </c>
      <c r="L6477">
        <v>0</v>
      </c>
      <c r="M6477">
        <v>0.62165499999999996</v>
      </c>
      <c r="N6477">
        <v>37.299999999999997</v>
      </c>
      <c r="O6477">
        <v>27.97</v>
      </c>
      <c r="P6477" t="s">
        <v>291</v>
      </c>
    </row>
    <row r="6478" spans="1:16" customFormat="1" x14ac:dyDescent="0.3">
      <c r="A6478" s="12" t="s">
        <v>1243</v>
      </c>
      <c r="B6478" t="s">
        <v>159</v>
      </c>
      <c r="C6478" t="s">
        <v>123</v>
      </c>
      <c r="D6478" t="s">
        <v>110</v>
      </c>
      <c r="E6478" t="s">
        <v>114</v>
      </c>
      <c r="F6478" t="s">
        <v>44</v>
      </c>
      <c r="G6478" s="1">
        <v>45652</v>
      </c>
      <c r="H6478" s="1">
        <v>45649</v>
      </c>
      <c r="I6478" s="1">
        <v>45652</v>
      </c>
      <c r="J6478">
        <v>60</v>
      </c>
      <c r="K6478">
        <v>-9.33</v>
      </c>
      <c r="L6478">
        <v>0</v>
      </c>
      <c r="M6478">
        <v>0.62165499999999996</v>
      </c>
      <c r="N6478">
        <v>-37.299999999999997</v>
      </c>
      <c r="O6478">
        <v>-27.97</v>
      </c>
      <c r="P6478" t="s">
        <v>292</v>
      </c>
    </row>
    <row r="6479" spans="1:16" customFormat="1" x14ac:dyDescent="0.3">
      <c r="A6479" s="12" t="s">
        <v>1243</v>
      </c>
      <c r="B6479" t="s">
        <v>159</v>
      </c>
      <c r="C6479" t="s">
        <v>123</v>
      </c>
      <c r="D6479" t="s">
        <v>110</v>
      </c>
      <c r="E6479" t="s">
        <v>114</v>
      </c>
      <c r="F6479" t="s">
        <v>84</v>
      </c>
      <c r="G6479" s="1">
        <v>45646</v>
      </c>
      <c r="H6479" s="1">
        <v>45649</v>
      </c>
      <c r="I6479" s="1">
        <v>45652</v>
      </c>
      <c r="J6479">
        <v>50</v>
      </c>
      <c r="K6479">
        <v>5.42</v>
      </c>
      <c r="L6479">
        <v>0</v>
      </c>
      <c r="M6479">
        <v>0.43312800000000001</v>
      </c>
      <c r="N6479">
        <v>21.66</v>
      </c>
      <c r="O6479">
        <v>16.239999999999998</v>
      </c>
      <c r="P6479" t="s">
        <v>291</v>
      </c>
    </row>
    <row r="6480" spans="1:16" customFormat="1" x14ac:dyDescent="0.3">
      <c r="A6480" s="12" t="s">
        <v>1243</v>
      </c>
      <c r="B6480" t="s">
        <v>159</v>
      </c>
      <c r="C6480" t="s">
        <v>123</v>
      </c>
      <c r="D6480" t="s">
        <v>110</v>
      </c>
      <c r="E6480" t="s">
        <v>114</v>
      </c>
      <c r="F6480" t="s">
        <v>84</v>
      </c>
      <c r="G6480" s="1">
        <v>45652</v>
      </c>
      <c r="H6480" s="1">
        <v>45649</v>
      </c>
      <c r="I6480" s="1">
        <v>45652</v>
      </c>
      <c r="J6480">
        <v>50</v>
      </c>
      <c r="K6480">
        <v>-5.42</v>
      </c>
      <c r="L6480">
        <v>0</v>
      </c>
      <c r="M6480">
        <v>0.43312800000000001</v>
      </c>
      <c r="N6480">
        <v>-21.66</v>
      </c>
      <c r="O6480">
        <v>-16.239999999999998</v>
      </c>
      <c r="P6480" t="s">
        <v>292</v>
      </c>
    </row>
    <row r="6481" spans="1:15" customFormat="1" x14ac:dyDescent="0.3">
      <c r="A6481" s="12" t="s">
        <v>1243</v>
      </c>
      <c r="B6481" t="s">
        <v>159</v>
      </c>
      <c r="C6481" t="s">
        <v>123</v>
      </c>
      <c r="D6481" t="s">
        <v>97</v>
      </c>
      <c r="K6481">
        <v>28.03</v>
      </c>
      <c r="L6481">
        <v>0</v>
      </c>
      <c r="N6481">
        <v>112.09</v>
      </c>
      <c r="O6481">
        <v>84.06</v>
      </c>
    </row>
    <row r="6482" spans="1:15" customFormat="1" x14ac:dyDescent="0.3">
      <c r="A6482" s="12" t="s">
        <v>1243</v>
      </c>
      <c r="B6482" t="s">
        <v>159</v>
      </c>
      <c r="C6482" t="s">
        <v>123</v>
      </c>
      <c r="D6482" t="s">
        <v>293</v>
      </c>
      <c r="O6482">
        <v>123.79</v>
      </c>
    </row>
    <row r="6483" spans="1:15" customFormat="1" x14ac:dyDescent="0.3">
      <c r="A6483" s="12" t="s">
        <v>1243</v>
      </c>
      <c r="B6483" t="s">
        <v>294</v>
      </c>
      <c r="C6483" t="s">
        <v>120</v>
      </c>
      <c r="D6483" t="s">
        <v>100</v>
      </c>
      <c r="E6483" t="s">
        <v>0</v>
      </c>
      <c r="F6483" t="s">
        <v>269</v>
      </c>
      <c r="G6483" t="s">
        <v>295</v>
      </c>
      <c r="H6483" t="s">
        <v>296</v>
      </c>
      <c r="I6483" t="s">
        <v>1235</v>
      </c>
      <c r="J6483" t="s">
        <v>297</v>
      </c>
      <c r="K6483" t="s">
        <v>298</v>
      </c>
      <c r="L6483" t="s">
        <v>299</v>
      </c>
      <c r="M6483" t="s">
        <v>165</v>
      </c>
    </row>
    <row r="6484" spans="1:15" customFormat="1" x14ac:dyDescent="0.3">
      <c r="A6484" s="12" t="s">
        <v>1243</v>
      </c>
      <c r="B6484" t="s">
        <v>294</v>
      </c>
      <c r="C6484" t="s">
        <v>123</v>
      </c>
      <c r="D6484" t="s">
        <v>110</v>
      </c>
      <c r="E6484" t="s">
        <v>45</v>
      </c>
      <c r="F6484" t="s">
        <v>692</v>
      </c>
      <c r="G6484">
        <v>4391</v>
      </c>
      <c r="H6484" t="s">
        <v>693</v>
      </c>
      <c r="I6484" t="s">
        <v>45</v>
      </c>
      <c r="J6484" t="s">
        <v>302</v>
      </c>
      <c r="K6484">
        <v>1</v>
      </c>
      <c r="L6484" t="s">
        <v>303</v>
      </c>
    </row>
    <row r="6485" spans="1:15" customFormat="1" x14ac:dyDescent="0.3">
      <c r="A6485" s="12" t="s">
        <v>1243</v>
      </c>
      <c r="B6485" t="s">
        <v>294</v>
      </c>
      <c r="C6485" t="s">
        <v>123</v>
      </c>
      <c r="D6485" t="s">
        <v>110</v>
      </c>
      <c r="E6485" t="s">
        <v>4</v>
      </c>
      <c r="F6485" t="s">
        <v>304</v>
      </c>
      <c r="G6485">
        <v>99831145</v>
      </c>
      <c r="H6485" t="s">
        <v>305</v>
      </c>
      <c r="I6485" t="s">
        <v>4</v>
      </c>
      <c r="J6485" t="s">
        <v>306</v>
      </c>
      <c r="K6485">
        <v>1</v>
      </c>
      <c r="L6485" t="s">
        <v>307</v>
      </c>
    </row>
    <row r="6486" spans="1:15" customFormat="1" x14ac:dyDescent="0.3">
      <c r="A6486" s="12" t="s">
        <v>1243</v>
      </c>
      <c r="B6486" t="s">
        <v>294</v>
      </c>
      <c r="C6486" t="s">
        <v>123</v>
      </c>
      <c r="D6486" t="s">
        <v>110</v>
      </c>
      <c r="E6486" t="s">
        <v>7</v>
      </c>
      <c r="F6486" t="s">
        <v>312</v>
      </c>
      <c r="G6486">
        <v>313130367</v>
      </c>
      <c r="H6486" t="s">
        <v>313</v>
      </c>
      <c r="I6486" t="s">
        <v>7</v>
      </c>
      <c r="J6486" t="s">
        <v>302</v>
      </c>
      <c r="K6486">
        <v>1</v>
      </c>
      <c r="L6486" t="s">
        <v>303</v>
      </c>
    </row>
    <row r="6487" spans="1:15" customFormat="1" x14ac:dyDescent="0.3">
      <c r="A6487" s="12" t="s">
        <v>1243</v>
      </c>
      <c r="B6487" t="s">
        <v>294</v>
      </c>
      <c r="C6487" t="s">
        <v>123</v>
      </c>
      <c r="D6487" t="s">
        <v>110</v>
      </c>
      <c r="E6487" t="s">
        <v>1373</v>
      </c>
      <c r="F6487" t="s">
        <v>1418</v>
      </c>
      <c r="G6487">
        <v>268084</v>
      </c>
      <c r="H6487" t="s">
        <v>1419</v>
      </c>
      <c r="I6487" t="s">
        <v>1373</v>
      </c>
      <c r="J6487" t="s">
        <v>302</v>
      </c>
      <c r="K6487">
        <v>1</v>
      </c>
      <c r="L6487" t="s">
        <v>303</v>
      </c>
    </row>
    <row r="6488" spans="1:15" customFormat="1" x14ac:dyDescent="0.3">
      <c r="A6488" s="12" t="s">
        <v>1243</v>
      </c>
      <c r="B6488" t="s">
        <v>294</v>
      </c>
      <c r="C6488" t="s">
        <v>123</v>
      </c>
      <c r="D6488" t="s">
        <v>110</v>
      </c>
      <c r="E6488" t="s">
        <v>1155</v>
      </c>
      <c r="F6488" t="s">
        <v>1236</v>
      </c>
      <c r="G6488">
        <v>346218218</v>
      </c>
      <c r="H6488" t="s">
        <v>1237</v>
      </c>
      <c r="I6488" t="s">
        <v>1155</v>
      </c>
      <c r="J6488" t="s">
        <v>306</v>
      </c>
      <c r="K6488">
        <v>1</v>
      </c>
      <c r="L6488" t="s">
        <v>303</v>
      </c>
    </row>
    <row r="6489" spans="1:15" customFormat="1" x14ac:dyDescent="0.3">
      <c r="A6489" s="12" t="s">
        <v>1243</v>
      </c>
      <c r="B6489" t="s">
        <v>294</v>
      </c>
      <c r="C6489" t="s">
        <v>123</v>
      </c>
      <c r="D6489" t="s">
        <v>110</v>
      </c>
      <c r="E6489" t="s">
        <v>1427</v>
      </c>
      <c r="F6489" t="s">
        <v>1493</v>
      </c>
      <c r="G6489">
        <v>181764593</v>
      </c>
      <c r="H6489" t="s">
        <v>1494</v>
      </c>
      <c r="I6489" t="s">
        <v>1427</v>
      </c>
      <c r="J6489" t="s">
        <v>302</v>
      </c>
      <c r="K6489">
        <v>1</v>
      </c>
      <c r="L6489" t="s">
        <v>307</v>
      </c>
    </row>
    <row r="6490" spans="1:15" customFormat="1" x14ac:dyDescent="0.3">
      <c r="A6490" s="12" t="s">
        <v>1243</v>
      </c>
      <c r="B6490" t="s">
        <v>294</v>
      </c>
      <c r="C6490" t="s">
        <v>123</v>
      </c>
      <c r="D6490" t="s">
        <v>110</v>
      </c>
      <c r="E6490" t="s">
        <v>48</v>
      </c>
      <c r="F6490" t="s">
        <v>1238</v>
      </c>
      <c r="G6490">
        <v>498843743</v>
      </c>
      <c r="H6490" t="s">
        <v>699</v>
      </c>
      <c r="I6490" t="s">
        <v>48</v>
      </c>
      <c r="J6490" t="s">
        <v>306</v>
      </c>
      <c r="K6490">
        <v>1</v>
      </c>
      <c r="L6490" t="s">
        <v>303</v>
      </c>
    </row>
    <row r="6491" spans="1:15" customFormat="1" x14ac:dyDescent="0.3">
      <c r="A6491" s="12" t="s">
        <v>1243</v>
      </c>
      <c r="B6491" t="s">
        <v>294</v>
      </c>
      <c r="C6491" t="s">
        <v>123</v>
      </c>
      <c r="D6491" t="s">
        <v>110</v>
      </c>
      <c r="E6491" t="s">
        <v>54</v>
      </c>
      <c r="F6491" t="s">
        <v>761</v>
      </c>
      <c r="G6491">
        <v>691984365</v>
      </c>
      <c r="H6491" t="s">
        <v>762</v>
      </c>
      <c r="I6491" t="s">
        <v>54</v>
      </c>
      <c r="J6491" t="s">
        <v>306</v>
      </c>
      <c r="K6491">
        <v>1</v>
      </c>
      <c r="L6491" t="s">
        <v>303</v>
      </c>
    </row>
    <row r="6492" spans="1:15" customFormat="1" x14ac:dyDescent="0.3">
      <c r="A6492" s="12" t="s">
        <v>1243</v>
      </c>
      <c r="B6492" t="s">
        <v>294</v>
      </c>
      <c r="C6492" t="s">
        <v>123</v>
      </c>
      <c r="D6492" t="s">
        <v>110</v>
      </c>
      <c r="E6492" t="s">
        <v>19</v>
      </c>
      <c r="F6492" t="s">
        <v>338</v>
      </c>
      <c r="G6492">
        <v>208813719</v>
      </c>
      <c r="H6492" t="s">
        <v>339</v>
      </c>
      <c r="I6492" t="s">
        <v>19</v>
      </c>
      <c r="J6492" t="s">
        <v>302</v>
      </c>
      <c r="K6492">
        <v>1</v>
      </c>
      <c r="L6492" t="s">
        <v>303</v>
      </c>
    </row>
    <row r="6493" spans="1:15" customFormat="1" x14ac:dyDescent="0.3">
      <c r="A6493" s="12" t="s">
        <v>1243</v>
      </c>
      <c r="B6493" t="s">
        <v>294</v>
      </c>
      <c r="C6493" t="s">
        <v>123</v>
      </c>
      <c r="D6493" t="s">
        <v>110</v>
      </c>
      <c r="E6493" t="s">
        <v>1428</v>
      </c>
      <c r="F6493" t="s">
        <v>1495</v>
      </c>
      <c r="G6493">
        <v>209411798</v>
      </c>
      <c r="H6493" t="s">
        <v>1496</v>
      </c>
      <c r="I6493" t="s">
        <v>1428</v>
      </c>
      <c r="J6493" t="s">
        <v>306</v>
      </c>
      <c r="K6493">
        <v>1</v>
      </c>
      <c r="L6493" t="s">
        <v>303</v>
      </c>
    </row>
    <row r="6494" spans="1:15" customFormat="1" x14ac:dyDescent="0.3">
      <c r="A6494" s="12" t="s">
        <v>1243</v>
      </c>
      <c r="B6494" t="s">
        <v>294</v>
      </c>
      <c r="C6494" t="s">
        <v>123</v>
      </c>
      <c r="D6494" t="s">
        <v>110</v>
      </c>
      <c r="E6494" t="s">
        <v>1374</v>
      </c>
      <c r="F6494" t="s">
        <v>1420</v>
      </c>
      <c r="G6494">
        <v>180350774</v>
      </c>
      <c r="H6494" t="s">
        <v>1421</v>
      </c>
      <c r="I6494" t="s">
        <v>1374</v>
      </c>
      <c r="J6494" t="s">
        <v>306</v>
      </c>
      <c r="K6494">
        <v>1</v>
      </c>
      <c r="L6494" t="s">
        <v>307</v>
      </c>
    </row>
    <row r="6495" spans="1:15" customFormat="1" x14ac:dyDescent="0.3">
      <c r="A6495" s="12" t="s">
        <v>1243</v>
      </c>
      <c r="B6495" t="s">
        <v>294</v>
      </c>
      <c r="C6495" t="s">
        <v>123</v>
      </c>
      <c r="D6495" t="s">
        <v>110</v>
      </c>
      <c r="E6495" t="s">
        <v>1253</v>
      </c>
      <c r="F6495" t="s">
        <v>1346</v>
      </c>
      <c r="G6495">
        <v>39046959</v>
      </c>
      <c r="H6495" t="s">
        <v>1347</v>
      </c>
      <c r="I6495" t="s">
        <v>1253</v>
      </c>
      <c r="J6495" t="s">
        <v>1348</v>
      </c>
      <c r="K6495">
        <v>1</v>
      </c>
      <c r="L6495" t="s">
        <v>413</v>
      </c>
    </row>
    <row r="6496" spans="1:15" customFormat="1" x14ac:dyDescent="0.3">
      <c r="A6496" s="12" t="s">
        <v>1243</v>
      </c>
      <c r="B6496" t="s">
        <v>294</v>
      </c>
      <c r="C6496" t="s">
        <v>123</v>
      </c>
      <c r="D6496" t="s">
        <v>110</v>
      </c>
      <c r="E6496" t="s">
        <v>1254</v>
      </c>
      <c r="F6496" t="s">
        <v>1349</v>
      </c>
      <c r="G6496">
        <v>9579970</v>
      </c>
      <c r="H6496" t="s">
        <v>1350</v>
      </c>
      <c r="I6496" t="s">
        <v>1254</v>
      </c>
      <c r="J6496" t="s">
        <v>623</v>
      </c>
      <c r="K6496">
        <v>1</v>
      </c>
      <c r="L6496" t="s">
        <v>413</v>
      </c>
    </row>
    <row r="6497" spans="1:12" customFormat="1" x14ac:dyDescent="0.3">
      <c r="A6497" s="12" t="s">
        <v>1243</v>
      </c>
      <c r="B6497" t="s">
        <v>294</v>
      </c>
      <c r="C6497" t="s">
        <v>123</v>
      </c>
      <c r="D6497" t="s">
        <v>110</v>
      </c>
      <c r="E6497" t="s">
        <v>70</v>
      </c>
      <c r="F6497" t="s">
        <v>954</v>
      </c>
      <c r="G6497">
        <v>1520593</v>
      </c>
      <c r="H6497" t="s">
        <v>955</v>
      </c>
      <c r="I6497" t="s">
        <v>70</v>
      </c>
      <c r="J6497" t="s">
        <v>306</v>
      </c>
      <c r="K6497">
        <v>1</v>
      </c>
      <c r="L6497" t="s">
        <v>303</v>
      </c>
    </row>
    <row r="6498" spans="1:12" customFormat="1" x14ac:dyDescent="0.3">
      <c r="A6498" s="12" t="s">
        <v>1243</v>
      </c>
      <c r="B6498" t="s">
        <v>294</v>
      </c>
      <c r="C6498" t="s">
        <v>123</v>
      </c>
      <c r="D6498" t="s">
        <v>110</v>
      </c>
      <c r="E6498" t="s">
        <v>49</v>
      </c>
      <c r="F6498" t="s">
        <v>700</v>
      </c>
      <c r="G6498">
        <v>9160</v>
      </c>
      <c r="H6498" t="s">
        <v>701</v>
      </c>
      <c r="I6498" t="s">
        <v>49</v>
      </c>
      <c r="J6498" t="s">
        <v>306</v>
      </c>
      <c r="K6498">
        <v>1</v>
      </c>
      <c r="L6498" t="s">
        <v>303</v>
      </c>
    </row>
    <row r="6499" spans="1:12" customFormat="1" x14ac:dyDescent="0.3">
      <c r="A6499" s="12" t="s">
        <v>1243</v>
      </c>
      <c r="B6499" t="s">
        <v>294</v>
      </c>
      <c r="C6499" t="s">
        <v>123</v>
      </c>
      <c r="D6499" t="s">
        <v>110</v>
      </c>
      <c r="E6499" t="s">
        <v>1375</v>
      </c>
      <c r="F6499" t="s">
        <v>1422</v>
      </c>
      <c r="G6499">
        <v>483492393</v>
      </c>
      <c r="H6499" t="s">
        <v>1423</v>
      </c>
      <c r="I6499" t="s">
        <v>1375</v>
      </c>
      <c r="J6499" t="s">
        <v>302</v>
      </c>
      <c r="K6499">
        <v>1</v>
      </c>
      <c r="L6499" t="s">
        <v>303</v>
      </c>
    </row>
    <row r="6500" spans="1:12" customFormat="1" x14ac:dyDescent="0.3">
      <c r="A6500" s="12" t="s">
        <v>1243</v>
      </c>
      <c r="B6500" t="s">
        <v>294</v>
      </c>
      <c r="C6500" t="s">
        <v>123</v>
      </c>
      <c r="D6500" t="s">
        <v>110</v>
      </c>
      <c r="E6500" t="s">
        <v>28</v>
      </c>
      <c r="F6500" t="s">
        <v>356</v>
      </c>
      <c r="G6500">
        <v>272093</v>
      </c>
      <c r="H6500" t="s">
        <v>357</v>
      </c>
      <c r="I6500" t="s">
        <v>28</v>
      </c>
      <c r="J6500" t="s">
        <v>302</v>
      </c>
      <c r="K6500">
        <v>1</v>
      </c>
      <c r="L6500" t="s">
        <v>303</v>
      </c>
    </row>
    <row r="6501" spans="1:12" customFormat="1" x14ac:dyDescent="0.3">
      <c r="A6501" s="12" t="s">
        <v>1243</v>
      </c>
      <c r="B6501" t="s">
        <v>294</v>
      </c>
      <c r="C6501" t="s">
        <v>123</v>
      </c>
      <c r="D6501" t="s">
        <v>110</v>
      </c>
      <c r="E6501" t="s">
        <v>71</v>
      </c>
      <c r="F6501" t="s">
        <v>956</v>
      </c>
      <c r="G6501">
        <v>4815747</v>
      </c>
      <c r="H6501" t="s">
        <v>957</v>
      </c>
      <c r="I6501" t="s">
        <v>71</v>
      </c>
      <c r="J6501" t="s">
        <v>302</v>
      </c>
      <c r="K6501">
        <v>1</v>
      </c>
      <c r="L6501" t="s">
        <v>303</v>
      </c>
    </row>
    <row r="6502" spans="1:12" customFormat="1" x14ac:dyDescent="0.3">
      <c r="A6502" s="12" t="s">
        <v>1243</v>
      </c>
      <c r="B6502" t="s">
        <v>294</v>
      </c>
      <c r="C6502" t="s">
        <v>123</v>
      </c>
      <c r="D6502" t="s">
        <v>110</v>
      </c>
      <c r="E6502" t="s">
        <v>29</v>
      </c>
      <c r="F6502" t="s">
        <v>358</v>
      </c>
      <c r="G6502">
        <v>110619459</v>
      </c>
      <c r="H6502" t="s">
        <v>359</v>
      </c>
      <c r="I6502" t="s">
        <v>29</v>
      </c>
      <c r="J6502" t="s">
        <v>302</v>
      </c>
      <c r="K6502">
        <v>1</v>
      </c>
      <c r="L6502" t="s">
        <v>303</v>
      </c>
    </row>
    <row r="6503" spans="1:12" customFormat="1" x14ac:dyDescent="0.3">
      <c r="A6503" s="12" t="s">
        <v>1243</v>
      </c>
      <c r="B6503" t="s">
        <v>294</v>
      </c>
      <c r="C6503" t="s">
        <v>123</v>
      </c>
      <c r="D6503" t="s">
        <v>110</v>
      </c>
      <c r="E6503" t="s">
        <v>1429</v>
      </c>
      <c r="F6503" t="s">
        <v>1497</v>
      </c>
      <c r="G6503">
        <v>444857009</v>
      </c>
      <c r="H6503" t="s">
        <v>1498</v>
      </c>
      <c r="I6503" t="s">
        <v>1429</v>
      </c>
      <c r="J6503" t="s">
        <v>302</v>
      </c>
      <c r="K6503">
        <v>1</v>
      </c>
      <c r="L6503" t="s">
        <v>303</v>
      </c>
    </row>
    <row r="6504" spans="1:12" customFormat="1" x14ac:dyDescent="0.3">
      <c r="A6504" s="12" t="s">
        <v>1243</v>
      </c>
      <c r="B6504" t="s">
        <v>294</v>
      </c>
      <c r="C6504" t="s">
        <v>123</v>
      </c>
      <c r="D6504" t="s">
        <v>110</v>
      </c>
      <c r="E6504" t="s">
        <v>82</v>
      </c>
      <c r="F6504" t="s">
        <v>1058</v>
      </c>
      <c r="G6504">
        <v>320227571</v>
      </c>
      <c r="H6504" t="s">
        <v>1059</v>
      </c>
      <c r="I6504" t="s">
        <v>82</v>
      </c>
      <c r="J6504" t="s">
        <v>302</v>
      </c>
      <c r="K6504">
        <v>1</v>
      </c>
      <c r="L6504" t="s">
        <v>413</v>
      </c>
    </row>
    <row r="6505" spans="1:12" customFormat="1" x14ac:dyDescent="0.3">
      <c r="A6505" s="12" t="s">
        <v>1243</v>
      </c>
      <c r="B6505" t="s">
        <v>294</v>
      </c>
      <c r="C6505" t="s">
        <v>123</v>
      </c>
      <c r="D6505" t="s">
        <v>110</v>
      </c>
      <c r="E6505" t="s">
        <v>1255</v>
      </c>
      <c r="F6505" t="s">
        <v>1351</v>
      </c>
      <c r="G6505">
        <v>319359375</v>
      </c>
      <c r="H6505" t="s">
        <v>1352</v>
      </c>
      <c r="I6505" t="s">
        <v>1255</v>
      </c>
      <c r="J6505" t="s">
        <v>623</v>
      </c>
      <c r="K6505">
        <v>1</v>
      </c>
      <c r="L6505" t="s">
        <v>413</v>
      </c>
    </row>
    <row r="6506" spans="1:12" customFormat="1" x14ac:dyDescent="0.3">
      <c r="A6506" s="12" t="s">
        <v>1243</v>
      </c>
      <c r="B6506" t="s">
        <v>294</v>
      </c>
      <c r="C6506" t="s">
        <v>123</v>
      </c>
      <c r="D6506" t="s">
        <v>110</v>
      </c>
      <c r="E6506" t="s">
        <v>51</v>
      </c>
      <c r="F6506" t="s">
        <v>704</v>
      </c>
      <c r="G6506">
        <v>731466419</v>
      </c>
      <c r="H6506" t="s">
        <v>1353</v>
      </c>
      <c r="I6506" t="s">
        <v>51</v>
      </c>
      <c r="J6506" t="s">
        <v>302</v>
      </c>
      <c r="K6506">
        <v>1</v>
      </c>
      <c r="L6506" t="s">
        <v>303</v>
      </c>
    </row>
    <row r="6507" spans="1:12" customFormat="1" x14ac:dyDescent="0.3">
      <c r="A6507" s="12" t="s">
        <v>1243</v>
      </c>
      <c r="B6507" t="s">
        <v>294</v>
      </c>
      <c r="C6507" t="s">
        <v>123</v>
      </c>
      <c r="D6507" t="s">
        <v>110</v>
      </c>
      <c r="E6507" t="s">
        <v>86</v>
      </c>
      <c r="F6507" t="s">
        <v>1120</v>
      </c>
      <c r="G6507">
        <v>756733</v>
      </c>
      <c r="H6507" t="s">
        <v>1121</v>
      </c>
      <c r="I6507" t="s">
        <v>86</v>
      </c>
      <c r="J6507" t="s">
        <v>623</v>
      </c>
      <c r="K6507">
        <v>1</v>
      </c>
      <c r="L6507" t="s">
        <v>413</v>
      </c>
    </row>
    <row r="6508" spans="1:12" customFormat="1" x14ac:dyDescent="0.3">
      <c r="A6508" s="12" t="s">
        <v>1243</v>
      </c>
      <c r="B6508" t="s">
        <v>294</v>
      </c>
      <c r="C6508" t="s">
        <v>123</v>
      </c>
      <c r="D6508" t="s">
        <v>110</v>
      </c>
      <c r="E6508" t="s">
        <v>1256</v>
      </c>
      <c r="F6508" t="s">
        <v>1354</v>
      </c>
      <c r="G6508">
        <v>13206</v>
      </c>
      <c r="H6508" t="s">
        <v>1355</v>
      </c>
      <c r="I6508" t="s">
        <v>1256</v>
      </c>
      <c r="J6508" t="s">
        <v>306</v>
      </c>
      <c r="K6508">
        <v>1</v>
      </c>
      <c r="L6508" t="s">
        <v>303</v>
      </c>
    </row>
    <row r="6509" spans="1:12" customFormat="1" x14ac:dyDescent="0.3">
      <c r="A6509" s="12" t="s">
        <v>1243</v>
      </c>
      <c r="B6509" t="s">
        <v>294</v>
      </c>
      <c r="C6509" t="s">
        <v>123</v>
      </c>
      <c r="D6509" t="s">
        <v>110</v>
      </c>
      <c r="E6509" t="s">
        <v>1257</v>
      </c>
      <c r="F6509" t="s">
        <v>1356</v>
      </c>
      <c r="G6509">
        <v>31230302</v>
      </c>
      <c r="H6509" t="s">
        <v>1357</v>
      </c>
      <c r="I6509" t="s">
        <v>1257</v>
      </c>
      <c r="J6509" t="s">
        <v>623</v>
      </c>
      <c r="K6509">
        <v>1</v>
      </c>
      <c r="L6509" t="s">
        <v>413</v>
      </c>
    </row>
    <row r="6510" spans="1:12" customFormat="1" x14ac:dyDescent="0.3">
      <c r="A6510" s="12" t="s">
        <v>1243</v>
      </c>
      <c r="B6510" t="s">
        <v>294</v>
      </c>
      <c r="C6510" t="s">
        <v>123</v>
      </c>
      <c r="D6510" t="s">
        <v>110</v>
      </c>
      <c r="E6510" t="s">
        <v>1258</v>
      </c>
      <c r="F6510" t="s">
        <v>1358</v>
      </c>
      <c r="G6510">
        <v>136155102</v>
      </c>
      <c r="H6510" t="s">
        <v>1359</v>
      </c>
      <c r="I6510" t="s">
        <v>1258</v>
      </c>
      <c r="J6510" t="s">
        <v>623</v>
      </c>
      <c r="K6510">
        <v>1</v>
      </c>
      <c r="L6510" t="s">
        <v>413</v>
      </c>
    </row>
    <row r="6511" spans="1:12" customFormat="1" x14ac:dyDescent="0.3">
      <c r="A6511" s="12" t="s">
        <v>1243</v>
      </c>
      <c r="B6511" t="s">
        <v>294</v>
      </c>
      <c r="C6511" t="s">
        <v>123</v>
      </c>
      <c r="D6511" t="s">
        <v>110</v>
      </c>
      <c r="E6511" t="s">
        <v>1156</v>
      </c>
      <c r="F6511" t="s">
        <v>1239</v>
      </c>
      <c r="G6511">
        <v>4215200</v>
      </c>
      <c r="H6511" t="s">
        <v>1240</v>
      </c>
      <c r="I6511" t="s">
        <v>1156</v>
      </c>
      <c r="J6511" t="s">
        <v>623</v>
      </c>
      <c r="K6511">
        <v>1</v>
      </c>
      <c r="L6511" t="s">
        <v>413</v>
      </c>
    </row>
    <row r="6512" spans="1:12" customFormat="1" x14ac:dyDescent="0.3">
      <c r="A6512" s="12" t="s">
        <v>1243</v>
      </c>
      <c r="B6512" t="s">
        <v>294</v>
      </c>
      <c r="C6512" t="s">
        <v>123</v>
      </c>
      <c r="D6512" t="s">
        <v>110</v>
      </c>
      <c r="E6512" t="s">
        <v>62</v>
      </c>
      <c r="F6512" t="s">
        <v>842</v>
      </c>
      <c r="G6512">
        <v>4215220</v>
      </c>
      <c r="H6512" t="s">
        <v>843</v>
      </c>
      <c r="I6512" t="s">
        <v>62</v>
      </c>
      <c r="J6512" t="s">
        <v>623</v>
      </c>
      <c r="K6512">
        <v>1</v>
      </c>
      <c r="L6512" t="s">
        <v>413</v>
      </c>
    </row>
    <row r="6513" spans="1:13" customFormat="1" x14ac:dyDescent="0.3">
      <c r="A6513" s="12" t="s">
        <v>1243</v>
      </c>
      <c r="B6513" t="s">
        <v>294</v>
      </c>
      <c r="C6513" t="s">
        <v>123</v>
      </c>
      <c r="D6513" t="s">
        <v>110</v>
      </c>
      <c r="E6513" t="s">
        <v>41</v>
      </c>
      <c r="F6513" t="s">
        <v>621</v>
      </c>
      <c r="G6513">
        <v>319359438</v>
      </c>
      <c r="H6513" t="s">
        <v>622</v>
      </c>
      <c r="I6513" t="s">
        <v>41</v>
      </c>
      <c r="J6513" t="s">
        <v>623</v>
      </c>
      <c r="K6513">
        <v>1</v>
      </c>
      <c r="L6513" t="s">
        <v>413</v>
      </c>
    </row>
    <row r="6514" spans="1:13" customFormat="1" x14ac:dyDescent="0.3">
      <c r="A6514" s="12" t="s">
        <v>1243</v>
      </c>
      <c r="B6514" t="s">
        <v>294</v>
      </c>
      <c r="C6514" t="s">
        <v>123</v>
      </c>
      <c r="D6514" t="s">
        <v>110</v>
      </c>
      <c r="E6514" t="s">
        <v>79</v>
      </c>
      <c r="F6514" t="s">
        <v>972</v>
      </c>
      <c r="G6514">
        <v>4215227</v>
      </c>
      <c r="H6514" t="s">
        <v>973</v>
      </c>
      <c r="I6514" t="s">
        <v>79</v>
      </c>
      <c r="J6514" t="s">
        <v>623</v>
      </c>
      <c r="K6514">
        <v>1</v>
      </c>
      <c r="L6514" t="s">
        <v>413</v>
      </c>
    </row>
    <row r="6515" spans="1:13" customFormat="1" x14ac:dyDescent="0.3">
      <c r="A6515" s="12" t="s">
        <v>1243</v>
      </c>
      <c r="B6515" t="s">
        <v>294</v>
      </c>
      <c r="C6515" t="s">
        <v>123</v>
      </c>
      <c r="D6515" t="s">
        <v>110</v>
      </c>
      <c r="E6515" t="s">
        <v>42</v>
      </c>
      <c r="F6515" t="s">
        <v>624</v>
      </c>
      <c r="G6515">
        <v>4215230</v>
      </c>
      <c r="H6515" t="s">
        <v>625</v>
      </c>
      <c r="I6515" t="s">
        <v>42</v>
      </c>
      <c r="J6515" t="s">
        <v>623</v>
      </c>
      <c r="K6515">
        <v>1</v>
      </c>
      <c r="L6515" t="s">
        <v>413</v>
      </c>
    </row>
    <row r="6516" spans="1:13" customFormat="1" x14ac:dyDescent="0.3">
      <c r="A6516" s="12" t="s">
        <v>1243</v>
      </c>
      <c r="B6516" t="s">
        <v>294</v>
      </c>
      <c r="C6516" t="s">
        <v>123</v>
      </c>
      <c r="D6516" t="s">
        <v>110</v>
      </c>
      <c r="E6516" t="s">
        <v>43</v>
      </c>
      <c r="F6516" t="s">
        <v>626</v>
      </c>
      <c r="G6516">
        <v>4215235</v>
      </c>
      <c r="H6516" t="s">
        <v>627</v>
      </c>
      <c r="I6516" t="s">
        <v>43</v>
      </c>
      <c r="J6516" t="s">
        <v>623</v>
      </c>
      <c r="K6516">
        <v>1</v>
      </c>
      <c r="L6516" t="s">
        <v>413</v>
      </c>
    </row>
    <row r="6517" spans="1:13" customFormat="1" x14ac:dyDescent="0.3">
      <c r="A6517" s="12" t="s">
        <v>1243</v>
      </c>
      <c r="B6517" t="s">
        <v>294</v>
      </c>
      <c r="C6517" t="s">
        <v>123</v>
      </c>
      <c r="D6517" t="s">
        <v>110</v>
      </c>
      <c r="E6517" t="s">
        <v>44</v>
      </c>
      <c r="F6517" t="s">
        <v>628</v>
      </c>
      <c r="G6517">
        <v>4215205</v>
      </c>
      <c r="H6517" t="s">
        <v>629</v>
      </c>
      <c r="I6517" t="s">
        <v>44</v>
      </c>
      <c r="J6517" t="s">
        <v>623</v>
      </c>
      <c r="K6517">
        <v>1</v>
      </c>
      <c r="L6517" t="s">
        <v>413</v>
      </c>
    </row>
    <row r="6518" spans="1:13" customFormat="1" x14ac:dyDescent="0.3">
      <c r="A6518" s="12" t="s">
        <v>1243</v>
      </c>
      <c r="B6518" t="s">
        <v>294</v>
      </c>
      <c r="C6518" t="s">
        <v>123</v>
      </c>
      <c r="D6518" t="s">
        <v>110</v>
      </c>
      <c r="E6518" t="s">
        <v>84</v>
      </c>
      <c r="F6518" t="s">
        <v>1062</v>
      </c>
      <c r="G6518">
        <v>4215215</v>
      </c>
      <c r="H6518" t="s">
        <v>1063</v>
      </c>
      <c r="I6518" t="s">
        <v>84</v>
      </c>
      <c r="J6518" t="s">
        <v>623</v>
      </c>
      <c r="K6518">
        <v>1</v>
      </c>
      <c r="L6518" t="s">
        <v>413</v>
      </c>
    </row>
    <row r="6519" spans="1:13" customFormat="1" x14ac:dyDescent="0.3">
      <c r="A6519" s="12" t="s">
        <v>1243</v>
      </c>
      <c r="B6519" t="s">
        <v>294</v>
      </c>
      <c r="C6519" t="s">
        <v>120</v>
      </c>
      <c r="D6519" t="s">
        <v>100</v>
      </c>
      <c r="E6519" t="s">
        <v>0</v>
      </c>
      <c r="F6519" t="s">
        <v>269</v>
      </c>
      <c r="G6519" t="s">
        <v>295</v>
      </c>
      <c r="H6519" t="s">
        <v>1235</v>
      </c>
      <c r="I6519" t="s">
        <v>297</v>
      </c>
      <c r="J6519" t="s">
        <v>298</v>
      </c>
      <c r="K6519" t="s">
        <v>372</v>
      </c>
      <c r="L6519" t="s">
        <v>373</v>
      </c>
      <c r="M6519" t="s">
        <v>165</v>
      </c>
    </row>
    <row r="6520" spans="1:13" customFormat="1" x14ac:dyDescent="0.3">
      <c r="A6520" s="12" t="s">
        <v>1243</v>
      </c>
      <c r="B6520" t="s">
        <v>294</v>
      </c>
      <c r="C6520" t="s">
        <v>123</v>
      </c>
      <c r="D6520" t="s">
        <v>112</v>
      </c>
      <c r="E6520" t="s">
        <v>1430</v>
      </c>
      <c r="F6520" t="s">
        <v>1499</v>
      </c>
      <c r="G6520">
        <v>672387462</v>
      </c>
      <c r="H6520" t="s">
        <v>1241</v>
      </c>
      <c r="I6520" t="s">
        <v>375</v>
      </c>
      <c r="J6520">
        <v>5</v>
      </c>
      <c r="K6520" s="1">
        <v>45737</v>
      </c>
      <c r="L6520" t="s">
        <v>1500</v>
      </c>
    </row>
    <row r="6521" spans="1:13" customFormat="1" x14ac:dyDescent="0.3">
      <c r="A6521" s="12" t="s">
        <v>1243</v>
      </c>
      <c r="B6521" t="s">
        <v>294</v>
      </c>
      <c r="C6521" t="s">
        <v>123</v>
      </c>
      <c r="D6521" t="s">
        <v>112</v>
      </c>
      <c r="E6521" t="s">
        <v>1431</v>
      </c>
      <c r="F6521" t="s">
        <v>1501</v>
      </c>
      <c r="G6521">
        <v>672387468</v>
      </c>
      <c r="H6521" t="s">
        <v>1244</v>
      </c>
      <c r="I6521" t="s">
        <v>375</v>
      </c>
      <c r="J6521">
        <v>2</v>
      </c>
      <c r="K6521" s="1">
        <v>45737</v>
      </c>
      <c r="L6521" t="s">
        <v>1500</v>
      </c>
    </row>
    <row r="6522" spans="1:13" customFormat="1" x14ac:dyDescent="0.3">
      <c r="A6522" s="12" t="s">
        <v>1243</v>
      </c>
      <c r="B6522" t="s">
        <v>294</v>
      </c>
      <c r="C6522" t="s">
        <v>123</v>
      </c>
      <c r="D6522" t="s">
        <v>112</v>
      </c>
      <c r="E6522" t="s">
        <v>1158</v>
      </c>
      <c r="F6522" t="s">
        <v>1245</v>
      </c>
      <c r="G6522">
        <v>654503320</v>
      </c>
      <c r="H6522" t="s">
        <v>1244</v>
      </c>
      <c r="I6522" t="s">
        <v>375</v>
      </c>
      <c r="J6522">
        <v>2</v>
      </c>
      <c r="K6522" s="1">
        <v>45646</v>
      </c>
      <c r="L6522" t="s">
        <v>1243</v>
      </c>
    </row>
    <row r="6523" spans="1:13" customFormat="1" x14ac:dyDescent="0.3">
      <c r="A6523" s="12" t="s">
        <v>1243</v>
      </c>
      <c r="B6523" t="s">
        <v>376</v>
      </c>
      <c r="C6523" t="s">
        <v>120</v>
      </c>
      <c r="D6523" t="s">
        <v>165</v>
      </c>
      <c r="E6523" t="s">
        <v>377</v>
      </c>
      <c r="F6523" t="s">
        <v>378</v>
      </c>
      <c r="G6523" t="s">
        <v>379</v>
      </c>
    </row>
    <row r="6524" spans="1:13" customFormat="1" x14ac:dyDescent="0.3">
      <c r="A6524" s="12" t="s">
        <v>1243</v>
      </c>
      <c r="B6524" t="s">
        <v>376</v>
      </c>
      <c r="C6524" t="s">
        <v>123</v>
      </c>
      <c r="D6524" t="s">
        <v>380</v>
      </c>
      <c r="E6524" t="s">
        <v>381</v>
      </c>
    </row>
    <row r="6525" spans="1:13" customFormat="1" x14ac:dyDescent="0.3">
      <c r="A6525" s="12" t="s">
        <v>1243</v>
      </c>
      <c r="B6525" t="s">
        <v>376</v>
      </c>
      <c r="C6525" t="s">
        <v>123</v>
      </c>
      <c r="D6525" t="s">
        <v>382</v>
      </c>
      <c r="E6525" t="s">
        <v>383</v>
      </c>
    </row>
    <row r="6526" spans="1:13" customFormat="1" x14ac:dyDescent="0.3">
      <c r="A6526" s="12" t="s">
        <v>1243</v>
      </c>
      <c r="B6526" t="s">
        <v>376</v>
      </c>
      <c r="C6526" t="s">
        <v>123</v>
      </c>
      <c r="D6526" t="s">
        <v>384</v>
      </c>
      <c r="E6526" t="s">
        <v>385</v>
      </c>
    </row>
    <row r="6527" spans="1:13" customFormat="1" x14ac:dyDescent="0.3">
      <c r="A6527" s="12" t="s">
        <v>1243</v>
      </c>
      <c r="B6527" t="s">
        <v>376</v>
      </c>
      <c r="C6527" t="s">
        <v>123</v>
      </c>
      <c r="D6527" t="s">
        <v>386</v>
      </c>
      <c r="E6527" t="s">
        <v>387</v>
      </c>
    </row>
    <row r="6528" spans="1:13" customFormat="1" x14ac:dyDescent="0.3">
      <c r="A6528" s="12" t="s">
        <v>1243</v>
      </c>
      <c r="B6528" t="s">
        <v>376</v>
      </c>
      <c r="C6528" t="s">
        <v>123</v>
      </c>
      <c r="D6528" t="s">
        <v>388</v>
      </c>
      <c r="E6528" t="s">
        <v>389</v>
      </c>
    </row>
    <row r="6529" spans="1:5" customFormat="1" x14ac:dyDescent="0.3">
      <c r="A6529" s="12" t="s">
        <v>1243</v>
      </c>
      <c r="B6529" t="s">
        <v>376</v>
      </c>
      <c r="C6529" t="s">
        <v>123</v>
      </c>
      <c r="D6529" t="s">
        <v>390</v>
      </c>
      <c r="E6529" t="s">
        <v>391</v>
      </c>
    </row>
    <row r="6530" spans="1:5" customFormat="1" x14ac:dyDescent="0.3">
      <c r="A6530" s="12" t="s">
        <v>1243</v>
      </c>
      <c r="B6530" t="s">
        <v>376</v>
      </c>
      <c r="C6530" t="s">
        <v>123</v>
      </c>
      <c r="D6530" t="s">
        <v>392</v>
      </c>
      <c r="E6530" t="s">
        <v>393</v>
      </c>
    </row>
    <row r="6531" spans="1:5" customFormat="1" x14ac:dyDescent="0.3">
      <c r="A6531" s="12" t="s">
        <v>1243</v>
      </c>
      <c r="B6531" t="s">
        <v>376</v>
      </c>
      <c r="C6531" t="s">
        <v>123</v>
      </c>
      <c r="D6531" t="s">
        <v>394</v>
      </c>
      <c r="E6531" t="s">
        <v>395</v>
      </c>
    </row>
    <row r="6532" spans="1:5" customFormat="1" x14ac:dyDescent="0.3">
      <c r="A6532" s="12" t="s">
        <v>1243</v>
      </c>
      <c r="B6532" t="s">
        <v>376</v>
      </c>
      <c r="C6532" t="s">
        <v>123</v>
      </c>
      <c r="D6532" t="s">
        <v>396</v>
      </c>
      <c r="E6532" t="s">
        <v>397</v>
      </c>
    </row>
    <row r="6533" spans="1:5" customFormat="1" x14ac:dyDescent="0.3">
      <c r="A6533" s="12" t="s">
        <v>1243</v>
      </c>
      <c r="B6533" t="s">
        <v>376</v>
      </c>
      <c r="C6533" t="s">
        <v>123</v>
      </c>
      <c r="D6533" t="s">
        <v>3</v>
      </c>
      <c r="E6533" t="s">
        <v>398</v>
      </c>
    </row>
    <row r="6534" spans="1:5" customFormat="1" x14ac:dyDescent="0.3">
      <c r="A6534" s="12" t="s">
        <v>1243</v>
      </c>
      <c r="B6534" t="s">
        <v>376</v>
      </c>
      <c r="C6534" t="s">
        <v>123</v>
      </c>
      <c r="D6534" t="s">
        <v>399</v>
      </c>
      <c r="E6534" t="s">
        <v>400</v>
      </c>
    </row>
    <row r="6535" spans="1:5" customFormat="1" x14ac:dyDescent="0.3">
      <c r="A6535" s="12" t="s">
        <v>1243</v>
      </c>
      <c r="B6535" t="s">
        <v>376</v>
      </c>
      <c r="C6535" t="s">
        <v>123</v>
      </c>
      <c r="D6535" t="s">
        <v>401</v>
      </c>
      <c r="E6535" t="s">
        <v>402</v>
      </c>
    </row>
    <row r="6536" spans="1:5" customFormat="1" x14ac:dyDescent="0.3">
      <c r="A6536" s="12" t="s">
        <v>1243</v>
      </c>
      <c r="B6536" t="s">
        <v>376</v>
      </c>
      <c r="C6536" t="s">
        <v>123</v>
      </c>
      <c r="D6536" t="s">
        <v>403</v>
      </c>
      <c r="E6536" t="s">
        <v>404</v>
      </c>
    </row>
    <row r="6537" spans="1:5" customFormat="1" x14ac:dyDescent="0.3">
      <c r="A6537" s="12" t="s">
        <v>1243</v>
      </c>
      <c r="B6537" t="s">
        <v>376</v>
      </c>
      <c r="C6537" t="s">
        <v>123</v>
      </c>
      <c r="D6537" t="s">
        <v>405</v>
      </c>
      <c r="E6537" t="s">
        <v>406</v>
      </c>
    </row>
    <row r="6538" spans="1:5" customFormat="1" x14ac:dyDescent="0.3">
      <c r="A6538" s="12" t="s">
        <v>1243</v>
      </c>
      <c r="B6538" t="s">
        <v>376</v>
      </c>
      <c r="C6538" t="s">
        <v>123</v>
      </c>
      <c r="D6538" t="s">
        <v>407</v>
      </c>
      <c r="E6538" t="s">
        <v>408</v>
      </c>
    </row>
    <row r="6539" spans="1:5" customFormat="1" x14ac:dyDescent="0.3">
      <c r="A6539" s="12" t="s">
        <v>1243</v>
      </c>
      <c r="B6539" t="s">
        <v>376</v>
      </c>
      <c r="C6539" t="s">
        <v>123</v>
      </c>
      <c r="D6539" t="s">
        <v>409</v>
      </c>
      <c r="E6539" t="s">
        <v>410</v>
      </c>
    </row>
    <row r="6540" spans="1:5" customFormat="1" x14ac:dyDescent="0.3">
      <c r="A6540" s="12" t="s">
        <v>1243</v>
      </c>
      <c r="B6540" t="s">
        <v>376</v>
      </c>
      <c r="C6540" t="s">
        <v>123</v>
      </c>
      <c r="D6540" t="s">
        <v>411</v>
      </c>
      <c r="E6540" t="s">
        <v>412</v>
      </c>
    </row>
    <row r="6541" spans="1:5" customFormat="1" x14ac:dyDescent="0.3">
      <c r="A6541" s="12" t="s">
        <v>1243</v>
      </c>
      <c r="B6541" t="s">
        <v>376</v>
      </c>
      <c r="C6541" t="s">
        <v>123</v>
      </c>
      <c r="D6541" t="s">
        <v>413</v>
      </c>
      <c r="E6541" t="s">
        <v>414</v>
      </c>
    </row>
    <row r="6542" spans="1:5" customFormat="1" x14ac:dyDescent="0.3">
      <c r="A6542" s="12" t="s">
        <v>1243</v>
      </c>
      <c r="B6542" t="s">
        <v>376</v>
      </c>
      <c r="C6542" t="s">
        <v>123</v>
      </c>
      <c r="D6542" t="s">
        <v>415</v>
      </c>
      <c r="E6542" t="s">
        <v>416</v>
      </c>
    </row>
    <row r="6543" spans="1:5" customFormat="1" x14ac:dyDescent="0.3">
      <c r="A6543" s="12" t="s">
        <v>1243</v>
      </c>
      <c r="B6543" t="s">
        <v>376</v>
      </c>
      <c r="C6543" t="s">
        <v>123</v>
      </c>
      <c r="D6543" t="s">
        <v>417</v>
      </c>
      <c r="E6543" t="s">
        <v>418</v>
      </c>
    </row>
    <row r="6544" spans="1:5" customFormat="1" x14ac:dyDescent="0.3">
      <c r="A6544" s="12" t="s">
        <v>1243</v>
      </c>
      <c r="B6544" t="s">
        <v>376</v>
      </c>
      <c r="C6544" t="s">
        <v>123</v>
      </c>
      <c r="D6544" t="s">
        <v>419</v>
      </c>
      <c r="E6544" t="s">
        <v>420</v>
      </c>
    </row>
    <row r="6545" spans="1:5" customFormat="1" x14ac:dyDescent="0.3">
      <c r="A6545" s="12" t="s">
        <v>1243</v>
      </c>
      <c r="B6545" t="s">
        <v>376</v>
      </c>
      <c r="C6545" t="s">
        <v>123</v>
      </c>
      <c r="D6545" t="s">
        <v>421</v>
      </c>
      <c r="E6545" t="s">
        <v>422</v>
      </c>
    </row>
    <row r="6546" spans="1:5" customFormat="1" x14ac:dyDescent="0.3">
      <c r="A6546" s="12" t="s">
        <v>1243</v>
      </c>
      <c r="B6546" t="s">
        <v>376</v>
      </c>
      <c r="C6546" t="s">
        <v>123</v>
      </c>
      <c r="D6546" t="s">
        <v>423</v>
      </c>
      <c r="E6546" t="s">
        <v>424</v>
      </c>
    </row>
    <row r="6547" spans="1:5" customFormat="1" x14ac:dyDescent="0.3">
      <c r="A6547" s="12" t="s">
        <v>1243</v>
      </c>
      <c r="B6547" t="s">
        <v>376</v>
      </c>
      <c r="C6547" t="s">
        <v>123</v>
      </c>
      <c r="D6547" t="s">
        <v>425</v>
      </c>
      <c r="E6547" t="s">
        <v>426</v>
      </c>
    </row>
    <row r="6548" spans="1:5" customFormat="1" x14ac:dyDescent="0.3">
      <c r="A6548" s="12" t="s">
        <v>1243</v>
      </c>
      <c r="B6548" t="s">
        <v>376</v>
      </c>
      <c r="C6548" t="s">
        <v>123</v>
      </c>
      <c r="D6548" t="s">
        <v>427</v>
      </c>
      <c r="E6548" t="s">
        <v>428</v>
      </c>
    </row>
    <row r="6549" spans="1:5" customFormat="1" x14ac:dyDescent="0.3">
      <c r="A6549" s="12" t="s">
        <v>1243</v>
      </c>
      <c r="B6549" t="s">
        <v>376</v>
      </c>
      <c r="C6549" t="s">
        <v>123</v>
      </c>
      <c r="D6549" t="s">
        <v>429</v>
      </c>
      <c r="E6549" t="s">
        <v>430</v>
      </c>
    </row>
    <row r="6550" spans="1:5" customFormat="1" x14ac:dyDescent="0.3">
      <c r="A6550" s="12" t="s">
        <v>1243</v>
      </c>
      <c r="B6550" t="s">
        <v>376</v>
      </c>
      <c r="C6550" t="s">
        <v>123</v>
      </c>
      <c r="D6550" t="s">
        <v>431</v>
      </c>
      <c r="E6550" t="s">
        <v>432</v>
      </c>
    </row>
    <row r="6551" spans="1:5" customFormat="1" x14ac:dyDescent="0.3">
      <c r="A6551" s="12" t="s">
        <v>1243</v>
      </c>
      <c r="B6551" t="s">
        <v>376</v>
      </c>
      <c r="C6551" t="s">
        <v>123</v>
      </c>
      <c r="D6551" t="s">
        <v>433</v>
      </c>
      <c r="E6551" t="s">
        <v>434</v>
      </c>
    </row>
    <row r="6552" spans="1:5" customFormat="1" x14ac:dyDescent="0.3">
      <c r="A6552" s="12" t="s">
        <v>1243</v>
      </c>
      <c r="B6552" t="s">
        <v>376</v>
      </c>
      <c r="C6552" t="s">
        <v>123</v>
      </c>
      <c r="D6552" t="s">
        <v>435</v>
      </c>
      <c r="E6552" t="s">
        <v>436</v>
      </c>
    </row>
    <row r="6553" spans="1:5" customFormat="1" x14ac:dyDescent="0.3">
      <c r="A6553" s="12" t="s">
        <v>1243</v>
      </c>
      <c r="B6553" t="s">
        <v>376</v>
      </c>
      <c r="C6553" t="s">
        <v>123</v>
      </c>
      <c r="D6553" t="s">
        <v>437</v>
      </c>
      <c r="E6553" t="s">
        <v>438</v>
      </c>
    </row>
    <row r="6554" spans="1:5" customFormat="1" x14ac:dyDescent="0.3">
      <c r="A6554" s="12" t="s">
        <v>1243</v>
      </c>
      <c r="B6554" t="s">
        <v>376</v>
      </c>
      <c r="C6554" t="s">
        <v>123</v>
      </c>
      <c r="D6554" t="s">
        <v>439</v>
      </c>
      <c r="E6554" t="s">
        <v>440</v>
      </c>
    </row>
    <row r="6555" spans="1:5" customFormat="1" x14ac:dyDescent="0.3">
      <c r="A6555" s="12" t="s">
        <v>1243</v>
      </c>
      <c r="B6555" t="s">
        <v>376</v>
      </c>
      <c r="C6555" t="s">
        <v>123</v>
      </c>
      <c r="D6555" t="s">
        <v>441</v>
      </c>
      <c r="E6555" t="s">
        <v>442</v>
      </c>
    </row>
    <row r="6556" spans="1:5" customFormat="1" x14ac:dyDescent="0.3">
      <c r="A6556" s="12" t="s">
        <v>1243</v>
      </c>
      <c r="B6556" t="s">
        <v>376</v>
      </c>
      <c r="C6556" t="s">
        <v>123</v>
      </c>
      <c r="D6556" t="s">
        <v>443</v>
      </c>
      <c r="E6556" t="s">
        <v>444</v>
      </c>
    </row>
    <row r="6557" spans="1:5" customFormat="1" x14ac:dyDescent="0.3">
      <c r="A6557" s="12" t="s">
        <v>1243</v>
      </c>
      <c r="B6557" t="s">
        <v>376</v>
      </c>
      <c r="C6557" t="s">
        <v>123</v>
      </c>
      <c r="D6557" t="s">
        <v>445</v>
      </c>
      <c r="E6557" t="s">
        <v>446</v>
      </c>
    </row>
    <row r="6558" spans="1:5" customFormat="1" x14ac:dyDescent="0.3">
      <c r="A6558" s="12" t="s">
        <v>1243</v>
      </c>
      <c r="B6558" t="s">
        <v>376</v>
      </c>
      <c r="C6558" t="s">
        <v>123</v>
      </c>
      <c r="D6558" t="s">
        <v>447</v>
      </c>
      <c r="E6558" t="s">
        <v>448</v>
      </c>
    </row>
    <row r="6559" spans="1:5" customFormat="1" x14ac:dyDescent="0.3">
      <c r="A6559" s="12" t="s">
        <v>1243</v>
      </c>
      <c r="B6559" t="s">
        <v>376</v>
      </c>
      <c r="C6559" t="s">
        <v>123</v>
      </c>
      <c r="D6559" t="s">
        <v>449</v>
      </c>
      <c r="E6559" t="s">
        <v>450</v>
      </c>
    </row>
    <row r="6560" spans="1:5" customFormat="1" x14ac:dyDescent="0.3">
      <c r="A6560" s="12" t="s">
        <v>1243</v>
      </c>
      <c r="B6560" t="s">
        <v>376</v>
      </c>
      <c r="C6560" t="s">
        <v>123</v>
      </c>
      <c r="D6560" t="s">
        <v>451</v>
      </c>
      <c r="E6560" t="s">
        <v>452</v>
      </c>
    </row>
    <row r="6561" spans="1:5" customFormat="1" x14ac:dyDescent="0.3">
      <c r="A6561" s="12" t="s">
        <v>1243</v>
      </c>
      <c r="B6561" t="s">
        <v>376</v>
      </c>
      <c r="C6561" t="s">
        <v>123</v>
      </c>
      <c r="D6561" t="s">
        <v>453</v>
      </c>
      <c r="E6561" t="s">
        <v>454</v>
      </c>
    </row>
    <row r="6562" spans="1:5" customFormat="1" x14ac:dyDescent="0.3">
      <c r="A6562" s="12" t="s">
        <v>1243</v>
      </c>
      <c r="B6562" t="s">
        <v>376</v>
      </c>
      <c r="C6562" t="s">
        <v>123</v>
      </c>
      <c r="D6562" t="s">
        <v>455</v>
      </c>
      <c r="E6562" t="s">
        <v>456</v>
      </c>
    </row>
    <row r="6563" spans="1:5" customFormat="1" x14ac:dyDescent="0.3">
      <c r="A6563" s="12" t="s">
        <v>1243</v>
      </c>
      <c r="B6563" t="s">
        <v>376</v>
      </c>
      <c r="C6563" t="s">
        <v>123</v>
      </c>
      <c r="D6563" t="s">
        <v>457</v>
      </c>
      <c r="E6563" t="s">
        <v>458</v>
      </c>
    </row>
    <row r="6564" spans="1:5" customFormat="1" x14ac:dyDescent="0.3">
      <c r="A6564" s="12" t="s">
        <v>1243</v>
      </c>
      <c r="B6564" t="s">
        <v>376</v>
      </c>
      <c r="C6564" t="s">
        <v>123</v>
      </c>
      <c r="D6564" t="s">
        <v>459</v>
      </c>
      <c r="E6564" t="s">
        <v>460</v>
      </c>
    </row>
    <row r="6565" spans="1:5" customFormat="1" x14ac:dyDescent="0.3">
      <c r="A6565" s="12" t="s">
        <v>1243</v>
      </c>
      <c r="B6565" t="s">
        <v>376</v>
      </c>
      <c r="C6565" t="s">
        <v>123</v>
      </c>
      <c r="D6565" t="s">
        <v>461</v>
      </c>
      <c r="E6565" t="s">
        <v>462</v>
      </c>
    </row>
    <row r="6566" spans="1:5" customFormat="1" x14ac:dyDescent="0.3">
      <c r="A6566" s="12" t="s">
        <v>1243</v>
      </c>
      <c r="B6566" t="s">
        <v>376</v>
      </c>
      <c r="C6566" t="s">
        <v>123</v>
      </c>
      <c r="D6566" t="s">
        <v>463</v>
      </c>
      <c r="E6566" t="s">
        <v>464</v>
      </c>
    </row>
    <row r="6567" spans="1:5" customFormat="1" x14ac:dyDescent="0.3">
      <c r="A6567" s="12" t="s">
        <v>1243</v>
      </c>
      <c r="B6567" t="s">
        <v>376</v>
      </c>
      <c r="C6567" t="s">
        <v>123</v>
      </c>
      <c r="D6567" t="s">
        <v>465</v>
      </c>
      <c r="E6567" t="s">
        <v>466</v>
      </c>
    </row>
    <row r="6568" spans="1:5" customFormat="1" x14ac:dyDescent="0.3">
      <c r="A6568" s="12" t="s">
        <v>1243</v>
      </c>
      <c r="B6568" t="s">
        <v>376</v>
      </c>
      <c r="C6568" t="s">
        <v>123</v>
      </c>
      <c r="D6568" t="s">
        <v>215</v>
      </c>
      <c r="E6568" t="s">
        <v>467</v>
      </c>
    </row>
    <row r="6569" spans="1:5" customFormat="1" x14ac:dyDescent="0.3">
      <c r="A6569" s="12" t="s">
        <v>1243</v>
      </c>
      <c r="B6569" t="s">
        <v>376</v>
      </c>
      <c r="C6569" t="s">
        <v>123</v>
      </c>
      <c r="D6569" t="s">
        <v>468</v>
      </c>
      <c r="E6569" t="s">
        <v>469</v>
      </c>
    </row>
    <row r="6570" spans="1:5" customFormat="1" x14ac:dyDescent="0.3">
      <c r="A6570" s="12" t="s">
        <v>1243</v>
      </c>
      <c r="B6570" t="s">
        <v>376</v>
      </c>
      <c r="C6570" t="s">
        <v>123</v>
      </c>
      <c r="D6570" t="s">
        <v>470</v>
      </c>
      <c r="E6570" t="s">
        <v>471</v>
      </c>
    </row>
    <row r="6571" spans="1:5" customFormat="1" x14ac:dyDescent="0.3">
      <c r="A6571" s="12" t="s">
        <v>1243</v>
      </c>
      <c r="B6571" t="s">
        <v>376</v>
      </c>
      <c r="C6571" t="s">
        <v>123</v>
      </c>
      <c r="D6571" t="s">
        <v>472</v>
      </c>
      <c r="E6571" t="s">
        <v>473</v>
      </c>
    </row>
    <row r="6572" spans="1:5" customFormat="1" x14ac:dyDescent="0.3">
      <c r="A6572" s="12" t="s">
        <v>1243</v>
      </c>
      <c r="B6572" t="s">
        <v>376</v>
      </c>
      <c r="C6572" t="s">
        <v>123</v>
      </c>
      <c r="D6572" t="s">
        <v>474</v>
      </c>
      <c r="E6572" t="s">
        <v>475</v>
      </c>
    </row>
    <row r="6573" spans="1:5" customFormat="1" x14ac:dyDescent="0.3">
      <c r="A6573" s="12" t="s">
        <v>1243</v>
      </c>
      <c r="B6573" t="s">
        <v>376</v>
      </c>
      <c r="C6573" t="s">
        <v>123</v>
      </c>
      <c r="D6573" t="s">
        <v>476</v>
      </c>
      <c r="E6573" t="s">
        <v>477</v>
      </c>
    </row>
    <row r="6574" spans="1:5" customFormat="1" x14ac:dyDescent="0.3">
      <c r="A6574" s="12" t="s">
        <v>1243</v>
      </c>
      <c r="B6574" t="s">
        <v>376</v>
      </c>
      <c r="C6574" t="s">
        <v>123</v>
      </c>
      <c r="D6574" t="s">
        <v>291</v>
      </c>
      <c r="E6574" t="s">
        <v>478</v>
      </c>
    </row>
    <row r="6575" spans="1:5" customFormat="1" x14ac:dyDescent="0.3">
      <c r="A6575" s="12" t="s">
        <v>1243</v>
      </c>
      <c r="B6575" t="s">
        <v>376</v>
      </c>
      <c r="C6575" t="s">
        <v>123</v>
      </c>
      <c r="D6575" t="s">
        <v>479</v>
      </c>
      <c r="E6575" t="s">
        <v>480</v>
      </c>
    </row>
    <row r="6576" spans="1:5" customFormat="1" x14ac:dyDescent="0.3">
      <c r="A6576" s="12" t="s">
        <v>1243</v>
      </c>
      <c r="B6576" t="s">
        <v>376</v>
      </c>
      <c r="C6576" t="s">
        <v>123</v>
      </c>
      <c r="D6576" t="s">
        <v>481</v>
      </c>
      <c r="E6576" t="s">
        <v>482</v>
      </c>
    </row>
    <row r="6577" spans="1:5" customFormat="1" x14ac:dyDescent="0.3">
      <c r="A6577" s="12" t="s">
        <v>1243</v>
      </c>
      <c r="B6577" t="s">
        <v>376</v>
      </c>
      <c r="C6577" t="s">
        <v>123</v>
      </c>
      <c r="D6577" t="s">
        <v>483</v>
      </c>
      <c r="E6577" t="s">
        <v>484</v>
      </c>
    </row>
    <row r="6578" spans="1:5" customFormat="1" x14ac:dyDescent="0.3">
      <c r="A6578" s="12" t="s">
        <v>1243</v>
      </c>
      <c r="B6578" t="s">
        <v>376</v>
      </c>
      <c r="C6578" t="s">
        <v>123</v>
      </c>
      <c r="D6578" t="s">
        <v>485</v>
      </c>
      <c r="E6578" t="s">
        <v>486</v>
      </c>
    </row>
    <row r="6579" spans="1:5" customFormat="1" x14ac:dyDescent="0.3">
      <c r="A6579" s="12" t="s">
        <v>1243</v>
      </c>
      <c r="B6579" t="s">
        <v>376</v>
      </c>
      <c r="C6579" t="s">
        <v>123</v>
      </c>
      <c r="D6579" t="s">
        <v>487</v>
      </c>
      <c r="E6579" t="s">
        <v>488</v>
      </c>
    </row>
    <row r="6580" spans="1:5" customFormat="1" x14ac:dyDescent="0.3">
      <c r="A6580" s="12" t="s">
        <v>1243</v>
      </c>
      <c r="B6580" t="s">
        <v>376</v>
      </c>
      <c r="C6580" t="s">
        <v>123</v>
      </c>
      <c r="D6580" t="s">
        <v>489</v>
      </c>
      <c r="E6580" t="s">
        <v>490</v>
      </c>
    </row>
    <row r="6581" spans="1:5" customFormat="1" x14ac:dyDescent="0.3">
      <c r="A6581" s="12" t="s">
        <v>1243</v>
      </c>
      <c r="B6581" t="s">
        <v>376</v>
      </c>
      <c r="C6581" t="s">
        <v>123</v>
      </c>
      <c r="D6581" t="s">
        <v>491</v>
      </c>
      <c r="E6581" t="s">
        <v>492</v>
      </c>
    </row>
    <row r="6582" spans="1:5" customFormat="1" x14ac:dyDescent="0.3">
      <c r="A6582" s="12" t="s">
        <v>1243</v>
      </c>
      <c r="B6582" t="s">
        <v>376</v>
      </c>
      <c r="C6582" t="s">
        <v>123</v>
      </c>
      <c r="D6582" t="s">
        <v>292</v>
      </c>
      <c r="E6582" t="s">
        <v>493</v>
      </c>
    </row>
    <row r="6583" spans="1:5" customFormat="1" x14ac:dyDescent="0.3">
      <c r="A6583" s="12" t="s">
        <v>1243</v>
      </c>
      <c r="B6583" t="s">
        <v>376</v>
      </c>
      <c r="C6583" t="s">
        <v>123</v>
      </c>
      <c r="D6583" t="s">
        <v>494</v>
      </c>
      <c r="E6583" t="s">
        <v>495</v>
      </c>
    </row>
    <row r="6584" spans="1:5" customFormat="1" x14ac:dyDescent="0.3">
      <c r="A6584" s="12" t="s">
        <v>1243</v>
      </c>
      <c r="B6584" t="s">
        <v>376</v>
      </c>
      <c r="C6584" t="s">
        <v>123</v>
      </c>
      <c r="D6584" t="s">
        <v>496</v>
      </c>
      <c r="E6584" t="s">
        <v>497</v>
      </c>
    </row>
    <row r="6585" spans="1:5" customFormat="1" x14ac:dyDescent="0.3">
      <c r="A6585" s="12" t="s">
        <v>1243</v>
      </c>
      <c r="B6585" t="s">
        <v>376</v>
      </c>
      <c r="C6585" t="s">
        <v>123</v>
      </c>
      <c r="D6585" t="s">
        <v>498</v>
      </c>
      <c r="E6585" t="s">
        <v>499</v>
      </c>
    </row>
    <row r="6586" spans="1:5" customFormat="1" x14ac:dyDescent="0.3">
      <c r="A6586" s="12" t="s">
        <v>1243</v>
      </c>
      <c r="B6586" t="s">
        <v>376</v>
      </c>
      <c r="C6586" t="s">
        <v>123</v>
      </c>
      <c r="D6586" t="s">
        <v>500</v>
      </c>
      <c r="E6586" t="s">
        <v>501</v>
      </c>
    </row>
    <row r="6587" spans="1:5" customFormat="1" x14ac:dyDescent="0.3">
      <c r="A6587" s="12" t="s">
        <v>1243</v>
      </c>
      <c r="B6587" t="s">
        <v>376</v>
      </c>
      <c r="C6587" t="s">
        <v>123</v>
      </c>
      <c r="D6587" t="s">
        <v>502</v>
      </c>
      <c r="E6587" t="s">
        <v>503</v>
      </c>
    </row>
    <row r="6588" spans="1:5" customFormat="1" x14ac:dyDescent="0.3">
      <c r="A6588" s="12" t="s">
        <v>1243</v>
      </c>
      <c r="B6588" t="s">
        <v>376</v>
      </c>
      <c r="C6588" t="s">
        <v>123</v>
      </c>
      <c r="D6588" t="s">
        <v>504</v>
      </c>
      <c r="E6588" t="s">
        <v>505</v>
      </c>
    </row>
    <row r="6589" spans="1:5" customFormat="1" x14ac:dyDescent="0.3">
      <c r="A6589" s="12" t="s">
        <v>1243</v>
      </c>
      <c r="B6589" t="s">
        <v>376</v>
      </c>
      <c r="C6589" t="s">
        <v>123</v>
      </c>
      <c r="D6589" t="s">
        <v>506</v>
      </c>
      <c r="E6589" t="s">
        <v>507</v>
      </c>
    </row>
    <row r="6590" spans="1:5" customFormat="1" x14ac:dyDescent="0.3">
      <c r="A6590" s="12" t="s">
        <v>1243</v>
      </c>
      <c r="B6590" t="s">
        <v>376</v>
      </c>
      <c r="C6590" t="s">
        <v>123</v>
      </c>
      <c r="D6590" t="s">
        <v>508</v>
      </c>
      <c r="E6590" t="s">
        <v>509</v>
      </c>
    </row>
    <row r="6591" spans="1:5" customFormat="1" x14ac:dyDescent="0.3">
      <c r="A6591" s="12" t="s">
        <v>1243</v>
      </c>
      <c r="B6591" t="s">
        <v>376</v>
      </c>
      <c r="C6591" t="s">
        <v>123</v>
      </c>
      <c r="D6591" t="s">
        <v>510</v>
      </c>
      <c r="E6591" t="s">
        <v>511</v>
      </c>
    </row>
    <row r="6592" spans="1:5" customFormat="1" x14ac:dyDescent="0.3">
      <c r="A6592" s="12" t="s">
        <v>1243</v>
      </c>
      <c r="B6592" t="s">
        <v>376</v>
      </c>
      <c r="C6592" t="s">
        <v>123</v>
      </c>
      <c r="D6592" t="s">
        <v>555</v>
      </c>
      <c r="E6592" t="s">
        <v>1502</v>
      </c>
    </row>
    <row r="6593" spans="1:5" customFormat="1" x14ac:dyDescent="0.3">
      <c r="A6593" s="12" t="s">
        <v>1243</v>
      </c>
      <c r="B6593" t="s">
        <v>376</v>
      </c>
      <c r="C6593" t="s">
        <v>123</v>
      </c>
      <c r="D6593" t="s">
        <v>512</v>
      </c>
      <c r="E6593" t="s">
        <v>513</v>
      </c>
    </row>
    <row r="6594" spans="1:5" customFormat="1" x14ac:dyDescent="0.3">
      <c r="A6594" s="12" t="s">
        <v>1243</v>
      </c>
      <c r="B6594" t="s">
        <v>376</v>
      </c>
      <c r="C6594" t="s">
        <v>123</v>
      </c>
      <c r="D6594" t="s">
        <v>514</v>
      </c>
      <c r="E6594" t="s">
        <v>515</v>
      </c>
    </row>
    <row r="6595" spans="1:5" customFormat="1" x14ac:dyDescent="0.3">
      <c r="A6595" s="12" t="s">
        <v>1243</v>
      </c>
      <c r="B6595" t="s">
        <v>376</v>
      </c>
      <c r="C6595" t="s">
        <v>123</v>
      </c>
      <c r="D6595" t="s">
        <v>516</v>
      </c>
      <c r="E6595" t="s">
        <v>517</v>
      </c>
    </row>
    <row r="6596" spans="1:5" customFormat="1" x14ac:dyDescent="0.3">
      <c r="A6596" s="12" t="s">
        <v>1243</v>
      </c>
      <c r="B6596" t="s">
        <v>518</v>
      </c>
      <c r="C6596" t="s">
        <v>120</v>
      </c>
      <c r="D6596" t="s">
        <v>299</v>
      </c>
      <c r="E6596" t="s">
        <v>519</v>
      </c>
    </row>
    <row r="6597" spans="1:5" customFormat="1" x14ac:dyDescent="0.3">
      <c r="A6597" s="12" t="s">
        <v>1243</v>
      </c>
      <c r="B6597" t="s">
        <v>518</v>
      </c>
      <c r="C6597" t="s">
        <v>123</v>
      </c>
      <c r="D6597" t="s">
        <v>520</v>
      </c>
      <c r="E6597" t="s">
        <v>521</v>
      </c>
    </row>
    <row r="6598" spans="1:5" customFormat="1" x14ac:dyDescent="0.3">
      <c r="A6598" s="12" t="s">
        <v>1243</v>
      </c>
      <c r="B6598" t="s">
        <v>518</v>
      </c>
      <c r="C6598" t="s">
        <v>123</v>
      </c>
      <c r="D6598" t="s">
        <v>520</v>
      </c>
      <c r="E6598" t="s">
        <v>522</v>
      </c>
    </row>
    <row r="6599" spans="1:5" customFormat="1" x14ac:dyDescent="0.3">
      <c r="A6599" s="12" t="s">
        <v>1243</v>
      </c>
      <c r="B6599" t="s">
        <v>518</v>
      </c>
      <c r="C6599" t="s">
        <v>123</v>
      </c>
      <c r="D6599" t="s">
        <v>520</v>
      </c>
      <c r="E6599" t="s">
        <v>523</v>
      </c>
    </row>
    <row r="6600" spans="1:5" customFormat="1" x14ac:dyDescent="0.3">
      <c r="A6600" s="12" t="s">
        <v>1243</v>
      </c>
      <c r="B6600" t="s">
        <v>518</v>
      </c>
      <c r="C6600" t="s">
        <v>123</v>
      </c>
      <c r="D6600" t="s">
        <v>520</v>
      </c>
      <c r="E6600" t="s">
        <v>524</v>
      </c>
    </row>
    <row r="6601" spans="1:5" customFormat="1" x14ac:dyDescent="0.3">
      <c r="A6601" s="12" t="s">
        <v>1243</v>
      </c>
      <c r="B6601" t="s">
        <v>518</v>
      </c>
      <c r="C6601" t="s">
        <v>123</v>
      </c>
      <c r="D6601" t="s">
        <v>520</v>
      </c>
      <c r="E6601" t="s">
        <v>525</v>
      </c>
    </row>
    <row r="6602" spans="1:5" customFormat="1" x14ac:dyDescent="0.3">
      <c r="A6602" s="12" t="s">
        <v>1243</v>
      </c>
      <c r="B6602" t="s">
        <v>518</v>
      </c>
      <c r="C6602" t="s">
        <v>123</v>
      </c>
      <c r="D6602" t="s">
        <v>520</v>
      </c>
      <c r="E6602" t="s">
        <v>526</v>
      </c>
    </row>
    <row r="6603" spans="1:5" customFormat="1" x14ac:dyDescent="0.3">
      <c r="A6603" s="12" t="s">
        <v>1243</v>
      </c>
      <c r="B6603" t="s">
        <v>518</v>
      </c>
      <c r="C6603" t="s">
        <v>123</v>
      </c>
      <c r="D6603" t="s">
        <v>520</v>
      </c>
      <c r="E6603" t="s">
        <v>527</v>
      </c>
    </row>
    <row r="6604" spans="1:5" customFormat="1" x14ac:dyDescent="0.3">
      <c r="A6604" s="12" t="s">
        <v>1243</v>
      </c>
      <c r="B6604" t="s">
        <v>518</v>
      </c>
      <c r="C6604" t="s">
        <v>123</v>
      </c>
      <c r="D6604" t="s">
        <v>520</v>
      </c>
      <c r="E6604" t="s">
        <v>528</v>
      </c>
    </row>
    <row r="6605" spans="1:5" customFormat="1" x14ac:dyDescent="0.3">
      <c r="A6605" s="12" t="s">
        <v>1243</v>
      </c>
      <c r="B6605" t="s">
        <v>518</v>
      </c>
      <c r="C6605" t="s">
        <v>123</v>
      </c>
      <c r="D6605" t="s">
        <v>520</v>
      </c>
      <c r="E6605" t="s">
        <v>529</v>
      </c>
    </row>
    <row r="6606" spans="1:5" customFormat="1" x14ac:dyDescent="0.3">
      <c r="A6606" s="12" t="s">
        <v>1243</v>
      </c>
      <c r="B6606" t="s">
        <v>518</v>
      </c>
      <c r="C6606" t="s">
        <v>123</v>
      </c>
      <c r="D6606" t="s">
        <v>520</v>
      </c>
      <c r="E6606" t="s">
        <v>530</v>
      </c>
    </row>
    <row r="6607" spans="1:5" customFormat="1" x14ac:dyDescent="0.3">
      <c r="A6607" s="12" t="s">
        <v>1243</v>
      </c>
      <c r="B6607" t="s">
        <v>518</v>
      </c>
      <c r="C6607" t="s">
        <v>123</v>
      </c>
      <c r="D6607" t="s">
        <v>520</v>
      </c>
      <c r="E6607" t="s">
        <v>531</v>
      </c>
    </row>
    <row r="6608" spans="1:5" customFormat="1" x14ac:dyDescent="0.3">
      <c r="A6608" s="12" t="s">
        <v>1243</v>
      </c>
      <c r="B6608" t="s">
        <v>518</v>
      </c>
      <c r="C6608" t="s">
        <v>123</v>
      </c>
      <c r="D6608" t="s">
        <v>520</v>
      </c>
      <c r="E6608" t="s">
        <v>532</v>
      </c>
    </row>
    <row r="6609" spans="1:5" customFormat="1" x14ac:dyDescent="0.3">
      <c r="A6609" s="12" t="s">
        <v>1243</v>
      </c>
      <c r="B6609" t="s">
        <v>518</v>
      </c>
      <c r="C6609" t="s">
        <v>123</v>
      </c>
      <c r="D6609" t="s">
        <v>520</v>
      </c>
      <c r="E6609" t="s">
        <v>533</v>
      </c>
    </row>
    <row r="6610" spans="1:5" customFormat="1" x14ac:dyDescent="0.3">
      <c r="A6610" s="12" t="s">
        <v>1243</v>
      </c>
      <c r="B6610" t="s">
        <v>518</v>
      </c>
      <c r="C6610" t="s">
        <v>123</v>
      </c>
      <c r="D6610" t="s">
        <v>520</v>
      </c>
      <c r="E6610" t="s">
        <v>534</v>
      </c>
    </row>
    <row r="6611" spans="1:5" customFormat="1" x14ac:dyDescent="0.3">
      <c r="A6611" s="12" t="s">
        <v>1243</v>
      </c>
      <c r="B6611" t="s">
        <v>518</v>
      </c>
      <c r="C6611" t="s">
        <v>123</v>
      </c>
      <c r="D6611" t="s">
        <v>520</v>
      </c>
      <c r="E6611" t="s">
        <v>535</v>
      </c>
    </row>
    <row r="6612" spans="1:5" customFormat="1" x14ac:dyDescent="0.3">
      <c r="A6612" s="12" t="s">
        <v>1243</v>
      </c>
      <c r="B6612" t="s">
        <v>518</v>
      </c>
      <c r="C6612" t="s">
        <v>123</v>
      </c>
      <c r="D6612" t="s">
        <v>520</v>
      </c>
      <c r="E6612" t="s">
        <v>536</v>
      </c>
    </row>
    <row r="6613" spans="1:5" customFormat="1" x14ac:dyDescent="0.3">
      <c r="A6613" s="12" t="s">
        <v>1243</v>
      </c>
      <c r="B6613" t="s">
        <v>518</v>
      </c>
      <c r="C6613" t="s">
        <v>123</v>
      </c>
      <c r="D6613" t="s">
        <v>520</v>
      </c>
      <c r="E6613" t="s">
        <v>537</v>
      </c>
    </row>
    <row r="6614" spans="1:5" customFormat="1" x14ac:dyDescent="0.3">
      <c r="A6614" s="12" t="s">
        <v>1243</v>
      </c>
      <c r="B6614" t="s">
        <v>518</v>
      </c>
      <c r="C6614" t="s">
        <v>123</v>
      </c>
      <c r="D6614" t="s">
        <v>538</v>
      </c>
      <c r="E6614" t="s">
        <v>539</v>
      </c>
    </row>
    <row r="6615" spans="1:5" customFormat="1" x14ac:dyDescent="0.3">
      <c r="A6615" s="12" t="s">
        <v>1243</v>
      </c>
      <c r="B6615" t="s">
        <v>518</v>
      </c>
      <c r="C6615" t="s">
        <v>123</v>
      </c>
      <c r="D6615" t="s">
        <v>540</v>
      </c>
      <c r="E6615" t="s">
        <v>1247</v>
      </c>
    </row>
    <row r="6616" spans="1:5" customFormat="1" x14ac:dyDescent="0.3">
      <c r="A6616" s="12" t="s">
        <v>1243</v>
      </c>
      <c r="B6616" t="s">
        <v>518</v>
      </c>
      <c r="C6616" t="s">
        <v>123</v>
      </c>
      <c r="D6616" t="s">
        <v>542</v>
      </c>
      <c r="E6616" t="s">
        <v>1506</v>
      </c>
    </row>
    <row r="6617" spans="1:5" customFormat="1" x14ac:dyDescent="0.3">
      <c r="A6617" s="12" t="s">
        <v>1243</v>
      </c>
      <c r="B6617" t="s">
        <v>518</v>
      </c>
      <c r="C6617" t="s">
        <v>123</v>
      </c>
      <c r="D6617" t="s">
        <v>542</v>
      </c>
      <c r="E6617" t="s">
        <v>1248</v>
      </c>
    </row>
    <row r="6618" spans="1:5" customFormat="1" x14ac:dyDescent="0.3">
      <c r="A6618" s="12" t="s">
        <v>1243</v>
      </c>
      <c r="B6618" t="s">
        <v>518</v>
      </c>
      <c r="C6618" t="s">
        <v>123</v>
      </c>
      <c r="D6618" t="s">
        <v>542</v>
      </c>
      <c r="E6618" t="s">
        <v>544</v>
      </c>
    </row>
    <row r="6619" spans="1:5" customFormat="1" x14ac:dyDescent="0.3">
      <c r="A6619" s="12" t="s">
        <v>1243</v>
      </c>
      <c r="B6619" t="s">
        <v>518</v>
      </c>
      <c r="C6619" t="s">
        <v>123</v>
      </c>
      <c r="D6619" t="s">
        <v>542</v>
      </c>
      <c r="E6619" t="s">
        <v>1249</v>
      </c>
    </row>
    <row r="6620" spans="1:5" customFormat="1" x14ac:dyDescent="0.3">
      <c r="A6620" s="12" t="s">
        <v>1243</v>
      </c>
      <c r="B6620" t="s">
        <v>518</v>
      </c>
      <c r="C6620" t="s">
        <v>123</v>
      </c>
      <c r="D6620" t="s">
        <v>542</v>
      </c>
      <c r="E6620" t="s">
        <v>547</v>
      </c>
    </row>
    <row r="6621" spans="1:5" customFormat="1" x14ac:dyDescent="0.3">
      <c r="A6621" s="12" t="s">
        <v>1243</v>
      </c>
      <c r="B6621" t="s">
        <v>518</v>
      </c>
      <c r="C6621" t="s">
        <v>123</v>
      </c>
      <c r="D6621" t="s">
        <v>542</v>
      </c>
      <c r="E6621" t="s">
        <v>1507</v>
      </c>
    </row>
    <row r="6622" spans="1:5" customFormat="1" x14ac:dyDescent="0.3">
      <c r="A6622" s="12" t="s">
        <v>1243</v>
      </c>
      <c r="B6622" t="s">
        <v>518</v>
      </c>
      <c r="C6622" t="s">
        <v>123</v>
      </c>
      <c r="D6622" t="s">
        <v>542</v>
      </c>
      <c r="E6622" t="s">
        <v>1508</v>
      </c>
    </row>
    <row r="6623" spans="1:5" customFormat="1" x14ac:dyDescent="0.3">
      <c r="A6623" s="12" t="s">
        <v>1243</v>
      </c>
      <c r="B6623" t="s">
        <v>518</v>
      </c>
      <c r="C6623" t="s">
        <v>123</v>
      </c>
      <c r="D6623" t="s">
        <v>542</v>
      </c>
      <c r="E6623" t="s">
        <v>548</v>
      </c>
    </row>
    <row r="6624" spans="1:5" customFormat="1" x14ac:dyDescent="0.3">
      <c r="A6624" s="12" t="s">
        <v>1243</v>
      </c>
      <c r="B6624" t="s">
        <v>518</v>
      </c>
      <c r="C6624" t="s">
        <v>123</v>
      </c>
      <c r="D6624" t="s">
        <v>542</v>
      </c>
      <c r="E6624" t="s">
        <v>549</v>
      </c>
    </row>
    <row r="6625" spans="1:5" customFormat="1" x14ac:dyDescent="0.3">
      <c r="A6625" s="12" t="s">
        <v>1243</v>
      </c>
      <c r="B6625" t="s">
        <v>518</v>
      </c>
      <c r="C6625" t="s">
        <v>123</v>
      </c>
      <c r="D6625" t="s">
        <v>542</v>
      </c>
      <c r="E6625" t="s">
        <v>550</v>
      </c>
    </row>
    <row r="6626" spans="1:5" customFormat="1" x14ac:dyDescent="0.3">
      <c r="A6626" s="12" t="s">
        <v>1243</v>
      </c>
      <c r="B6626" t="s">
        <v>518</v>
      </c>
      <c r="C6626" t="s">
        <v>123</v>
      </c>
      <c r="D6626" t="s">
        <v>542</v>
      </c>
      <c r="E6626" t="s">
        <v>551</v>
      </c>
    </row>
    <row r="6627" spans="1:5" customFormat="1" x14ac:dyDescent="0.3">
      <c r="A6627" s="12" t="s">
        <v>1243</v>
      </c>
      <c r="B6627" t="s">
        <v>518</v>
      </c>
      <c r="C6627" t="s">
        <v>123</v>
      </c>
      <c r="E6627" t="s">
        <v>552</v>
      </c>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16C4C-210B-4AE2-AEDE-9D5B7FED272F}">
  <sheetPr>
    <tabColor rgb="FFFFC000"/>
  </sheetPr>
  <dimension ref="A1:F15"/>
  <sheetViews>
    <sheetView tabSelected="1" zoomScale="186" zoomScaleNormal="186" workbookViewId="0">
      <selection activeCell="H21" sqref="H21"/>
    </sheetView>
  </sheetViews>
  <sheetFormatPr defaultColWidth="8.77734375" defaultRowHeight="14.4" x14ac:dyDescent="0.3"/>
  <cols>
    <col min="2" max="2" width="11" bestFit="1" customWidth="1"/>
    <col min="5" max="5" width="10.44140625" customWidth="1"/>
  </cols>
  <sheetData>
    <row r="1" spans="1:6" ht="69.599999999999994" x14ac:dyDescent="0.3">
      <c r="A1" s="40" t="s">
        <v>1364</v>
      </c>
      <c r="B1" s="40" t="s">
        <v>1503</v>
      </c>
      <c r="C1" s="40" t="s">
        <v>1361</v>
      </c>
      <c r="D1" s="40" t="s">
        <v>1362</v>
      </c>
      <c r="E1" s="41" t="s">
        <v>1363</v>
      </c>
    </row>
    <row r="2" spans="1:6" x14ac:dyDescent="0.3">
      <c r="A2" s="43" t="s">
        <v>1365</v>
      </c>
      <c r="B2" s="42">
        <v>45289</v>
      </c>
      <c r="C2" s="43">
        <v>470.87020000000001</v>
      </c>
      <c r="D2" s="43">
        <v>470.87020000000001</v>
      </c>
      <c r="E2" s="44">
        <v>0</v>
      </c>
    </row>
    <row r="3" spans="1:6" x14ac:dyDescent="0.3">
      <c r="A3" s="43" t="s">
        <v>89</v>
      </c>
      <c r="B3" s="42">
        <v>45322</v>
      </c>
      <c r="C3" s="43">
        <v>478.36950000000002</v>
      </c>
      <c r="D3" s="43">
        <v>470.87020000000001</v>
      </c>
      <c r="E3" s="44">
        <v>1.592646975748307</v>
      </c>
      <c r="F3" s="45"/>
    </row>
    <row r="4" spans="1:6" x14ac:dyDescent="0.3">
      <c r="A4" s="43" t="s">
        <v>90</v>
      </c>
      <c r="B4" s="42">
        <v>45351</v>
      </c>
      <c r="C4" s="43">
        <v>503.33409999999998</v>
      </c>
      <c r="D4" s="43">
        <v>478.36950000000002</v>
      </c>
      <c r="E4" s="44">
        <v>5.2186855558307874</v>
      </c>
      <c r="F4" s="45"/>
    </row>
    <row r="5" spans="1:6" x14ac:dyDescent="0.3">
      <c r="A5" s="43" t="s">
        <v>91</v>
      </c>
      <c r="B5" s="42">
        <v>45379</v>
      </c>
      <c r="C5" s="43">
        <v>519.79399999999998</v>
      </c>
      <c r="D5" s="43">
        <v>503.33409999999998</v>
      </c>
      <c r="E5" s="44">
        <v>3.2701738268875493</v>
      </c>
      <c r="F5" s="45"/>
    </row>
    <row r="6" spans="1:6" x14ac:dyDescent="0.3">
      <c r="A6" s="43" t="s">
        <v>92</v>
      </c>
      <c r="B6" s="42">
        <v>45412</v>
      </c>
      <c r="C6" s="43">
        <v>498.83609999999999</v>
      </c>
      <c r="D6" s="43">
        <v>519.79399999999998</v>
      </c>
      <c r="E6" s="44">
        <v>-4.0319626621315354</v>
      </c>
      <c r="F6" s="45"/>
    </row>
    <row r="7" spans="1:6" x14ac:dyDescent="0.3">
      <c r="A7" s="43" t="s">
        <v>93</v>
      </c>
      <c r="B7" s="42">
        <v>45443</v>
      </c>
      <c r="C7" s="43">
        <v>524.06709999999998</v>
      </c>
      <c r="D7" s="43">
        <v>498.83609999999999</v>
      </c>
      <c r="E7" s="44">
        <v>5.0579739517649172</v>
      </c>
      <c r="F7" s="45"/>
    </row>
    <row r="8" spans="1:6" x14ac:dyDescent="0.3">
      <c r="A8" s="43" t="s">
        <v>94</v>
      </c>
      <c r="B8" s="42">
        <v>45471</v>
      </c>
      <c r="C8" s="43">
        <v>542.55629999999996</v>
      </c>
      <c r="D8" s="43">
        <v>524.06709999999998</v>
      </c>
      <c r="E8" s="44">
        <v>3.5280215071695937</v>
      </c>
      <c r="F8" s="45"/>
    </row>
    <row r="9" spans="1:6" x14ac:dyDescent="0.3">
      <c r="A9" s="43" t="s">
        <v>95</v>
      </c>
      <c r="B9" s="42">
        <v>45504</v>
      </c>
      <c r="C9" s="43">
        <v>549.12609999999995</v>
      </c>
      <c r="D9" s="43">
        <v>542.55629999999996</v>
      </c>
      <c r="E9" s="44">
        <v>1.2108973759958159</v>
      </c>
      <c r="F9" s="45"/>
    </row>
    <row r="10" spans="1:6" x14ac:dyDescent="0.3">
      <c r="A10" s="43" t="s">
        <v>96</v>
      </c>
      <c r="B10" s="42">
        <v>45534</v>
      </c>
      <c r="C10" s="43">
        <v>561.95680000000004</v>
      </c>
      <c r="D10" s="43">
        <v>549.12609999999995</v>
      </c>
      <c r="E10" s="44">
        <v>2.3365671382220028</v>
      </c>
      <c r="F10" s="45"/>
    </row>
    <row r="11" spans="1:6" x14ac:dyDescent="0.3">
      <c r="A11" s="43" t="s">
        <v>770</v>
      </c>
      <c r="B11" s="42">
        <v>45565</v>
      </c>
      <c r="C11" s="43">
        <v>573.76</v>
      </c>
      <c r="D11" s="43">
        <v>561.95680000000004</v>
      </c>
      <c r="E11" s="44">
        <v>2.1003749754429428</v>
      </c>
      <c r="F11" s="45"/>
    </row>
    <row r="12" spans="1:6" x14ac:dyDescent="0.3">
      <c r="A12" s="43" t="s">
        <v>1250</v>
      </c>
      <c r="B12" s="42">
        <v>45596</v>
      </c>
      <c r="C12" s="43">
        <v>568.64</v>
      </c>
      <c r="D12" s="43">
        <v>573.76</v>
      </c>
      <c r="E12" s="44">
        <v>-0.89235917456776426</v>
      </c>
      <c r="F12" s="45"/>
    </row>
    <row r="13" spans="1:6" x14ac:dyDescent="0.3">
      <c r="A13" s="43" t="s">
        <v>1370</v>
      </c>
      <c r="B13" s="42">
        <v>45625</v>
      </c>
      <c r="C13">
        <v>600.52930000000003</v>
      </c>
      <c r="D13" s="43">
        <v>566.73299999999995</v>
      </c>
      <c r="E13" s="44">
        <v>5.96</v>
      </c>
      <c r="F13" s="45"/>
    </row>
    <row r="14" spans="1:6" x14ac:dyDescent="0.3">
      <c r="A14" s="43" t="s">
        <v>1243</v>
      </c>
      <c r="B14" s="42">
        <v>45657</v>
      </c>
      <c r="C14" s="43">
        <v>586.08000000000004</v>
      </c>
      <c r="D14">
        <v>600.52930000000003</v>
      </c>
      <c r="E14" s="44">
        <v>-2.41</v>
      </c>
      <c r="F14" s="45"/>
    </row>
    <row r="15" spans="1:6" x14ac:dyDescent="0.3">
      <c r="A15" s="43" t="s">
        <v>1504</v>
      </c>
      <c r="B15" s="42">
        <v>45685</v>
      </c>
      <c r="C15" s="43">
        <v>604.52</v>
      </c>
      <c r="D15" s="43">
        <v>586.08000000000004</v>
      </c>
      <c r="E15" s="44">
        <v>3.15</v>
      </c>
      <c r="F15" s="45"/>
    </row>
  </sheetData>
  <phoneticPr fontId="6" type="noConversion"/>
  <pageMargins left="0.7" right="0.7" top="0.75" bottom="0.75" header="0.3" footer="0.3"/>
</worksheet>
</file>

<file path=docMetadata/LabelInfo.xml><?xml version="1.0" encoding="utf-8"?>
<clbl:labelList xmlns:clbl="http://schemas.microsoft.com/office/2020/mipLabelMetadata">
  <clbl:label id="{9ed0e272-867f-4378-8d6c-bd1e2511ea34}" enabled="1" method="Standard" siteId="{83f3a6e1-0470-4e13-984f-16a25372914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3</vt:i4>
      </vt:variant>
    </vt:vector>
  </HeadingPairs>
  <TitlesOfParts>
    <vt:vector size="3" baseType="lpstr">
      <vt:lpstr>Total Monthly</vt:lpstr>
      <vt:lpstr>Portfolio Raw Data</vt:lpstr>
      <vt:lpstr>SPY 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Nimrod Baram</dc:creator>
  <cp:lastModifiedBy>Tedi Lotan</cp:lastModifiedBy>
  <dcterms:created xsi:type="dcterms:W3CDTF">2024-09-05T02:20:56Z</dcterms:created>
  <dcterms:modified xsi:type="dcterms:W3CDTF">2025-05-11T14:08:39Z</dcterms:modified>
</cp:coreProperties>
</file>